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Statistic" sheetId="1" state="visible" r:id="rId1"/>
    <sheet xmlns:r="http://schemas.openxmlformats.org/officeDocument/2006/relationships" name="Export Data" sheetId="2" state="visible" r:id="rId2"/>
    <sheet xmlns:r="http://schemas.openxmlformats.org/officeDocument/2006/relationships" name="SW_Test" sheetId="3" state="visible" r:id="rId3"/>
    <sheet xmlns:r="http://schemas.openxmlformats.org/officeDocument/2006/relationships" name="JB_Test" sheetId="4" state="visible" r:id="rId4"/>
    <sheet xmlns:r="http://schemas.openxmlformats.org/officeDocument/2006/relationships" name="BP_Test" sheetId="5" state="visible" r:id="rId5"/>
    <sheet xmlns:r="http://schemas.openxmlformats.org/officeDocument/2006/relationships" name="White_Test" sheetId="6" state="visible" r:id="rId6"/>
    <sheet xmlns:r="http://schemas.openxmlformats.org/officeDocument/2006/relationships" name="SW_BaseFL" sheetId="7" state="visible" r:id="rId7"/>
    <sheet xmlns:r="http://schemas.openxmlformats.org/officeDocument/2006/relationships" name="JB_BaseFL" sheetId="8" state="visible" r:id="rId8"/>
    <sheet xmlns:r="http://schemas.openxmlformats.org/officeDocument/2006/relationships" name="BP_BaseFL" sheetId="9" state="visible" r:id="rId9"/>
    <sheet xmlns:r="http://schemas.openxmlformats.org/officeDocument/2006/relationships" name="White_BaseFL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0000"/>
    <numFmt numFmtId="165" formatCode="0.00000000"/>
    <numFmt numFmtId="166" formatCode="0.4"/>
    <numFmt numFmtId="167" formatCode="0.000000"/>
    <numFmt numFmtId="168" formatCode="0.0000"/>
    <numFmt numFmtId="169" formatCode="0.000000000"/>
    <numFmt numFmtId="170" formatCode="0.0000000000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FF"/>
      <sz val="9"/>
    </font>
    <font>
      <name val="Arial"/>
      <charset val="1"/>
      <family val="0"/>
      <b val="1"/>
      <color rgb="FFC0000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375623"/>
      <sz val="10"/>
    </font>
    <font>
      <name val="Arial"/>
      <b val="1"/>
      <color rgb="00FFFFFF"/>
      <sz val="13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FF"/>
      <sz val="9"/>
    </font>
    <font>
      <name val="Arial"/>
      <b val="1"/>
      <color rgb="00C00000"/>
      <sz val="10"/>
    </font>
    <font>
      <name val="Arial"/>
      <i val="1"/>
      <color rgb="00595959"/>
      <sz val="9"/>
    </font>
    <font>
      <name val="Arial"/>
      <b val="1"/>
      <color rgb="00375623"/>
      <sz val="10"/>
    </font>
  </fonts>
  <fills count="18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99CCFF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00215868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2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5" fontId="9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1" fontId="6" fillId="8" borderId="2" applyAlignment="1" pivotButton="0" quotePrefix="0" xfId="0">
      <alignment horizontal="center" vertical="center" wrapText="1"/>
    </xf>
    <xf numFmtId="166" fontId="6" fillId="8" borderId="2" applyAlignment="1" pivotButton="0" quotePrefix="0" xfId="0">
      <alignment horizontal="center" vertical="center" wrapText="1"/>
    </xf>
    <xf numFmtId="167" fontId="6" fillId="8" borderId="2" applyAlignment="1" pivotButton="0" quotePrefix="0" xfId="0">
      <alignment horizontal="center" vertical="center" wrapText="1"/>
    </xf>
    <xf numFmtId="165" fontId="6" fillId="8" borderId="2" applyAlignment="1" pivotButton="0" quotePrefix="0" xfId="0">
      <alignment horizontal="center" vertical="center" wrapText="1"/>
    </xf>
    <xf numFmtId="2" fontId="6" fillId="8" borderId="2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168" fontId="6" fillId="8" borderId="2" applyAlignment="1" pivotButton="0" quotePrefix="0" xfId="0">
      <alignment horizontal="center" vertical="center" wrapText="1"/>
    </xf>
    <xf numFmtId="169" fontId="6" fillId="8" borderId="2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 wrapText="1"/>
    </xf>
    <xf numFmtId="1" fontId="8" fillId="6" borderId="1" applyAlignment="1" pivotButton="0" quotePrefix="0" xfId="0">
      <alignment horizontal="center" vertical="center" wrapText="1"/>
    </xf>
    <xf numFmtId="170" fontId="6" fillId="8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2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5" fontId="9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1" fontId="6" fillId="8" borderId="2" applyAlignment="1" pivotButton="0" quotePrefix="0" xfId="0">
      <alignment horizontal="center" vertical="center" wrapText="1"/>
    </xf>
    <xf numFmtId="166" fontId="6" fillId="8" borderId="2" applyAlignment="1" pivotButton="0" quotePrefix="0" xfId="0">
      <alignment horizontal="center" vertical="center" wrapText="1"/>
    </xf>
    <xf numFmtId="167" fontId="6" fillId="8" borderId="2" applyAlignment="1" pivotButton="0" quotePrefix="0" xfId="0">
      <alignment horizontal="center" vertical="center" wrapText="1"/>
    </xf>
    <xf numFmtId="165" fontId="6" fillId="8" borderId="2" applyAlignment="1" pivotButton="0" quotePrefix="0" xfId="0">
      <alignment horizontal="center" vertical="center" wrapText="1"/>
    </xf>
    <xf numFmtId="2" fontId="6" fillId="8" borderId="2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168" fontId="6" fillId="8" borderId="2" applyAlignment="1" pivotButton="0" quotePrefix="0" xfId="0">
      <alignment horizontal="center" vertical="center" wrapText="1"/>
    </xf>
    <xf numFmtId="169" fontId="6" fillId="8" borderId="2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center" wrapText="1"/>
    </xf>
    <xf numFmtId="1" fontId="8" fillId="5" borderId="1" applyAlignment="1" pivotButton="0" quotePrefix="0" xfId="0">
      <alignment horizontal="center" vertical="center" wrapText="1"/>
    </xf>
    <xf numFmtId="1" fontId="8" fillId="6" borderId="1" applyAlignment="1" pivotButton="0" quotePrefix="0" xfId="0">
      <alignment horizontal="center" vertical="center" wrapText="1"/>
    </xf>
    <xf numFmtId="170" fontId="6" fillId="8" borderId="2" applyAlignment="1" pivotButton="0" quotePrefix="0" xfId="0">
      <alignment horizontal="center" vertical="center" wrapText="1"/>
    </xf>
    <xf numFmtId="0" fontId="13" fillId="1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4" fillId="11" borderId="0" applyAlignment="1" pivotButton="0" quotePrefix="0" xfId="0">
      <alignment horizontal="left" vertical="center" wrapText="1"/>
    </xf>
    <xf numFmtId="0" fontId="16" fillId="12" borderId="7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17" fillId="13" borderId="7" applyAlignment="1" pivotButton="0" quotePrefix="0" xfId="0">
      <alignment horizontal="center" vertical="center" wrapText="1"/>
    </xf>
    <xf numFmtId="2" fontId="17" fillId="13" borderId="7" applyAlignment="1" pivotButton="0" quotePrefix="0" xfId="0">
      <alignment horizontal="center" vertical="center" wrapText="1"/>
    </xf>
    <xf numFmtId="164" fontId="17" fillId="13" borderId="7" applyAlignment="1" pivotButton="0" quotePrefix="0" xfId="0">
      <alignment horizontal="center" vertical="center" wrapText="1"/>
    </xf>
    <xf numFmtId="0" fontId="17" fillId="14" borderId="7" applyAlignment="1" pivotButton="0" quotePrefix="0" xfId="0">
      <alignment horizontal="center" vertical="center" wrapText="1"/>
    </xf>
    <xf numFmtId="2" fontId="17" fillId="14" borderId="7" applyAlignment="1" pivotButton="0" quotePrefix="0" xfId="0">
      <alignment horizontal="center" vertical="center" wrapText="1"/>
    </xf>
    <xf numFmtId="164" fontId="17" fillId="14" borderId="7" applyAlignment="1" pivotButton="0" quotePrefix="0" xfId="0">
      <alignment horizontal="center" vertical="center" wrapText="1"/>
    </xf>
    <xf numFmtId="165" fontId="18" fillId="15" borderId="7" applyAlignment="1" pivotButton="0" quotePrefix="0" xfId="0">
      <alignment horizontal="center" vertical="center" wrapText="1"/>
    </xf>
    <xf numFmtId="0" fontId="14" fillId="16" borderId="7" applyAlignment="1" pivotButton="0" quotePrefix="0" xfId="0">
      <alignment horizontal="left" vertical="center" wrapText="1"/>
    </xf>
    <xf numFmtId="1" fontId="15" fillId="16" borderId="7" applyAlignment="1" pivotButton="0" quotePrefix="0" xfId="0">
      <alignment horizontal="center" vertical="center" wrapText="1"/>
    </xf>
    <xf numFmtId="168" fontId="15" fillId="16" borderId="7" applyAlignment="1" pivotButton="0" quotePrefix="0" xfId="0">
      <alignment horizontal="center" vertical="center" wrapText="1"/>
    </xf>
    <xf numFmtId="167" fontId="15" fillId="16" borderId="7" applyAlignment="1" pivotButton="0" quotePrefix="0" xfId="0">
      <alignment horizontal="center" vertical="center" wrapText="1"/>
    </xf>
    <xf numFmtId="165" fontId="15" fillId="16" borderId="7" applyAlignment="1" pivotButton="0" quotePrefix="0" xfId="0">
      <alignment horizontal="center" vertical="center" wrapText="1"/>
    </xf>
    <xf numFmtId="2" fontId="15" fillId="16" borderId="7" applyAlignment="1" pivotButton="0" quotePrefix="0" xfId="0">
      <alignment horizontal="center" vertical="center" wrapText="1"/>
    </xf>
    <xf numFmtId="0" fontId="19" fillId="17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169" fontId="15" fillId="16" borderId="7" applyAlignment="1" pivotButton="0" quotePrefix="0" xfId="0">
      <alignment horizontal="center" vertical="center" wrapText="1"/>
    </xf>
    <xf numFmtId="0" fontId="21" fillId="16" borderId="0" applyAlignment="1" pivotButton="0" quotePrefix="0" xfId="0">
      <alignment horizontal="left" vertical="center" wrapText="1"/>
    </xf>
    <xf numFmtId="1" fontId="17" fillId="13" borderId="7" applyAlignment="1" pivotButton="0" quotePrefix="0" xfId="0">
      <alignment horizontal="center" vertical="center" wrapText="1"/>
    </xf>
    <xf numFmtId="1" fontId="17" fillId="14" borderId="7" applyAlignment="1" pivotButton="0" quotePrefix="0" xfId="0">
      <alignment horizontal="center" vertical="center" wrapText="1"/>
    </xf>
    <xf numFmtId="170" fontId="15" fillId="16" borderId="7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1" activeCellId="0" sqref="E21"/>
    </sheetView>
  </sheetViews>
  <sheetFormatPr baseColWidth="8" defaultColWidth="8.6796875" defaultRowHeight="14.25" customHeight="0" zeroHeight="0" outlineLevelRow="0"/>
  <sheetData>
    <row r="1" ht="14.25" customHeight="1" s="28">
      <c r="A1" s="29" t="inlineStr">
        <is>
          <t>Regression Centroids: 4</t>
        </is>
      </c>
    </row>
    <row r="2" ht="14.25" customHeight="1" s="28">
      <c r="A2" s="29" t="inlineStr">
        <is>
          <t>Math Search Window (Bars): 3000</t>
        </is>
      </c>
    </row>
    <row r="3" ht="14.25" customHeight="1" s="28">
      <c r="A3" s="29" t="inlineStr">
        <is>
          <t>Visual EDT Window (Bars): 741</t>
        </is>
      </c>
    </row>
    <row r="4" ht="14.25" customHeight="1" s="28">
      <c r="A4" s="29" t="inlineStr">
        <is>
          <t>Observation Window (Bars): 736</t>
        </is>
      </c>
    </row>
    <row r="5" ht="14.25" customHeight="1" s="28">
      <c r="A5" s="29" t="inlineStr">
        <is>
          <t>Total 171 Crossings (n): 65</t>
        </is>
      </c>
    </row>
    <row r="6" ht="14.25" customHeight="1" s="28">
      <c r="A6" s="29" t="inlineStr">
        <is>
          <t>Timeframe (Sec): 900</t>
        </is>
      </c>
    </row>
    <row r="7" ht="14.25" customHeight="1" s="28">
      <c r="A7" s="29" t="inlineStr">
        <is>
          <t>Raw Slope (b): 0.20245</t>
        </is>
      </c>
    </row>
    <row r="8" ht="14.25" customHeight="1" s="28">
      <c r="A8" s="29" t="inlineStr">
        <is>
          <t>Regression Angle: 23.64</t>
        </is>
      </c>
    </row>
    <row r="9" ht="14.25" customHeight="1" s="28">
      <c r="A9" s="29" t="inlineStr">
        <is>
          <t>Anchored Y-Int: 4698.37419</t>
        </is>
      </c>
    </row>
    <row r="11" ht="14.25" customHeight="1" s="28">
      <c r="A11" s="29" t="inlineStr">
        <is>
          <t>[MODEL A; CROSSINGS]</t>
        </is>
      </c>
    </row>
    <row r="12" ht="14.25" customHeight="1" s="28">
      <c r="A12" s="29" t="inlineStr">
        <is>
          <t>Sample (n): 65</t>
        </is>
      </c>
    </row>
    <row r="13" ht="14.25" customHeight="1" s="28">
      <c r="A13" s="29" t="inlineStr">
        <is>
          <t>R-Square: 0.4778</t>
        </is>
      </c>
    </row>
    <row r="14" ht="14.25" customHeight="1" s="28">
      <c r="A14" s="29" t="inlineStr">
        <is>
          <t>MSE: 2763.4983</t>
        </is>
      </c>
    </row>
    <row r="15" ht="14.25" customHeight="1" s="28">
      <c r="A15" s="29" t="inlineStr">
        <is>
          <t>Var Ratio: 1.05</t>
        </is>
      </c>
    </row>
    <row r="16" ht="14.25" customHeight="1" s="28">
      <c r="A16" s="29" t="inlineStr">
        <is>
          <t>Skewness: -0.87</t>
        </is>
      </c>
    </row>
    <row r="17" ht="14.25" customHeight="1" s="28">
      <c r="A17" s="29" t="inlineStr">
        <is>
          <t>Kurtosis: 2.39</t>
        </is>
      </c>
    </row>
    <row r="19" ht="14.25" customHeight="1" s="28">
      <c r="A19" s="29" t="inlineStr">
        <is>
          <t>[MODEL B; CLOSE PRICE]</t>
        </is>
      </c>
    </row>
    <row r="20" ht="14.25" customHeight="1" s="28">
      <c r="A20" s="29" t="inlineStr">
        <is>
          <t>Sample (n): 736</t>
        </is>
      </c>
    </row>
    <row r="21" ht="14.25" customHeight="1" s="28">
      <c r="A21" s="29" t="inlineStr">
        <is>
          <t>R-Square: 0.4943</t>
        </is>
      </c>
    </row>
    <row r="22" ht="14.25" customHeight="1" s="28">
      <c r="A22" s="29" t="inlineStr">
        <is>
          <t>MSE: 2318.7389</t>
        </is>
      </c>
    </row>
    <row r="23" ht="14.25" customHeight="1" s="28">
      <c r="A23" s="29" t="inlineStr">
        <is>
          <t>Var Ratio: 2.13</t>
        </is>
      </c>
    </row>
    <row r="24" ht="14.25" customHeight="1" s="28">
      <c r="A24" s="29" t="inlineStr">
        <is>
          <t>Skewness: -0.79</t>
        </is>
      </c>
    </row>
    <row r="25" ht="14.25" customHeight="1" s="28">
      <c r="A25" s="29" t="inlineStr">
        <is>
          <t>Kurtosis: 2.57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D742"/>
  <sheetViews>
    <sheetView showFormulas="0" showGridLines="1" showRowColHeaders="1" showZeros="1" rightToLeft="0" tabSelected="1" showOutlineSymbols="1" defaultGridColor="1" view="normal" topLeftCell="A708" colorId="64" zoomScale="60" zoomScaleNormal="60" zoomScalePageLayoutView="100" workbookViewId="0">
      <selection pane="topLeft" activeCell="P751" activeCellId="0" sqref="P751"/>
    </sheetView>
  </sheetViews>
  <sheetFormatPr baseColWidth="8" defaultColWidth="8.6796875" defaultRowHeight="14.25" customHeight="0" zeroHeight="0" outlineLevelRow="0"/>
  <cols>
    <col width="10.67" customWidth="1" style="29" min="1" max="1"/>
  </cols>
  <sheetData>
    <row r="1" ht="14.25" customHeight="1" s="28">
      <c r="A1" s="29" t="inlineStr">
        <is>
          <t>timestamp</t>
        </is>
      </c>
      <c r="B1" s="29" t="inlineStr">
        <is>
          <t>symbol</t>
        </is>
      </c>
      <c r="C1" s="29" t="inlineStr">
        <is>
          <t>timeframe</t>
        </is>
      </c>
      <c r="D1" s="29" t="inlineStr">
        <is>
          <t>close</t>
        </is>
      </c>
      <c r="E1" s="29" t="inlineStr">
        <is>
          <t>CEN_0</t>
        </is>
      </c>
      <c r="F1" s="29" t="inlineStr">
        <is>
          <t>CEN_1</t>
        </is>
      </c>
      <c r="G1" s="29" t="inlineStr">
        <is>
          <t>CEN_2</t>
        </is>
      </c>
      <c r="H1" s="29" t="inlineStr">
        <is>
          <t>CEN_3</t>
        </is>
      </c>
      <c r="I1" s="29" t="inlineStr">
        <is>
          <t>CEN_4</t>
        </is>
      </c>
      <c r="J1" s="29" t="inlineStr">
        <is>
          <t>CEN_5</t>
        </is>
      </c>
      <c r="K1" s="29" t="inlineStr">
        <is>
          <t>CEN_6</t>
        </is>
      </c>
      <c r="L1" s="29" t="inlineStr">
        <is>
          <t>CEN_7</t>
        </is>
      </c>
      <c r="M1" s="29" t="inlineStr">
        <is>
          <t>CEN_8</t>
        </is>
      </c>
      <c r="N1" s="29" t="inlineStr">
        <is>
          <t>CEN_9</t>
        </is>
      </c>
      <c r="O1" s="29" t="inlineStr">
        <is>
          <t>CEN_10</t>
        </is>
      </c>
      <c r="P1" s="29" t="inlineStr">
        <is>
          <t>CEN_11</t>
        </is>
      </c>
      <c r="Q1" s="29" t="inlineStr">
        <is>
          <t>Base_FL</t>
        </is>
      </c>
      <c r="R1" s="29" t="inlineStr">
        <is>
          <t>EDT_1</t>
        </is>
      </c>
      <c r="S1" s="29" t="inlineStr">
        <is>
          <t>EDT_2</t>
        </is>
      </c>
      <c r="T1" s="29" t="inlineStr">
        <is>
          <t>EDT_3</t>
        </is>
      </c>
      <c r="U1" s="29" t="inlineStr">
        <is>
          <t>EDT_4</t>
        </is>
      </c>
      <c r="V1" s="29" t="inlineStr">
        <is>
          <t>EDT_5</t>
        </is>
      </c>
      <c r="W1" s="29" t="inlineStr">
        <is>
          <t>EDT_6</t>
        </is>
      </c>
      <c r="X1" s="29" t="inlineStr">
        <is>
          <t>EDT_7</t>
        </is>
      </c>
      <c r="Y1" s="29" t="inlineStr">
        <is>
          <t>EDT_8</t>
        </is>
      </c>
      <c r="Z1" s="29" t="inlineStr">
        <is>
          <t>horiz_high_map</t>
        </is>
      </c>
      <c r="AA1" s="29" t="inlineStr">
        <is>
          <t>horiz_low_map</t>
        </is>
      </c>
      <c r="AB1" s="29" t="inlineStr">
        <is>
          <t>ssa</t>
        </is>
      </c>
      <c r="AC1" s="29" t="inlineStr">
        <is>
          <t>ema_ssa</t>
        </is>
      </c>
      <c r="AD1" s="29" t="inlineStr">
        <is>
          <t>crossing</t>
        </is>
      </c>
    </row>
    <row r="2" ht="14.25" customHeight="1" s="28">
      <c r="A2" s="29" t="n">
        <v>1777405501</v>
      </c>
      <c r="B2" s="29" t="inlineStr">
        <is>
          <t>XAUUSD</t>
        </is>
      </c>
      <c r="C2" s="29" t="inlineStr">
        <is>
          <t>M15</t>
        </is>
      </c>
      <c r="D2" s="29" t="n">
        <v>4595.7</v>
      </c>
      <c r="E2" s="29" t="n">
        <v>4717.79398</v>
      </c>
      <c r="F2" s="29" t="n">
        <v>4695.2428</v>
      </c>
      <c r="G2" s="29" t="n">
        <v>4518.59282</v>
      </c>
      <c r="H2" s="29" t="n">
        <v>4596.05595</v>
      </c>
      <c r="I2" s="29" t="n">
        <v>4755.40355</v>
      </c>
      <c r="J2" s="29" t="n">
        <v>4792.76972</v>
      </c>
      <c r="K2" s="29" t="n">
        <v>4769.97694</v>
      </c>
      <c r="L2" s="29" t="n">
        <v>4716.33597</v>
      </c>
      <c r="M2" s="29" t="n">
        <v>4718.85043</v>
      </c>
      <c r="N2" s="29" t="n">
        <v>4531.36057</v>
      </c>
      <c r="O2" s="29" t="n">
        <v>4556.93783</v>
      </c>
      <c r="Q2" s="29" t="n">
        <v>4548.56437</v>
      </c>
      <c r="R2" s="29" t="n">
        <v>4596.58204</v>
      </c>
      <c r="S2" s="29" t="n">
        <v>4572.39842</v>
      </c>
      <c r="V2" s="29" t="n">
        <v>4515.91918</v>
      </c>
      <c r="AB2" s="29" t="n">
        <v>4596.59339</v>
      </c>
      <c r="AC2" s="29" t="n">
        <v>4596.61881</v>
      </c>
      <c r="AD2" s="29" t="n">
        <v>1</v>
      </c>
    </row>
    <row r="3" ht="14.25" customHeight="1" s="28">
      <c r="A3" s="29" t="n">
        <v>1777406401</v>
      </c>
      <c r="B3" s="29" t="inlineStr">
        <is>
          <t>XAUUSD</t>
        </is>
      </c>
      <c r="C3" s="29" t="inlineStr">
        <is>
          <t>M15</t>
        </is>
      </c>
      <c r="D3" s="29" t="n">
        <v>4597.28</v>
      </c>
      <c r="E3" s="29" t="n">
        <v>4717.79398</v>
      </c>
      <c r="F3" s="29" t="n">
        <v>4695.2428</v>
      </c>
      <c r="G3" s="29" t="n">
        <v>4518.59282</v>
      </c>
      <c r="H3" s="29" t="n">
        <v>4596.05595</v>
      </c>
      <c r="I3" s="29" t="n">
        <v>4755.40355</v>
      </c>
      <c r="J3" s="29" t="n">
        <v>4792.76972</v>
      </c>
      <c r="K3" s="29" t="n">
        <v>4769.97694</v>
      </c>
      <c r="L3" s="29" t="n">
        <v>4716.33597</v>
      </c>
      <c r="M3" s="29" t="n">
        <v>4718.85043</v>
      </c>
      <c r="N3" s="29" t="n">
        <v>4531.36057</v>
      </c>
      <c r="O3" s="29" t="n">
        <v>4556.93783</v>
      </c>
      <c r="Q3" s="29" t="n">
        <v>4548.76682</v>
      </c>
      <c r="R3" s="29" t="n">
        <v>4596.78448</v>
      </c>
      <c r="S3" s="29" t="n">
        <v>4572.60087</v>
      </c>
      <c r="V3" s="29" t="n">
        <v>4516.12163</v>
      </c>
      <c r="AB3" s="29" t="n">
        <v>4596.33821</v>
      </c>
      <c r="AC3" s="29" t="n">
        <v>4596.47851</v>
      </c>
      <c r="AD3" s="29" t="n">
        <v>0</v>
      </c>
    </row>
    <row r="4" ht="14.25" customHeight="1" s="28">
      <c r="A4" s="29" t="n">
        <v>1777407301</v>
      </c>
      <c r="B4" s="29" t="inlineStr">
        <is>
          <t>XAUUSD</t>
        </is>
      </c>
      <c r="C4" s="29" t="inlineStr">
        <is>
          <t>M15</t>
        </is>
      </c>
      <c r="D4" s="29" t="n">
        <v>4592.85</v>
      </c>
      <c r="E4" s="29" t="n">
        <v>4717.79398</v>
      </c>
      <c r="F4" s="29" t="n">
        <v>4695.2428</v>
      </c>
      <c r="G4" s="29" t="n">
        <v>4518.59282</v>
      </c>
      <c r="H4" s="29" t="n">
        <v>4596.05595</v>
      </c>
      <c r="I4" s="29" t="n">
        <v>4755.40355</v>
      </c>
      <c r="J4" s="29" t="n">
        <v>4792.76972</v>
      </c>
      <c r="K4" s="29" t="n">
        <v>4769.97694</v>
      </c>
      <c r="L4" s="29" t="n">
        <v>4716.33597</v>
      </c>
      <c r="M4" s="29" t="n">
        <v>4718.85043</v>
      </c>
      <c r="N4" s="29" t="n">
        <v>4531.36057</v>
      </c>
      <c r="O4" s="29" t="n">
        <v>4556.93783</v>
      </c>
      <c r="Q4" s="29" t="n">
        <v>4548.96926</v>
      </c>
      <c r="R4" s="29" t="n">
        <v>4596.98693</v>
      </c>
      <c r="S4" s="29" t="n">
        <v>4572.80331</v>
      </c>
      <c r="V4" s="29" t="n">
        <v>4516.32407</v>
      </c>
      <c r="AB4" s="29" t="n">
        <v>4595.84616</v>
      </c>
      <c r="AC4" s="29" t="n">
        <v>4596.16233</v>
      </c>
      <c r="AD4" s="29" t="n">
        <v>0</v>
      </c>
    </row>
    <row r="5" ht="14.25" customHeight="1" s="28">
      <c r="A5" s="29" t="n">
        <v>1777408201</v>
      </c>
      <c r="B5" s="29" t="inlineStr">
        <is>
          <t>XAUUSD</t>
        </is>
      </c>
      <c r="C5" s="29" t="inlineStr">
        <is>
          <t>M15</t>
        </is>
      </c>
      <c r="D5" s="29" t="n">
        <v>4593.44</v>
      </c>
      <c r="E5" s="29" t="n">
        <v>4717.79398</v>
      </c>
      <c r="F5" s="29" t="n">
        <v>4695.2428</v>
      </c>
      <c r="G5" s="29" t="n">
        <v>4518.59282</v>
      </c>
      <c r="H5" s="29" t="n">
        <v>4596.05595</v>
      </c>
      <c r="I5" s="29" t="n">
        <v>4755.40355</v>
      </c>
      <c r="J5" s="29" t="n">
        <v>4792.76972</v>
      </c>
      <c r="K5" s="29" t="n">
        <v>4769.97694</v>
      </c>
      <c r="L5" s="29" t="n">
        <v>4716.33597</v>
      </c>
      <c r="M5" s="29" t="n">
        <v>4718.85043</v>
      </c>
      <c r="N5" s="29" t="n">
        <v>4531.36057</v>
      </c>
      <c r="O5" s="29" t="n">
        <v>4556.93783</v>
      </c>
      <c r="Q5" s="29" t="n">
        <v>4549.17171</v>
      </c>
      <c r="R5" s="29" t="n">
        <v>4597.18937</v>
      </c>
      <c r="S5" s="29" t="n">
        <v>4573.00576</v>
      </c>
      <c r="V5" s="29" t="n">
        <v>4516.52652</v>
      </c>
      <c r="AB5" s="29" t="n">
        <v>4595.24318</v>
      </c>
      <c r="AC5" s="29" t="n">
        <v>4595.70276</v>
      </c>
      <c r="AD5" s="29" t="n">
        <v>0</v>
      </c>
    </row>
    <row r="6" ht="14.25" customHeight="1" s="28">
      <c r="A6" s="29" t="n">
        <v>1777409101</v>
      </c>
      <c r="B6" s="29" t="inlineStr">
        <is>
          <t>XAUUSD</t>
        </is>
      </c>
      <c r="C6" s="29" t="inlineStr">
        <is>
          <t>M15</t>
        </is>
      </c>
      <c r="D6" s="29" t="n">
        <v>4597.18</v>
      </c>
      <c r="E6" s="29" t="n">
        <v>4717.79398</v>
      </c>
      <c r="F6" s="29" t="n">
        <v>4695.2428</v>
      </c>
      <c r="G6" s="29" t="n">
        <v>4518.59282</v>
      </c>
      <c r="H6" s="29" t="n">
        <v>4596.05595</v>
      </c>
      <c r="I6" s="29" t="n">
        <v>4755.40355</v>
      </c>
      <c r="J6" s="29" t="n">
        <v>4792.76972</v>
      </c>
      <c r="K6" s="29" t="n">
        <v>4769.97694</v>
      </c>
      <c r="L6" s="29" t="n">
        <v>4716.33597</v>
      </c>
      <c r="M6" s="29" t="n">
        <v>4718.85043</v>
      </c>
      <c r="N6" s="29" t="n">
        <v>4531.36057</v>
      </c>
      <c r="O6" s="29" t="n">
        <v>4556.93783</v>
      </c>
      <c r="Q6" s="29" t="n">
        <v>4549.37415</v>
      </c>
      <c r="R6" s="29" t="n">
        <v>4597.39182</v>
      </c>
      <c r="S6" s="29" t="n">
        <v>4573.20821</v>
      </c>
      <c r="V6" s="29" t="n">
        <v>4516.72896</v>
      </c>
      <c r="AB6" s="29" t="n">
        <v>4594.62132</v>
      </c>
      <c r="AC6" s="29" t="n">
        <v>4595.16204</v>
      </c>
      <c r="AD6" s="29" t="n">
        <v>0</v>
      </c>
    </row>
    <row r="7" ht="14.25" customHeight="1" s="28">
      <c r="A7" s="29" t="n">
        <v>1777413601</v>
      </c>
      <c r="B7" s="29" t="inlineStr">
        <is>
          <t>XAUUSD</t>
        </is>
      </c>
      <c r="C7" s="29" t="inlineStr">
        <is>
          <t>M15</t>
        </is>
      </c>
      <c r="D7" s="29" t="n">
        <v>4596.42</v>
      </c>
      <c r="E7" s="29" t="n">
        <v>4717.79398</v>
      </c>
      <c r="F7" s="29" t="n">
        <v>4695.2428</v>
      </c>
      <c r="G7" s="29" t="n">
        <v>4518.59282</v>
      </c>
      <c r="H7" s="29" t="n">
        <v>4596.05595</v>
      </c>
      <c r="I7" s="29" t="n">
        <v>4755.40355</v>
      </c>
      <c r="J7" s="29" t="n">
        <v>4792.76972</v>
      </c>
      <c r="K7" s="29" t="n">
        <v>4769.97694</v>
      </c>
      <c r="L7" s="29" t="n">
        <v>4716.33597</v>
      </c>
      <c r="M7" s="29" t="n">
        <v>4718.85043</v>
      </c>
      <c r="N7" s="29" t="n">
        <v>4531.36057</v>
      </c>
      <c r="O7" s="29" t="n">
        <v>4556.93783</v>
      </c>
      <c r="Q7" s="29" t="n">
        <v>4549.5766</v>
      </c>
      <c r="R7" s="29" t="n">
        <v>4597.59426</v>
      </c>
      <c r="S7" s="29" t="n">
        <v>4573.41065</v>
      </c>
      <c r="V7" s="29" t="n">
        <v>4516.93141</v>
      </c>
      <c r="AB7" s="29" t="n">
        <v>4593.97795</v>
      </c>
      <c r="AC7" s="29" t="n">
        <v>4594.57</v>
      </c>
      <c r="AD7" s="29" t="n">
        <v>0</v>
      </c>
    </row>
    <row r="8" ht="14.25" customHeight="1" s="28">
      <c r="A8" s="29" t="n">
        <v>1777414501</v>
      </c>
      <c r="B8" s="29" t="inlineStr">
        <is>
          <t>XAUUSD</t>
        </is>
      </c>
      <c r="C8" s="29" t="inlineStr">
        <is>
          <t>M15</t>
        </is>
      </c>
      <c r="D8" s="29" t="n">
        <v>4595.82</v>
      </c>
      <c r="E8" s="29" t="n">
        <v>4717.79398</v>
      </c>
      <c r="F8" s="29" t="n">
        <v>4695.2428</v>
      </c>
      <c r="G8" s="29" t="n">
        <v>4518.59282</v>
      </c>
      <c r="H8" s="29" t="n">
        <v>4596.05595</v>
      </c>
      <c r="I8" s="29" t="n">
        <v>4755.40355</v>
      </c>
      <c r="J8" s="29" t="n">
        <v>4792.76972</v>
      </c>
      <c r="K8" s="29" t="n">
        <v>4769.97694</v>
      </c>
      <c r="L8" s="29" t="n">
        <v>4716.33597</v>
      </c>
      <c r="M8" s="29" t="n">
        <v>4718.85043</v>
      </c>
      <c r="N8" s="29" t="n">
        <v>4531.36057</v>
      </c>
      <c r="O8" s="29" t="n">
        <v>4556.93783</v>
      </c>
      <c r="Q8" s="29" t="n">
        <v>4549.77905</v>
      </c>
      <c r="R8" s="29" t="n">
        <v>4597.79671</v>
      </c>
      <c r="S8" s="29" t="n">
        <v>4573.6131</v>
      </c>
      <c r="V8" s="29" t="n">
        <v>4517.13385</v>
      </c>
      <c r="AB8" s="29" t="n">
        <v>4593.46927</v>
      </c>
      <c r="AC8" s="29" t="n">
        <v>4594.01963</v>
      </c>
      <c r="AD8" s="29" t="n">
        <v>0</v>
      </c>
    </row>
    <row r="9" ht="14.25" customHeight="1" s="28">
      <c r="A9" s="29" t="n">
        <v>1777415401</v>
      </c>
      <c r="B9" s="29" t="inlineStr">
        <is>
          <t>XAUUSD</t>
        </is>
      </c>
      <c r="C9" s="29" t="inlineStr">
        <is>
          <t>M15</t>
        </is>
      </c>
      <c r="D9" s="29" t="n">
        <v>4593.71</v>
      </c>
      <c r="E9" s="29" t="n">
        <v>4717.79398</v>
      </c>
      <c r="F9" s="29" t="n">
        <v>4695.2428</v>
      </c>
      <c r="G9" s="29" t="n">
        <v>4518.59282</v>
      </c>
      <c r="H9" s="29" t="n">
        <v>4596.05595</v>
      </c>
      <c r="I9" s="29" t="n">
        <v>4755.40355</v>
      </c>
      <c r="J9" s="29" t="n">
        <v>4792.76972</v>
      </c>
      <c r="K9" s="29" t="n">
        <v>4769.97694</v>
      </c>
      <c r="L9" s="29" t="n">
        <v>4716.33597</v>
      </c>
      <c r="M9" s="29" t="n">
        <v>4718.85043</v>
      </c>
      <c r="N9" s="29" t="n">
        <v>4531.36057</v>
      </c>
      <c r="O9" s="29" t="n">
        <v>4556.93783</v>
      </c>
      <c r="Q9" s="29" t="n">
        <v>4549.98149</v>
      </c>
      <c r="R9" s="29" t="n">
        <v>4597.99916</v>
      </c>
      <c r="S9" s="29" t="n">
        <v>4573.81554</v>
      </c>
      <c r="V9" s="29" t="n">
        <v>4517.3363</v>
      </c>
      <c r="AB9" s="29" t="n">
        <v>4593.25757</v>
      </c>
      <c r="AC9" s="29" t="n">
        <v>4593.6386</v>
      </c>
      <c r="AD9" s="29" t="n">
        <v>0</v>
      </c>
    </row>
    <row r="10" ht="14.25" customHeight="1" s="28">
      <c r="A10" s="29" t="n">
        <v>1777416301</v>
      </c>
      <c r="B10" s="29" t="inlineStr">
        <is>
          <t>XAUUSD</t>
        </is>
      </c>
      <c r="C10" s="29" t="inlineStr">
        <is>
          <t>M15</t>
        </is>
      </c>
      <c r="D10" s="29" t="n">
        <v>4594.16</v>
      </c>
      <c r="E10" s="29" t="n">
        <v>4717.79398</v>
      </c>
      <c r="F10" s="29" t="n">
        <v>4695.2428</v>
      </c>
      <c r="G10" s="29" t="n">
        <v>4518.59282</v>
      </c>
      <c r="H10" s="29" t="n">
        <v>4596.05595</v>
      </c>
      <c r="I10" s="29" t="n">
        <v>4755.40355</v>
      </c>
      <c r="J10" s="29" t="n">
        <v>4792.76972</v>
      </c>
      <c r="K10" s="29" t="n">
        <v>4769.97694</v>
      </c>
      <c r="L10" s="29" t="n">
        <v>4716.33597</v>
      </c>
      <c r="M10" s="29" t="n">
        <v>4718.85043</v>
      </c>
      <c r="N10" s="29" t="n">
        <v>4531.36057</v>
      </c>
      <c r="O10" s="29" t="n">
        <v>4556.93783</v>
      </c>
      <c r="Q10" s="29" t="n">
        <v>4550.18394</v>
      </c>
      <c r="R10" s="29" t="n">
        <v>4598.2016</v>
      </c>
      <c r="S10" s="29" t="n">
        <v>4574.01799</v>
      </c>
      <c r="V10" s="29" t="n">
        <v>4517.53874</v>
      </c>
      <c r="AB10" s="29" t="n">
        <v>4593.50157</v>
      </c>
      <c r="AC10" s="29" t="n">
        <v>4593.57009</v>
      </c>
      <c r="AD10" s="29" t="n">
        <v>0</v>
      </c>
    </row>
    <row r="11" ht="14.25" customHeight="1" s="28">
      <c r="A11" s="29" t="n">
        <v>1777417201</v>
      </c>
      <c r="B11" s="29" t="inlineStr">
        <is>
          <t>XAUUSD</t>
        </is>
      </c>
      <c r="C11" s="29" t="inlineStr">
        <is>
          <t>M15</t>
        </is>
      </c>
      <c r="D11" s="29" t="n">
        <v>4590.84</v>
      </c>
      <c r="E11" s="29" t="n">
        <v>4717.79398</v>
      </c>
      <c r="F11" s="29" t="n">
        <v>4695.2428</v>
      </c>
      <c r="G11" s="29" t="n">
        <v>4518.59282</v>
      </c>
      <c r="H11" s="29" t="n">
        <v>4596.05595</v>
      </c>
      <c r="I11" s="29" t="n">
        <v>4755.40355</v>
      </c>
      <c r="J11" s="29" t="n">
        <v>4792.76972</v>
      </c>
      <c r="K11" s="29" t="n">
        <v>4769.97694</v>
      </c>
      <c r="L11" s="29" t="n">
        <v>4716.33597</v>
      </c>
      <c r="M11" s="29" t="n">
        <v>4718.85043</v>
      </c>
      <c r="N11" s="29" t="n">
        <v>4531.36057</v>
      </c>
      <c r="O11" s="29" t="n">
        <v>4556.93783</v>
      </c>
      <c r="Q11" s="29" t="n">
        <v>4550.38638</v>
      </c>
      <c r="R11" s="29" t="n">
        <v>4598.40405</v>
      </c>
      <c r="S11" s="29" t="n">
        <v>4574.22043</v>
      </c>
      <c r="V11" s="29" t="n">
        <v>4517.74119</v>
      </c>
      <c r="AB11" s="29" t="n">
        <v>4594.17653</v>
      </c>
      <c r="AC11" s="29" t="n">
        <v>4593.87331</v>
      </c>
      <c r="AD11" s="29" t="n">
        <v>1</v>
      </c>
    </row>
    <row r="12" ht="14.25" customHeight="1" s="28">
      <c r="A12" s="29" t="n">
        <v>1777418101</v>
      </c>
      <c r="B12" s="29" t="inlineStr">
        <is>
          <t>XAUUSD</t>
        </is>
      </c>
      <c r="C12" s="29" t="inlineStr">
        <is>
          <t>M15</t>
        </is>
      </c>
      <c r="D12" s="29" t="n">
        <v>4592.2</v>
      </c>
      <c r="E12" s="29" t="n">
        <v>4717.79398</v>
      </c>
      <c r="F12" s="29" t="n">
        <v>4695.2428</v>
      </c>
      <c r="G12" s="29" t="n">
        <v>4518.59282</v>
      </c>
      <c r="H12" s="29" t="n">
        <v>4596.05595</v>
      </c>
      <c r="I12" s="29" t="n">
        <v>4755.40355</v>
      </c>
      <c r="J12" s="29" t="n">
        <v>4792.76972</v>
      </c>
      <c r="K12" s="29" t="n">
        <v>4769.97694</v>
      </c>
      <c r="L12" s="29" t="n">
        <v>4716.33597</v>
      </c>
      <c r="M12" s="29" t="n">
        <v>4718.85043</v>
      </c>
      <c r="N12" s="29" t="n">
        <v>4531.36057</v>
      </c>
      <c r="O12" s="29" t="n">
        <v>4556.93783</v>
      </c>
      <c r="Q12" s="29" t="n">
        <v>4550.58883</v>
      </c>
      <c r="R12" s="29" t="n">
        <v>4598.60649</v>
      </c>
      <c r="S12" s="29" t="n">
        <v>4574.42288</v>
      </c>
      <c r="V12" s="29" t="n">
        <v>4517.94364</v>
      </c>
      <c r="AB12" s="29" t="n">
        <v>4595.25788</v>
      </c>
      <c r="AC12" s="29" t="n">
        <v>4594.56559</v>
      </c>
      <c r="AD12" s="29" t="n">
        <v>0</v>
      </c>
    </row>
    <row r="13" ht="14.25" customHeight="1" s="28">
      <c r="A13" s="29" t="n">
        <v>1777419001</v>
      </c>
      <c r="B13" s="29" t="inlineStr">
        <is>
          <t>XAUUSD</t>
        </is>
      </c>
      <c r="C13" s="29" t="inlineStr">
        <is>
          <t>M15</t>
        </is>
      </c>
      <c r="D13" s="29" t="n">
        <v>4589.91</v>
      </c>
      <c r="E13" s="29" t="n">
        <v>4717.79398</v>
      </c>
      <c r="F13" s="29" t="n">
        <v>4695.2428</v>
      </c>
      <c r="G13" s="29" t="n">
        <v>4518.59282</v>
      </c>
      <c r="H13" s="29" t="n">
        <v>4596.05595</v>
      </c>
      <c r="I13" s="29" t="n">
        <v>4755.40355</v>
      </c>
      <c r="J13" s="29" t="n">
        <v>4792.76972</v>
      </c>
      <c r="K13" s="29" t="n">
        <v>4769.97694</v>
      </c>
      <c r="L13" s="29" t="n">
        <v>4716.33597</v>
      </c>
      <c r="M13" s="29" t="n">
        <v>4718.85043</v>
      </c>
      <c r="N13" s="29" t="n">
        <v>4531.36057</v>
      </c>
      <c r="O13" s="29" t="n">
        <v>4556.93783</v>
      </c>
      <c r="Q13" s="29" t="n">
        <v>4550.79127</v>
      </c>
      <c r="R13" s="29" t="n">
        <v>4598.80894</v>
      </c>
      <c r="S13" s="29" t="n">
        <v>4574.62533</v>
      </c>
      <c r="V13" s="29" t="n">
        <v>4518.14608</v>
      </c>
      <c r="AB13" s="29" t="n">
        <v>4596.45968</v>
      </c>
      <c r="AC13" s="29" t="n">
        <v>4595.51264</v>
      </c>
      <c r="AD13" s="29" t="n">
        <v>0</v>
      </c>
    </row>
    <row r="14" ht="14.25" customHeight="1" s="28">
      <c r="A14" s="29" t="n">
        <v>1777419901</v>
      </c>
      <c r="B14" s="29" t="inlineStr">
        <is>
          <t>XAUUSD</t>
        </is>
      </c>
      <c r="C14" s="29" t="inlineStr">
        <is>
          <t>M15</t>
        </is>
      </c>
      <c r="D14" s="29" t="n">
        <v>4595.51</v>
      </c>
      <c r="E14" s="29" t="n">
        <v>4717.79398</v>
      </c>
      <c r="F14" s="29" t="n">
        <v>4695.2428</v>
      </c>
      <c r="G14" s="29" t="n">
        <v>4518.59282</v>
      </c>
      <c r="H14" s="29" t="n">
        <v>4596.05595</v>
      </c>
      <c r="I14" s="29" t="n">
        <v>4755.40355</v>
      </c>
      <c r="J14" s="29" t="n">
        <v>4792.76972</v>
      </c>
      <c r="K14" s="29" t="n">
        <v>4769.97694</v>
      </c>
      <c r="L14" s="29" t="n">
        <v>4716.33597</v>
      </c>
      <c r="M14" s="29" t="n">
        <v>4718.85043</v>
      </c>
      <c r="N14" s="29" t="n">
        <v>4531.36057</v>
      </c>
      <c r="O14" s="29" t="n">
        <v>4556.93783</v>
      </c>
      <c r="Q14" s="29" t="n">
        <v>4550.99372</v>
      </c>
      <c r="R14" s="29" t="n">
        <v>4599.01138</v>
      </c>
      <c r="S14" s="29" t="n">
        <v>4574.82777</v>
      </c>
      <c r="V14" s="29" t="n">
        <v>4518.34853</v>
      </c>
      <c r="AB14" s="29" t="n">
        <v>4597.5665</v>
      </c>
      <c r="AC14" s="29" t="n">
        <v>4596.53957</v>
      </c>
      <c r="AD14" s="29" t="n">
        <v>0</v>
      </c>
    </row>
    <row r="15" ht="14.25" customHeight="1" s="28">
      <c r="A15" s="29" t="n">
        <v>1777420801</v>
      </c>
      <c r="B15" s="29" t="inlineStr">
        <is>
          <t>XAUUSD</t>
        </is>
      </c>
      <c r="C15" s="29" t="inlineStr">
        <is>
          <t>M15</t>
        </is>
      </c>
      <c r="D15" s="29" t="n">
        <v>4607.37</v>
      </c>
      <c r="E15" s="29" t="n">
        <v>4717.79398</v>
      </c>
      <c r="F15" s="29" t="n">
        <v>4695.2428</v>
      </c>
      <c r="G15" s="29" t="n">
        <v>4518.59282</v>
      </c>
      <c r="H15" s="29" t="n">
        <v>4596.05595</v>
      </c>
      <c r="I15" s="29" t="n">
        <v>4755.40355</v>
      </c>
      <c r="J15" s="29" t="n">
        <v>4792.76972</v>
      </c>
      <c r="K15" s="29" t="n">
        <v>4769.97694</v>
      </c>
      <c r="L15" s="29" t="n">
        <v>4716.33597</v>
      </c>
      <c r="M15" s="29" t="n">
        <v>4718.85043</v>
      </c>
      <c r="N15" s="29" t="n">
        <v>4531.36057</v>
      </c>
      <c r="O15" s="29" t="n">
        <v>4556.93783</v>
      </c>
      <c r="Q15" s="29" t="n">
        <v>4551.19617</v>
      </c>
      <c r="R15" s="29" t="n">
        <v>4599.21383</v>
      </c>
      <c r="S15" s="29" t="n">
        <v>4575.03022</v>
      </c>
      <c r="V15" s="29" t="n">
        <v>4518.55097</v>
      </c>
      <c r="Z15" s="29" t="n">
        <v>4610.15</v>
      </c>
      <c r="AB15" s="29" t="n">
        <v>4598.14045</v>
      </c>
      <c r="AC15" s="29" t="n">
        <v>4597.34001</v>
      </c>
      <c r="AD15" s="29" t="n">
        <v>0</v>
      </c>
    </row>
    <row r="16" ht="14.25" customHeight="1" s="28">
      <c r="A16" s="29" t="n">
        <v>1777421701</v>
      </c>
      <c r="B16" s="29" t="inlineStr">
        <is>
          <t>XAUUSD</t>
        </is>
      </c>
      <c r="C16" s="29" t="inlineStr">
        <is>
          <t>M15</t>
        </is>
      </c>
      <c r="D16" s="29" t="n">
        <v>4600.13</v>
      </c>
      <c r="E16" s="29" t="n">
        <v>4717.79398</v>
      </c>
      <c r="F16" s="29" t="n">
        <v>4695.2428</v>
      </c>
      <c r="G16" s="29" t="n">
        <v>4518.59282</v>
      </c>
      <c r="H16" s="29" t="n">
        <v>4596.05595</v>
      </c>
      <c r="I16" s="29" t="n">
        <v>4755.40355</v>
      </c>
      <c r="J16" s="29" t="n">
        <v>4792.76972</v>
      </c>
      <c r="K16" s="29" t="n">
        <v>4769.97694</v>
      </c>
      <c r="L16" s="29" t="n">
        <v>4716.33597</v>
      </c>
      <c r="M16" s="29" t="n">
        <v>4718.85043</v>
      </c>
      <c r="N16" s="29" t="n">
        <v>4531.36057</v>
      </c>
      <c r="O16" s="29" t="n">
        <v>4556.93783</v>
      </c>
      <c r="Q16" s="29" t="n">
        <v>4551.39861</v>
      </c>
      <c r="R16" s="29" t="n">
        <v>4599.41628</v>
      </c>
      <c r="S16" s="29" t="n">
        <v>4575.23266</v>
      </c>
      <c r="V16" s="29" t="n">
        <v>4518.75342</v>
      </c>
      <c r="AB16" s="29" t="n">
        <v>4597.69103</v>
      </c>
      <c r="AC16" s="29" t="n">
        <v>4597.51552</v>
      </c>
      <c r="AD16" s="29" t="n">
        <v>0</v>
      </c>
    </row>
    <row r="17" ht="14.25" customHeight="1" s="28">
      <c r="A17" s="29" t="n">
        <v>1777422601</v>
      </c>
      <c r="B17" s="29" t="inlineStr">
        <is>
          <t>XAUUSD</t>
        </is>
      </c>
      <c r="C17" s="29" t="inlineStr">
        <is>
          <t>M15</t>
        </is>
      </c>
      <c r="D17" s="29" t="n">
        <v>4603.88</v>
      </c>
      <c r="E17" s="29" t="n">
        <v>4717.79398</v>
      </c>
      <c r="F17" s="29" t="n">
        <v>4695.2428</v>
      </c>
      <c r="G17" s="29" t="n">
        <v>4518.59282</v>
      </c>
      <c r="H17" s="29" t="n">
        <v>4596.05595</v>
      </c>
      <c r="I17" s="29" t="n">
        <v>4755.40355</v>
      </c>
      <c r="J17" s="29" t="n">
        <v>4792.76972</v>
      </c>
      <c r="K17" s="29" t="n">
        <v>4769.97694</v>
      </c>
      <c r="L17" s="29" t="n">
        <v>4716.33597</v>
      </c>
      <c r="M17" s="29" t="n">
        <v>4718.85043</v>
      </c>
      <c r="N17" s="29" t="n">
        <v>4531.36057</v>
      </c>
      <c r="O17" s="29" t="n">
        <v>4556.93783</v>
      </c>
      <c r="Q17" s="29" t="n">
        <v>4551.60106</v>
      </c>
      <c r="R17" s="29" t="n">
        <v>4599.61872</v>
      </c>
      <c r="S17" s="29" t="n">
        <v>4575.43511</v>
      </c>
      <c r="V17" s="29" t="n">
        <v>4518.95586</v>
      </c>
      <c r="AB17" s="29" t="n">
        <v>4596.43241</v>
      </c>
      <c r="AC17" s="29" t="n">
        <v>4596.97397</v>
      </c>
      <c r="AD17" s="29" t="n">
        <v>1</v>
      </c>
    </row>
    <row r="18" ht="14.25" customHeight="1" s="28">
      <c r="A18" s="29" t="n">
        <v>1777423501</v>
      </c>
      <c r="B18" s="29" t="inlineStr">
        <is>
          <t>XAUUSD</t>
        </is>
      </c>
      <c r="C18" s="29" t="inlineStr">
        <is>
          <t>M15</t>
        </is>
      </c>
      <c r="D18" s="29" t="n">
        <v>4600.27</v>
      </c>
      <c r="E18" s="29" t="n">
        <v>4717.79398</v>
      </c>
      <c r="F18" s="29" t="n">
        <v>4695.2428</v>
      </c>
      <c r="G18" s="29" t="n">
        <v>4518.59282</v>
      </c>
      <c r="H18" s="29" t="n">
        <v>4596.05595</v>
      </c>
      <c r="I18" s="29" t="n">
        <v>4755.40355</v>
      </c>
      <c r="J18" s="29" t="n">
        <v>4792.76972</v>
      </c>
      <c r="K18" s="29" t="n">
        <v>4769.97694</v>
      </c>
      <c r="L18" s="29" t="n">
        <v>4716.33597</v>
      </c>
      <c r="M18" s="29" t="n">
        <v>4718.85043</v>
      </c>
      <c r="N18" s="29" t="n">
        <v>4531.36057</v>
      </c>
      <c r="O18" s="29" t="n">
        <v>4556.93783</v>
      </c>
      <c r="Q18" s="29" t="n">
        <v>4551.8035</v>
      </c>
      <c r="R18" s="29" t="n">
        <v>4599.82117</v>
      </c>
      <c r="S18" s="29" t="n">
        <v>4575.63755</v>
      </c>
      <c r="V18" s="29" t="n">
        <v>4519.15831</v>
      </c>
      <c r="AB18" s="29" t="n">
        <v>4594.49663</v>
      </c>
      <c r="AC18" s="29" t="n">
        <v>4595.7353</v>
      </c>
      <c r="AD18" s="29" t="n">
        <v>0</v>
      </c>
    </row>
    <row r="19" ht="14.25" customHeight="1" s="28">
      <c r="A19" s="29" t="n">
        <v>1777424401</v>
      </c>
      <c r="B19" s="29" t="inlineStr">
        <is>
          <t>XAUUSD</t>
        </is>
      </c>
      <c r="C19" s="29" t="inlineStr">
        <is>
          <t>M15</t>
        </is>
      </c>
      <c r="D19" s="29" t="n">
        <v>4582.65</v>
      </c>
      <c r="E19" s="29" t="n">
        <v>4717.79398</v>
      </c>
      <c r="F19" s="29" t="n">
        <v>4695.2428</v>
      </c>
      <c r="G19" s="29" t="n">
        <v>4518.59282</v>
      </c>
      <c r="H19" s="29" t="n">
        <v>4596.05595</v>
      </c>
      <c r="I19" s="29" t="n">
        <v>4755.40355</v>
      </c>
      <c r="J19" s="29" t="n">
        <v>4792.76972</v>
      </c>
      <c r="K19" s="29" t="n">
        <v>4769.97694</v>
      </c>
      <c r="L19" s="29" t="n">
        <v>4716.33597</v>
      </c>
      <c r="M19" s="29" t="n">
        <v>4718.85043</v>
      </c>
      <c r="N19" s="29" t="n">
        <v>4531.36057</v>
      </c>
      <c r="O19" s="29" t="n">
        <v>4556.93783</v>
      </c>
      <c r="Q19" s="29" t="n">
        <v>4552.00595</v>
      </c>
      <c r="R19" s="29" t="n">
        <v>4600.02361</v>
      </c>
      <c r="S19" s="29" t="n">
        <v>4575.84</v>
      </c>
      <c r="V19" s="29" t="n">
        <v>4519.36076</v>
      </c>
      <c r="AA19" s="29" t="n">
        <v>4575.84</v>
      </c>
      <c r="AB19" s="29" t="n">
        <v>4592.36752</v>
      </c>
      <c r="AC19" s="29" t="n">
        <v>4594.05141</v>
      </c>
      <c r="AD19" s="29" t="n">
        <v>0</v>
      </c>
    </row>
    <row r="20" ht="14.25" customHeight="1" s="28">
      <c r="A20" s="29" t="n">
        <v>1777425301</v>
      </c>
      <c r="B20" s="29" t="inlineStr">
        <is>
          <t>XAUUSD</t>
        </is>
      </c>
      <c r="C20" s="29" t="inlineStr">
        <is>
          <t>M15</t>
        </is>
      </c>
      <c r="D20" s="29" t="n">
        <v>4580.48</v>
      </c>
      <c r="E20" s="29" t="n">
        <v>4717.79398</v>
      </c>
      <c r="F20" s="29" t="n">
        <v>4695.2428</v>
      </c>
      <c r="G20" s="29" t="n">
        <v>4518.59282</v>
      </c>
      <c r="H20" s="29" t="n">
        <v>4596.05595</v>
      </c>
      <c r="I20" s="29" t="n">
        <v>4755.40355</v>
      </c>
      <c r="J20" s="29" t="n">
        <v>4792.76972</v>
      </c>
      <c r="K20" s="29" t="n">
        <v>4769.97694</v>
      </c>
      <c r="L20" s="29" t="n">
        <v>4716.33597</v>
      </c>
      <c r="M20" s="29" t="n">
        <v>4718.85043</v>
      </c>
      <c r="N20" s="29" t="n">
        <v>4531.36057</v>
      </c>
      <c r="O20" s="29" t="n">
        <v>4556.93783</v>
      </c>
      <c r="Q20" s="29" t="n">
        <v>4552.20839</v>
      </c>
      <c r="R20" s="29" t="n">
        <v>4600.22606</v>
      </c>
      <c r="S20" s="29" t="n">
        <v>4576.04245</v>
      </c>
      <c r="V20" s="29" t="n">
        <v>4519.5632</v>
      </c>
      <c r="AB20" s="29" t="n">
        <v>4590.93542</v>
      </c>
      <c r="AC20" s="29" t="n">
        <v>4592.49341</v>
      </c>
      <c r="AD20" s="29" t="n">
        <v>0</v>
      </c>
    </row>
    <row r="21" ht="14.25" customHeight="1" s="28">
      <c r="A21" s="29" t="n">
        <v>1777426201</v>
      </c>
      <c r="B21" s="29" t="inlineStr">
        <is>
          <t>XAUUSD</t>
        </is>
      </c>
      <c r="C21" s="29" t="inlineStr">
        <is>
          <t>M15</t>
        </is>
      </c>
      <c r="D21" s="29" t="n">
        <v>4590.56</v>
      </c>
      <c r="E21" s="29" t="n">
        <v>4717.79398</v>
      </c>
      <c r="F21" s="29" t="n">
        <v>4695.2428</v>
      </c>
      <c r="G21" s="29" t="n">
        <v>4518.59282</v>
      </c>
      <c r="H21" s="29" t="n">
        <v>4596.05595</v>
      </c>
      <c r="I21" s="29" t="n">
        <v>4755.40355</v>
      </c>
      <c r="J21" s="29" t="n">
        <v>4792.76972</v>
      </c>
      <c r="K21" s="29" t="n">
        <v>4769.97694</v>
      </c>
      <c r="L21" s="29" t="n">
        <v>4716.33597</v>
      </c>
      <c r="M21" s="29" t="n">
        <v>4718.85043</v>
      </c>
      <c r="N21" s="29" t="n">
        <v>4531.36057</v>
      </c>
      <c r="O21" s="29" t="n">
        <v>4556.93783</v>
      </c>
      <c r="Q21" s="29" t="n">
        <v>4552.41084</v>
      </c>
      <c r="R21" s="29" t="n">
        <v>4600.4285</v>
      </c>
      <c r="S21" s="29" t="n">
        <v>4576.24489</v>
      </c>
      <c r="V21" s="29" t="n">
        <v>4519.76565</v>
      </c>
      <c r="AB21" s="29" t="n">
        <v>4590.52418</v>
      </c>
      <c r="AC21" s="29" t="n">
        <v>4591.5088</v>
      </c>
      <c r="AD21" s="29" t="n">
        <v>0</v>
      </c>
    </row>
    <row r="22" ht="14.25" customHeight="1" s="28">
      <c r="A22" s="29" t="n">
        <v>1777427101</v>
      </c>
      <c r="B22" s="29" t="inlineStr">
        <is>
          <t>XAUUSD</t>
        </is>
      </c>
      <c r="C22" s="29" t="inlineStr">
        <is>
          <t>M15</t>
        </is>
      </c>
      <c r="D22" s="29" t="n">
        <v>4584.98</v>
      </c>
      <c r="E22" s="29" t="n">
        <v>4717.79398</v>
      </c>
      <c r="F22" s="29" t="n">
        <v>4695.2428</v>
      </c>
      <c r="G22" s="29" t="n">
        <v>4518.59282</v>
      </c>
      <c r="H22" s="29" t="n">
        <v>4596.05595</v>
      </c>
      <c r="I22" s="29" t="n">
        <v>4755.40355</v>
      </c>
      <c r="J22" s="29" t="n">
        <v>4792.76972</v>
      </c>
      <c r="K22" s="29" t="n">
        <v>4769.97694</v>
      </c>
      <c r="L22" s="29" t="n">
        <v>4716.33597</v>
      </c>
      <c r="M22" s="29" t="n">
        <v>4718.85043</v>
      </c>
      <c r="N22" s="29" t="n">
        <v>4531.36057</v>
      </c>
      <c r="O22" s="29" t="n">
        <v>4556.93783</v>
      </c>
      <c r="Q22" s="29" t="n">
        <v>4552.61328</v>
      </c>
      <c r="R22" s="29" t="n">
        <v>4600.63095</v>
      </c>
      <c r="S22" s="29" t="n">
        <v>4576.44734</v>
      </c>
      <c r="V22" s="29" t="n">
        <v>4519.96809</v>
      </c>
      <c r="AB22" s="29" t="n">
        <v>4590.93588</v>
      </c>
      <c r="AC22" s="29" t="n">
        <v>4591.22234</v>
      </c>
      <c r="AD22" s="29" t="n">
        <v>0</v>
      </c>
    </row>
    <row r="23" ht="14.25" customHeight="1" s="28">
      <c r="A23" s="29" t="n">
        <v>1777428001</v>
      </c>
      <c r="B23" s="29" t="inlineStr">
        <is>
          <t>XAUUSD</t>
        </is>
      </c>
      <c r="C23" s="29" t="inlineStr">
        <is>
          <t>M15</t>
        </is>
      </c>
      <c r="D23" s="29" t="n">
        <v>4600.87</v>
      </c>
      <c r="E23" s="29" t="n">
        <v>4717.79398</v>
      </c>
      <c r="F23" s="29" t="n">
        <v>4695.2428</v>
      </c>
      <c r="G23" s="29" t="n">
        <v>4518.59282</v>
      </c>
      <c r="H23" s="29" t="n">
        <v>4596.05595</v>
      </c>
      <c r="I23" s="29" t="n">
        <v>4755.40355</v>
      </c>
      <c r="J23" s="29" t="n">
        <v>4792.76972</v>
      </c>
      <c r="K23" s="29" t="n">
        <v>4769.97694</v>
      </c>
      <c r="L23" s="29" t="n">
        <v>4716.33597</v>
      </c>
      <c r="M23" s="29" t="n">
        <v>4718.85043</v>
      </c>
      <c r="N23" s="29" t="n">
        <v>4531.36057</v>
      </c>
      <c r="O23" s="29" t="n">
        <v>4556.93783</v>
      </c>
      <c r="Q23" s="29" t="n">
        <v>4552.81573</v>
      </c>
      <c r="R23" s="29" t="n">
        <v>4600.83339</v>
      </c>
      <c r="S23" s="29" t="n">
        <v>4576.64978</v>
      </c>
      <c r="V23" s="29" t="n">
        <v>4520.17054</v>
      </c>
      <c r="AB23" s="29" t="n">
        <v>4592.23227</v>
      </c>
      <c r="AC23" s="29" t="n">
        <v>4591.7273</v>
      </c>
      <c r="AD23" s="29" t="n">
        <v>1</v>
      </c>
    </row>
    <row r="24" ht="14.25" customHeight="1" s="28">
      <c r="A24" s="29" t="n">
        <v>1777428901</v>
      </c>
      <c r="B24" s="29" t="inlineStr">
        <is>
          <t>XAUUSD</t>
        </is>
      </c>
      <c r="C24" s="29" t="inlineStr">
        <is>
          <t>M15</t>
        </is>
      </c>
      <c r="D24" s="29" t="n">
        <v>4598.93</v>
      </c>
      <c r="E24" s="29" t="n">
        <v>4717.79398</v>
      </c>
      <c r="F24" s="29" t="n">
        <v>4695.2428</v>
      </c>
      <c r="G24" s="29" t="n">
        <v>4518.59282</v>
      </c>
      <c r="H24" s="29" t="n">
        <v>4596.05595</v>
      </c>
      <c r="I24" s="29" t="n">
        <v>4755.40355</v>
      </c>
      <c r="J24" s="29" t="n">
        <v>4792.76972</v>
      </c>
      <c r="K24" s="29" t="n">
        <v>4769.97694</v>
      </c>
      <c r="L24" s="29" t="n">
        <v>4716.33597</v>
      </c>
      <c r="M24" s="29" t="n">
        <v>4718.85043</v>
      </c>
      <c r="N24" s="29" t="n">
        <v>4531.36057</v>
      </c>
      <c r="O24" s="29" t="n">
        <v>4556.93783</v>
      </c>
      <c r="Q24" s="29" t="n">
        <v>4553.01818</v>
      </c>
      <c r="R24" s="29" t="n">
        <v>4601.03584</v>
      </c>
      <c r="S24" s="29" t="n">
        <v>4576.85223</v>
      </c>
      <c r="V24" s="29" t="n">
        <v>4520.37298</v>
      </c>
      <c r="AB24" s="29" t="n">
        <v>4593.74089</v>
      </c>
      <c r="AC24" s="29" t="n">
        <v>4592.7341</v>
      </c>
      <c r="AD24" s="29" t="n">
        <v>0</v>
      </c>
    </row>
    <row r="25" ht="14.25" customHeight="1" s="28">
      <c r="A25" s="29" t="n">
        <v>1777429801</v>
      </c>
      <c r="B25" s="29" t="inlineStr">
        <is>
          <t>XAUUSD</t>
        </is>
      </c>
      <c r="C25" s="29" t="inlineStr">
        <is>
          <t>M15</t>
        </is>
      </c>
      <c r="D25" s="29" t="n">
        <v>4596.92</v>
      </c>
      <c r="E25" s="29" t="n">
        <v>4717.79398</v>
      </c>
      <c r="F25" s="29" t="n">
        <v>4695.2428</v>
      </c>
      <c r="G25" s="29" t="n">
        <v>4518.59282</v>
      </c>
      <c r="H25" s="29" t="n">
        <v>4596.05595</v>
      </c>
      <c r="I25" s="29" t="n">
        <v>4755.40355</v>
      </c>
      <c r="J25" s="29" t="n">
        <v>4792.76972</v>
      </c>
      <c r="K25" s="29" t="n">
        <v>4769.97694</v>
      </c>
      <c r="L25" s="29" t="n">
        <v>4716.33597</v>
      </c>
      <c r="M25" s="29" t="n">
        <v>4718.85043</v>
      </c>
      <c r="N25" s="29" t="n">
        <v>4531.36057</v>
      </c>
      <c r="O25" s="29" t="n">
        <v>4556.93783</v>
      </c>
      <c r="Q25" s="29" t="n">
        <v>4553.22062</v>
      </c>
      <c r="R25" s="29" t="n">
        <v>4601.23829</v>
      </c>
      <c r="S25" s="29" t="n">
        <v>4577.05467</v>
      </c>
      <c r="V25" s="29" t="n">
        <v>4520.57543</v>
      </c>
      <c r="AB25" s="29" t="n">
        <v>4595.26049</v>
      </c>
      <c r="AC25" s="29" t="n">
        <v>4593.99729</v>
      </c>
      <c r="AD25" s="29" t="n">
        <v>0</v>
      </c>
    </row>
    <row r="26" ht="14.25" customHeight="1" s="28">
      <c r="A26" s="29" t="n">
        <v>1777430701</v>
      </c>
      <c r="B26" s="29" t="inlineStr">
        <is>
          <t>XAUUSD</t>
        </is>
      </c>
      <c r="C26" s="29" t="inlineStr">
        <is>
          <t>M15</t>
        </is>
      </c>
      <c r="D26" s="29" t="n">
        <v>4593.75</v>
      </c>
      <c r="E26" s="29" t="n">
        <v>4717.79398</v>
      </c>
      <c r="F26" s="29" t="n">
        <v>4695.2428</v>
      </c>
      <c r="G26" s="29" t="n">
        <v>4518.59282</v>
      </c>
      <c r="H26" s="29" t="n">
        <v>4596.05595</v>
      </c>
      <c r="I26" s="29" t="n">
        <v>4755.40355</v>
      </c>
      <c r="J26" s="29" t="n">
        <v>4792.76972</v>
      </c>
      <c r="K26" s="29" t="n">
        <v>4769.97694</v>
      </c>
      <c r="L26" s="29" t="n">
        <v>4716.33597</v>
      </c>
      <c r="M26" s="29" t="n">
        <v>4718.85043</v>
      </c>
      <c r="N26" s="29" t="n">
        <v>4531.36057</v>
      </c>
      <c r="O26" s="29" t="n">
        <v>4556.93783</v>
      </c>
      <c r="Q26" s="29" t="n">
        <v>4553.42307</v>
      </c>
      <c r="R26" s="29" t="n">
        <v>4601.44073</v>
      </c>
      <c r="S26" s="29" t="n">
        <v>4577.25712</v>
      </c>
      <c r="V26" s="29" t="n">
        <v>4520.77788</v>
      </c>
      <c r="AB26" s="29" t="n">
        <v>4596.61909</v>
      </c>
      <c r="AC26" s="29" t="n">
        <v>4595.30819</v>
      </c>
      <c r="AD26" s="29" t="n">
        <v>0</v>
      </c>
    </row>
    <row r="27" ht="14.25" customHeight="1" s="28">
      <c r="A27" s="29" t="n">
        <v>1777431601</v>
      </c>
      <c r="B27" s="29" t="inlineStr">
        <is>
          <t>XAUUSD</t>
        </is>
      </c>
      <c r="C27" s="29" t="inlineStr">
        <is>
          <t>M15</t>
        </is>
      </c>
      <c r="D27" s="29" t="n">
        <v>4601.89</v>
      </c>
      <c r="E27" s="29" t="n">
        <v>4717.79398</v>
      </c>
      <c r="F27" s="29" t="n">
        <v>4695.2428</v>
      </c>
      <c r="G27" s="29" t="n">
        <v>4518.59282</v>
      </c>
      <c r="H27" s="29" t="n">
        <v>4596.05595</v>
      </c>
      <c r="I27" s="29" t="n">
        <v>4755.40355</v>
      </c>
      <c r="J27" s="29" t="n">
        <v>4792.76972</v>
      </c>
      <c r="K27" s="29" t="n">
        <v>4769.97694</v>
      </c>
      <c r="L27" s="29" t="n">
        <v>4716.33597</v>
      </c>
      <c r="M27" s="29" t="n">
        <v>4718.85043</v>
      </c>
      <c r="N27" s="29" t="n">
        <v>4531.36057</v>
      </c>
      <c r="O27" s="29" t="n">
        <v>4556.93783</v>
      </c>
      <c r="Q27" s="29" t="n">
        <v>4553.62551</v>
      </c>
      <c r="R27" s="29" t="n">
        <v>4601.64318</v>
      </c>
      <c r="S27" s="29" t="n">
        <v>4577.45957</v>
      </c>
      <c r="V27" s="29" t="n">
        <v>4520.98032</v>
      </c>
      <c r="AB27" s="29" t="n">
        <v>4597.78291</v>
      </c>
      <c r="AC27" s="29" t="n">
        <v>4596.54555</v>
      </c>
      <c r="AD27" s="29" t="n">
        <v>0</v>
      </c>
    </row>
    <row r="28" ht="14.25" customHeight="1" s="28">
      <c r="A28" s="29" t="n">
        <v>1777432501</v>
      </c>
      <c r="B28" s="29" t="inlineStr">
        <is>
          <t>XAUUSD</t>
        </is>
      </c>
      <c r="C28" s="29" t="inlineStr">
        <is>
          <t>M15</t>
        </is>
      </c>
      <c r="D28" s="29" t="n">
        <v>4598.67</v>
      </c>
      <c r="E28" s="29" t="n">
        <v>4717.79398</v>
      </c>
      <c r="F28" s="29" t="n">
        <v>4695.2428</v>
      </c>
      <c r="G28" s="29" t="n">
        <v>4518.59282</v>
      </c>
      <c r="H28" s="29" t="n">
        <v>4596.05595</v>
      </c>
      <c r="I28" s="29" t="n">
        <v>4755.40355</v>
      </c>
      <c r="J28" s="29" t="n">
        <v>4792.76972</v>
      </c>
      <c r="K28" s="29" t="n">
        <v>4769.97694</v>
      </c>
      <c r="L28" s="29" t="n">
        <v>4716.33597</v>
      </c>
      <c r="M28" s="29" t="n">
        <v>4718.85043</v>
      </c>
      <c r="N28" s="29" t="n">
        <v>4531.36057</v>
      </c>
      <c r="O28" s="29" t="n">
        <v>4556.93783</v>
      </c>
      <c r="Q28" s="29" t="n">
        <v>4553.82796</v>
      </c>
      <c r="R28" s="29" t="n">
        <v>4601.84562</v>
      </c>
      <c r="S28" s="29" t="n">
        <v>4577.66201</v>
      </c>
      <c r="V28" s="29" t="n">
        <v>4521.18277</v>
      </c>
      <c r="AB28" s="29" t="n">
        <v>4598.54124</v>
      </c>
      <c r="AC28" s="29" t="n">
        <v>4597.5434</v>
      </c>
      <c r="AD28" s="29" t="n">
        <v>0</v>
      </c>
    </row>
    <row r="29" ht="14.25" customHeight="1" s="28">
      <c r="A29" s="29" t="n">
        <v>1777433401</v>
      </c>
      <c r="B29" s="29" t="inlineStr">
        <is>
          <t>XAUUSD</t>
        </is>
      </c>
      <c r="C29" s="29" t="inlineStr">
        <is>
          <t>M15</t>
        </is>
      </c>
      <c r="D29" s="29" t="n">
        <v>4593.91</v>
      </c>
      <c r="E29" s="29" t="n">
        <v>4717.79398</v>
      </c>
      <c r="F29" s="29" t="n">
        <v>4695.2428</v>
      </c>
      <c r="G29" s="29" t="n">
        <v>4518.59282</v>
      </c>
      <c r="H29" s="29" t="n">
        <v>4596.05595</v>
      </c>
      <c r="I29" s="29" t="n">
        <v>4755.40355</v>
      </c>
      <c r="J29" s="29" t="n">
        <v>4792.76972</v>
      </c>
      <c r="K29" s="29" t="n">
        <v>4769.97694</v>
      </c>
      <c r="L29" s="29" t="n">
        <v>4716.33597</v>
      </c>
      <c r="M29" s="29" t="n">
        <v>4718.85043</v>
      </c>
      <c r="N29" s="29" t="n">
        <v>4531.36057</v>
      </c>
      <c r="O29" s="29" t="n">
        <v>4556.93783</v>
      </c>
      <c r="Q29" s="29" t="n">
        <v>4554.0304</v>
      </c>
      <c r="R29" s="29" t="n">
        <v>4602.04807</v>
      </c>
      <c r="S29" s="29" t="n">
        <v>4577.86446</v>
      </c>
      <c r="V29" s="29" t="n">
        <v>4521.38521</v>
      </c>
      <c r="AB29" s="29" t="n">
        <v>4599.08196</v>
      </c>
      <c r="AC29" s="29" t="n">
        <v>4598.31268</v>
      </c>
      <c r="AD29" s="29" t="n">
        <v>0</v>
      </c>
    </row>
    <row r="30" ht="14.25" customHeight="1" s="28">
      <c r="A30" s="29" t="n">
        <v>1777434301</v>
      </c>
      <c r="B30" s="29" t="inlineStr">
        <is>
          <t>XAUUSD</t>
        </is>
      </c>
      <c r="C30" s="29" t="inlineStr">
        <is>
          <t>M15</t>
        </is>
      </c>
      <c r="D30" s="29" t="n">
        <v>4595.48</v>
      </c>
      <c r="E30" s="29" t="n">
        <v>4717.79398</v>
      </c>
      <c r="F30" s="29" t="n">
        <v>4695.2428</v>
      </c>
      <c r="G30" s="29" t="n">
        <v>4518.59282</v>
      </c>
      <c r="H30" s="29" t="n">
        <v>4596.05595</v>
      </c>
      <c r="I30" s="29" t="n">
        <v>4755.40355</v>
      </c>
      <c r="J30" s="29" t="n">
        <v>4792.76972</v>
      </c>
      <c r="K30" s="29" t="n">
        <v>4769.97694</v>
      </c>
      <c r="L30" s="29" t="n">
        <v>4716.33597</v>
      </c>
      <c r="M30" s="29" t="n">
        <v>4718.85043</v>
      </c>
      <c r="N30" s="29" t="n">
        <v>4531.36057</v>
      </c>
      <c r="O30" s="29" t="n">
        <v>4556.93783</v>
      </c>
      <c r="Q30" s="29" t="n">
        <v>4554.23285</v>
      </c>
      <c r="R30" s="29" t="n">
        <v>4602.25051</v>
      </c>
      <c r="S30" s="29" t="n">
        <v>4578.0669</v>
      </c>
      <c r="V30" s="29" t="n">
        <v>4521.58766</v>
      </c>
      <c r="AB30" s="29" t="n">
        <v>4599.67116</v>
      </c>
      <c r="AC30" s="29" t="n">
        <v>4598.99192</v>
      </c>
      <c r="AD30" s="29" t="n">
        <v>0</v>
      </c>
    </row>
    <row r="31" ht="14.25" customHeight="1" s="28">
      <c r="A31" s="29" t="n">
        <v>1777435201</v>
      </c>
      <c r="B31" s="29" t="inlineStr">
        <is>
          <t>XAUUSD</t>
        </is>
      </c>
      <c r="C31" s="29" t="inlineStr">
        <is>
          <t>M15</t>
        </is>
      </c>
      <c r="D31" s="29" t="n">
        <v>4600.68</v>
      </c>
      <c r="E31" s="29" t="n">
        <v>4717.79398</v>
      </c>
      <c r="F31" s="29" t="n">
        <v>4695.2428</v>
      </c>
      <c r="G31" s="29" t="n">
        <v>4518.59282</v>
      </c>
      <c r="H31" s="29" t="n">
        <v>4596.05595</v>
      </c>
      <c r="I31" s="29" t="n">
        <v>4755.40355</v>
      </c>
      <c r="J31" s="29" t="n">
        <v>4792.76972</v>
      </c>
      <c r="K31" s="29" t="n">
        <v>4769.97694</v>
      </c>
      <c r="L31" s="29" t="n">
        <v>4716.33597</v>
      </c>
      <c r="M31" s="29" t="n">
        <v>4718.85043</v>
      </c>
      <c r="N31" s="29" t="n">
        <v>4531.36057</v>
      </c>
      <c r="O31" s="29" t="n">
        <v>4556.93783</v>
      </c>
      <c r="Q31" s="29" t="n">
        <v>4554.4353</v>
      </c>
      <c r="R31" s="29" t="n">
        <v>4602.45296</v>
      </c>
      <c r="S31" s="29" t="n">
        <v>4578.26935</v>
      </c>
      <c r="V31" s="29" t="n">
        <v>4521.7901</v>
      </c>
      <c r="AB31" s="29" t="n">
        <v>4600.35332</v>
      </c>
      <c r="AC31" s="29" t="n">
        <v>4599.67262</v>
      </c>
      <c r="AD31" s="29" t="n">
        <v>0</v>
      </c>
    </row>
    <row r="32" ht="14.25" customHeight="1" s="28">
      <c r="A32" s="29" t="n">
        <v>1777436101</v>
      </c>
      <c r="B32" s="29" t="inlineStr">
        <is>
          <t>XAUUSD</t>
        </is>
      </c>
      <c r="C32" s="29" t="inlineStr">
        <is>
          <t>M15</t>
        </is>
      </c>
      <c r="D32" s="29" t="n">
        <v>4601.86</v>
      </c>
      <c r="E32" s="29" t="n">
        <v>4717.79398</v>
      </c>
      <c r="F32" s="29" t="n">
        <v>4695.2428</v>
      </c>
      <c r="G32" s="29" t="n">
        <v>4518.59282</v>
      </c>
      <c r="H32" s="29" t="n">
        <v>4596.05595</v>
      </c>
      <c r="I32" s="29" t="n">
        <v>4755.40355</v>
      </c>
      <c r="J32" s="29" t="n">
        <v>4792.76972</v>
      </c>
      <c r="K32" s="29" t="n">
        <v>4769.97694</v>
      </c>
      <c r="L32" s="29" t="n">
        <v>4716.33597</v>
      </c>
      <c r="M32" s="29" t="n">
        <v>4718.85043</v>
      </c>
      <c r="N32" s="29" t="n">
        <v>4531.36057</v>
      </c>
      <c r="O32" s="29" t="n">
        <v>4556.93783</v>
      </c>
      <c r="Q32" s="29" t="n">
        <v>4554.63774</v>
      </c>
      <c r="R32" s="29" t="n">
        <v>4602.65541</v>
      </c>
      <c r="S32" s="29" t="n">
        <v>4578.47179</v>
      </c>
      <c r="V32" s="29" t="n">
        <v>4521.99255</v>
      </c>
      <c r="AB32" s="29" t="n">
        <v>4600.96576</v>
      </c>
      <c r="AC32" s="29" t="n">
        <v>4600.31919</v>
      </c>
      <c r="AD32" s="29" t="n">
        <v>0</v>
      </c>
    </row>
    <row r="33" ht="14.25" customHeight="1" s="28">
      <c r="A33" s="29" t="n">
        <v>1777437001</v>
      </c>
      <c r="B33" s="29" t="inlineStr">
        <is>
          <t>XAUUSD</t>
        </is>
      </c>
      <c r="C33" s="29" t="inlineStr">
        <is>
          <t>M15</t>
        </is>
      </c>
      <c r="D33" s="29" t="n">
        <v>4602.15</v>
      </c>
      <c r="E33" s="29" t="n">
        <v>4717.79398</v>
      </c>
      <c r="F33" s="29" t="n">
        <v>4695.2428</v>
      </c>
      <c r="G33" s="29" t="n">
        <v>4518.59282</v>
      </c>
      <c r="H33" s="29" t="n">
        <v>4596.05595</v>
      </c>
      <c r="I33" s="29" t="n">
        <v>4755.40355</v>
      </c>
      <c r="J33" s="29" t="n">
        <v>4792.76972</v>
      </c>
      <c r="K33" s="29" t="n">
        <v>4769.97694</v>
      </c>
      <c r="L33" s="29" t="n">
        <v>4716.33597</v>
      </c>
      <c r="M33" s="29" t="n">
        <v>4718.85043</v>
      </c>
      <c r="N33" s="29" t="n">
        <v>4531.36057</v>
      </c>
      <c r="O33" s="29" t="n">
        <v>4556.93783</v>
      </c>
      <c r="Q33" s="29" t="n">
        <v>4554.84019</v>
      </c>
      <c r="R33" s="29" t="n">
        <v>4602.85785</v>
      </c>
      <c r="S33" s="29" t="n">
        <v>4578.67424</v>
      </c>
      <c r="V33" s="29" t="n">
        <v>4522.195</v>
      </c>
      <c r="AB33" s="29" t="n">
        <v>4601.38659</v>
      </c>
      <c r="AC33" s="29" t="n">
        <v>4600.85289</v>
      </c>
      <c r="AD33" s="29" t="n">
        <v>0</v>
      </c>
    </row>
    <row r="34" ht="14.25" customHeight="1" s="28">
      <c r="A34" s="29" t="n">
        <v>1777437901</v>
      </c>
      <c r="B34" s="29" t="inlineStr">
        <is>
          <t>XAUUSD</t>
        </is>
      </c>
      <c r="C34" s="29" t="inlineStr">
        <is>
          <t>M15</t>
        </is>
      </c>
      <c r="D34" s="29" t="n">
        <v>4604.85</v>
      </c>
      <c r="E34" s="29" t="n">
        <v>4717.79398</v>
      </c>
      <c r="F34" s="29" t="n">
        <v>4695.2428</v>
      </c>
      <c r="G34" s="29" t="n">
        <v>4518.59282</v>
      </c>
      <c r="H34" s="29" t="n">
        <v>4596.05595</v>
      </c>
      <c r="I34" s="29" t="n">
        <v>4755.40355</v>
      </c>
      <c r="J34" s="29" t="n">
        <v>4792.76972</v>
      </c>
      <c r="K34" s="29" t="n">
        <v>4769.97694</v>
      </c>
      <c r="L34" s="29" t="n">
        <v>4716.33597</v>
      </c>
      <c r="M34" s="29" t="n">
        <v>4718.85043</v>
      </c>
      <c r="N34" s="29" t="n">
        <v>4531.36057</v>
      </c>
      <c r="O34" s="29" t="n">
        <v>4556.93783</v>
      </c>
      <c r="Q34" s="29" t="n">
        <v>4555.04263</v>
      </c>
      <c r="R34" s="29" t="n">
        <v>4603.0603</v>
      </c>
      <c r="S34" s="29" t="n">
        <v>4578.87669</v>
      </c>
      <c r="V34" s="29" t="n">
        <v>4522.39744</v>
      </c>
      <c r="AB34" s="29" t="n">
        <v>4601.43118</v>
      </c>
      <c r="AC34" s="29" t="n">
        <v>4601.14204</v>
      </c>
      <c r="AD34" s="29" t="n">
        <v>0</v>
      </c>
    </row>
    <row r="35" ht="14.25" customHeight="1" s="28">
      <c r="A35" s="29" t="n">
        <v>1777438801</v>
      </c>
      <c r="B35" s="29" t="inlineStr">
        <is>
          <t>XAUUSD</t>
        </is>
      </c>
      <c r="C35" s="29" t="inlineStr">
        <is>
          <t>M15</t>
        </is>
      </c>
      <c r="D35" s="29" t="n">
        <v>4601.15</v>
      </c>
      <c r="E35" s="29" t="n">
        <v>4717.79398</v>
      </c>
      <c r="F35" s="29" t="n">
        <v>4695.2428</v>
      </c>
      <c r="G35" s="29" t="n">
        <v>4518.59282</v>
      </c>
      <c r="H35" s="29" t="n">
        <v>4596.05595</v>
      </c>
      <c r="I35" s="29" t="n">
        <v>4755.40355</v>
      </c>
      <c r="J35" s="29" t="n">
        <v>4792.76972</v>
      </c>
      <c r="K35" s="29" t="n">
        <v>4769.97694</v>
      </c>
      <c r="L35" s="29" t="n">
        <v>4716.33597</v>
      </c>
      <c r="M35" s="29" t="n">
        <v>4718.85043</v>
      </c>
      <c r="N35" s="29" t="n">
        <v>4531.36057</v>
      </c>
      <c r="O35" s="29" t="n">
        <v>4556.93783</v>
      </c>
      <c r="Q35" s="29" t="n">
        <v>4555.24508</v>
      </c>
      <c r="R35" s="29" t="n">
        <v>4603.26274</v>
      </c>
      <c r="S35" s="29" t="n">
        <v>4579.07913</v>
      </c>
      <c r="V35" s="29" t="n">
        <v>4522.59989</v>
      </c>
      <c r="Z35" s="29" t="n">
        <v>4607.77</v>
      </c>
      <c r="AB35" s="29" t="n">
        <v>4600.84516</v>
      </c>
      <c r="AC35" s="29" t="n">
        <v>4600.9936</v>
      </c>
      <c r="AD35" s="29" t="n">
        <v>1</v>
      </c>
    </row>
    <row r="36" ht="14.25" customHeight="1" s="28">
      <c r="A36" s="29" t="n">
        <v>1777439701</v>
      </c>
      <c r="B36" s="29" t="inlineStr">
        <is>
          <t>XAUUSD</t>
        </is>
      </c>
      <c r="C36" s="29" t="inlineStr">
        <is>
          <t>M15</t>
        </is>
      </c>
      <c r="D36" s="29" t="n">
        <v>4600.72</v>
      </c>
      <c r="E36" s="29" t="n">
        <v>4717.79398</v>
      </c>
      <c r="F36" s="29" t="n">
        <v>4695.2428</v>
      </c>
      <c r="G36" s="29" t="n">
        <v>4518.59282</v>
      </c>
      <c r="H36" s="29" t="n">
        <v>4596.05595</v>
      </c>
      <c r="I36" s="29" t="n">
        <v>4755.40355</v>
      </c>
      <c r="J36" s="29" t="n">
        <v>4792.76972</v>
      </c>
      <c r="K36" s="29" t="n">
        <v>4769.97694</v>
      </c>
      <c r="L36" s="29" t="n">
        <v>4716.33597</v>
      </c>
      <c r="M36" s="29" t="n">
        <v>4718.85043</v>
      </c>
      <c r="N36" s="29" t="n">
        <v>4531.36057</v>
      </c>
      <c r="O36" s="29" t="n">
        <v>4556.93783</v>
      </c>
      <c r="Q36" s="29" t="n">
        <v>4555.44752</v>
      </c>
      <c r="R36" s="29" t="n">
        <v>4603.46519</v>
      </c>
      <c r="S36" s="29" t="n">
        <v>4579.28158</v>
      </c>
      <c r="V36" s="29" t="n">
        <v>4522.80233</v>
      </c>
      <c r="AB36" s="29" t="n">
        <v>4599.55498</v>
      </c>
      <c r="AC36" s="29" t="n">
        <v>4600.27429</v>
      </c>
      <c r="AD36" s="29" t="n">
        <v>0</v>
      </c>
    </row>
    <row r="37" ht="14.25" customHeight="1" s="28">
      <c r="A37" s="29" t="n">
        <v>1777440601</v>
      </c>
      <c r="B37" s="29" t="inlineStr">
        <is>
          <t>XAUUSD</t>
        </is>
      </c>
      <c r="C37" s="29" t="inlineStr">
        <is>
          <t>M15</t>
        </is>
      </c>
      <c r="D37" s="29" t="n">
        <v>4599.05</v>
      </c>
      <c r="E37" s="29" t="n">
        <v>4717.79398</v>
      </c>
      <c r="F37" s="29" t="n">
        <v>4695.2428</v>
      </c>
      <c r="G37" s="29" t="n">
        <v>4518.59282</v>
      </c>
      <c r="H37" s="29" t="n">
        <v>4596.05595</v>
      </c>
      <c r="I37" s="29" t="n">
        <v>4755.40355</v>
      </c>
      <c r="J37" s="29" t="n">
        <v>4792.76972</v>
      </c>
      <c r="K37" s="29" t="n">
        <v>4769.97694</v>
      </c>
      <c r="L37" s="29" t="n">
        <v>4716.33597</v>
      </c>
      <c r="M37" s="29" t="n">
        <v>4718.85043</v>
      </c>
      <c r="N37" s="29" t="n">
        <v>4531.36057</v>
      </c>
      <c r="O37" s="29" t="n">
        <v>4556.93783</v>
      </c>
      <c r="Q37" s="29" t="n">
        <v>4555.64997</v>
      </c>
      <c r="R37" s="29" t="n">
        <v>4603.66763</v>
      </c>
      <c r="S37" s="29" t="n">
        <v>4579.48402</v>
      </c>
      <c r="V37" s="29" t="n">
        <v>4523.00478</v>
      </c>
      <c r="AB37" s="29" t="n">
        <v>4597.46432</v>
      </c>
      <c r="AC37" s="29" t="n">
        <v>4598.86931</v>
      </c>
      <c r="AD37" s="29" t="n">
        <v>0</v>
      </c>
    </row>
    <row r="38" ht="14.25" customHeight="1" s="28">
      <c r="A38" s="29" t="n">
        <v>1777441501</v>
      </c>
      <c r="B38" s="29" t="inlineStr">
        <is>
          <t>XAUUSD</t>
        </is>
      </c>
      <c r="C38" s="29" t="inlineStr">
        <is>
          <t>M15</t>
        </is>
      </c>
      <c r="D38" s="29" t="n">
        <v>4590.9</v>
      </c>
      <c r="E38" s="29" t="n">
        <v>4717.79398</v>
      </c>
      <c r="F38" s="29" t="n">
        <v>4695.2428</v>
      </c>
      <c r="G38" s="29" t="n">
        <v>4518.59282</v>
      </c>
      <c r="H38" s="29" t="n">
        <v>4596.05595</v>
      </c>
      <c r="I38" s="29" t="n">
        <v>4755.40355</v>
      </c>
      <c r="J38" s="29" t="n">
        <v>4792.76972</v>
      </c>
      <c r="K38" s="29" t="n">
        <v>4769.97694</v>
      </c>
      <c r="L38" s="29" t="n">
        <v>4716.33597</v>
      </c>
      <c r="M38" s="29" t="n">
        <v>4718.85043</v>
      </c>
      <c r="N38" s="29" t="n">
        <v>4531.36057</v>
      </c>
      <c r="O38" s="29" t="n">
        <v>4556.93783</v>
      </c>
      <c r="Q38" s="29" t="n">
        <v>4555.85242</v>
      </c>
      <c r="R38" s="29" t="n">
        <v>4603.87008</v>
      </c>
      <c r="S38" s="29" t="n">
        <v>4579.68647</v>
      </c>
      <c r="V38" s="29" t="n">
        <v>4523.20722</v>
      </c>
      <c r="AB38" s="29" t="n">
        <v>4594.57734</v>
      </c>
      <c r="AC38" s="29" t="n">
        <v>4596.72332</v>
      </c>
      <c r="AD38" s="29" t="n">
        <v>0</v>
      </c>
    </row>
    <row r="39" ht="14.25" customHeight="1" s="28">
      <c r="A39" s="29" t="n">
        <v>1777442401</v>
      </c>
      <c r="B39" s="29" t="inlineStr">
        <is>
          <t>XAUUSD</t>
        </is>
      </c>
      <c r="C39" s="29" t="inlineStr">
        <is>
          <t>M15</t>
        </is>
      </c>
      <c r="D39" s="29" t="n">
        <v>4588.73</v>
      </c>
      <c r="E39" s="29" t="n">
        <v>4717.79398</v>
      </c>
      <c r="F39" s="29" t="n">
        <v>4695.2428</v>
      </c>
      <c r="G39" s="29" t="n">
        <v>4518.59282</v>
      </c>
      <c r="H39" s="29" t="n">
        <v>4596.05595</v>
      </c>
      <c r="I39" s="29" t="n">
        <v>4755.40355</v>
      </c>
      <c r="J39" s="29" t="n">
        <v>4792.76972</v>
      </c>
      <c r="K39" s="29" t="n">
        <v>4769.97694</v>
      </c>
      <c r="L39" s="29" t="n">
        <v>4716.33597</v>
      </c>
      <c r="M39" s="29" t="n">
        <v>4718.85043</v>
      </c>
      <c r="N39" s="29" t="n">
        <v>4531.36057</v>
      </c>
      <c r="O39" s="29" t="n">
        <v>4556.93783</v>
      </c>
      <c r="Q39" s="29" t="n">
        <v>4556.05486</v>
      </c>
      <c r="R39" s="29" t="n">
        <v>4604.07253</v>
      </c>
      <c r="S39" s="29" t="n">
        <v>4579.88891</v>
      </c>
      <c r="V39" s="29" t="n">
        <v>4523.40967</v>
      </c>
      <c r="AB39" s="29" t="n">
        <v>4591.20114</v>
      </c>
      <c r="AC39" s="29" t="n">
        <v>4593.96223</v>
      </c>
      <c r="AD39" s="29" t="n">
        <v>0</v>
      </c>
    </row>
    <row r="40" ht="14.25" customHeight="1" s="28">
      <c r="A40" s="29" t="n">
        <v>1777443301</v>
      </c>
      <c r="B40" s="29" t="inlineStr">
        <is>
          <t>XAUUSD</t>
        </is>
      </c>
      <c r="C40" s="29" t="inlineStr">
        <is>
          <t>M15</t>
        </is>
      </c>
      <c r="D40" s="29" t="n">
        <v>4585.04</v>
      </c>
      <c r="E40" s="29" t="n">
        <v>4717.79398</v>
      </c>
      <c r="F40" s="29" t="n">
        <v>4695.2428</v>
      </c>
      <c r="G40" s="29" t="n">
        <v>4518.59282</v>
      </c>
      <c r="H40" s="29" t="n">
        <v>4596.05595</v>
      </c>
      <c r="I40" s="29" t="n">
        <v>4755.40355</v>
      </c>
      <c r="J40" s="29" t="n">
        <v>4792.76972</v>
      </c>
      <c r="K40" s="29" t="n">
        <v>4769.97694</v>
      </c>
      <c r="L40" s="29" t="n">
        <v>4716.33597</v>
      </c>
      <c r="M40" s="29" t="n">
        <v>4718.85043</v>
      </c>
      <c r="N40" s="29" t="n">
        <v>4531.36057</v>
      </c>
      <c r="O40" s="29" t="n">
        <v>4556.93783</v>
      </c>
      <c r="Q40" s="29" t="n">
        <v>4556.25731</v>
      </c>
      <c r="R40" s="29" t="n">
        <v>4604.27497</v>
      </c>
      <c r="S40" s="29" t="n">
        <v>4580.09136</v>
      </c>
      <c r="V40" s="29" t="n">
        <v>4523.61212</v>
      </c>
      <c r="AB40" s="29" t="n">
        <v>4587.55405</v>
      </c>
      <c r="AC40" s="29" t="n">
        <v>4590.75814</v>
      </c>
      <c r="AD40" s="29" t="n">
        <v>0</v>
      </c>
    </row>
    <row r="41" ht="14.25" customHeight="1" s="28">
      <c r="A41" s="29" t="n">
        <v>1777444201</v>
      </c>
      <c r="B41" s="29" t="inlineStr">
        <is>
          <t>XAUUSD</t>
        </is>
      </c>
      <c r="C41" s="29" t="inlineStr">
        <is>
          <t>M15</t>
        </is>
      </c>
      <c r="D41" s="29" t="n">
        <v>4585.03</v>
      </c>
      <c r="E41" s="29" t="n">
        <v>4717.79398</v>
      </c>
      <c r="F41" s="29" t="n">
        <v>4695.2428</v>
      </c>
      <c r="G41" s="29" t="n">
        <v>4518.59282</v>
      </c>
      <c r="H41" s="29" t="n">
        <v>4596.05595</v>
      </c>
      <c r="I41" s="29" t="n">
        <v>4755.40355</v>
      </c>
      <c r="J41" s="29" t="n">
        <v>4792.76972</v>
      </c>
      <c r="K41" s="29" t="n">
        <v>4769.97694</v>
      </c>
      <c r="L41" s="29" t="n">
        <v>4716.33597</v>
      </c>
      <c r="M41" s="29" t="n">
        <v>4718.85043</v>
      </c>
      <c r="N41" s="29" t="n">
        <v>4531.36057</v>
      </c>
      <c r="O41" s="29" t="n">
        <v>4556.93783</v>
      </c>
      <c r="Q41" s="29" t="n">
        <v>4556.45975</v>
      </c>
      <c r="R41" s="29" t="n">
        <v>4604.47742</v>
      </c>
      <c r="S41" s="29" t="n">
        <v>4580.29381</v>
      </c>
      <c r="V41" s="29" t="n">
        <v>4523.81456</v>
      </c>
      <c r="AB41" s="29" t="n">
        <v>4583.86023</v>
      </c>
      <c r="AC41" s="29" t="n">
        <v>4587.30918</v>
      </c>
      <c r="AD41" s="29" t="n">
        <v>0</v>
      </c>
    </row>
    <row r="42" ht="14.25" customHeight="1" s="28">
      <c r="A42" s="29" t="n">
        <v>1777445101</v>
      </c>
      <c r="B42" s="29" t="inlineStr">
        <is>
          <t>XAUUSD</t>
        </is>
      </c>
      <c r="C42" s="29" t="inlineStr">
        <is>
          <t>M15</t>
        </is>
      </c>
      <c r="D42" s="29" t="n">
        <v>4584.52</v>
      </c>
      <c r="E42" s="29" t="n">
        <v>4717.79398</v>
      </c>
      <c r="F42" s="29" t="n">
        <v>4695.2428</v>
      </c>
      <c r="G42" s="29" t="n">
        <v>4518.59282</v>
      </c>
      <c r="H42" s="29" t="n">
        <v>4596.05595</v>
      </c>
      <c r="I42" s="29" t="n">
        <v>4755.40355</v>
      </c>
      <c r="J42" s="29" t="n">
        <v>4792.76972</v>
      </c>
      <c r="K42" s="29" t="n">
        <v>4769.97694</v>
      </c>
      <c r="L42" s="29" t="n">
        <v>4716.33597</v>
      </c>
      <c r="M42" s="29" t="n">
        <v>4718.85043</v>
      </c>
      <c r="N42" s="29" t="n">
        <v>4531.36057</v>
      </c>
      <c r="O42" s="29" t="n">
        <v>4556.93783</v>
      </c>
      <c r="Q42" s="29" t="n">
        <v>4556.6622</v>
      </c>
      <c r="R42" s="29" t="n">
        <v>4604.67986</v>
      </c>
      <c r="S42" s="29" t="n">
        <v>4580.49625</v>
      </c>
      <c r="V42" s="29" t="n">
        <v>4524.01701</v>
      </c>
      <c r="AB42" s="29" t="n">
        <v>4580.25654</v>
      </c>
      <c r="AC42" s="29" t="n">
        <v>4583.78286</v>
      </c>
      <c r="AD42" s="29" t="n">
        <v>0</v>
      </c>
    </row>
    <row r="43" ht="14.25" customHeight="1" s="28">
      <c r="A43" s="29" t="n">
        <v>1777446001</v>
      </c>
      <c r="B43" s="29" t="inlineStr">
        <is>
          <t>XAUUSD</t>
        </is>
      </c>
      <c r="C43" s="29" t="inlineStr">
        <is>
          <t>M15</t>
        </is>
      </c>
      <c r="D43" s="29" t="n">
        <v>4578.72</v>
      </c>
      <c r="E43" s="29" t="n">
        <v>4717.79398</v>
      </c>
      <c r="F43" s="29" t="n">
        <v>4695.2428</v>
      </c>
      <c r="G43" s="29" t="n">
        <v>4518.59282</v>
      </c>
      <c r="H43" s="29" t="n">
        <v>4596.05595</v>
      </c>
      <c r="I43" s="29" t="n">
        <v>4755.40355</v>
      </c>
      <c r="J43" s="29" t="n">
        <v>4792.76972</v>
      </c>
      <c r="K43" s="29" t="n">
        <v>4769.97694</v>
      </c>
      <c r="L43" s="29" t="n">
        <v>4716.33597</v>
      </c>
      <c r="M43" s="29" t="n">
        <v>4718.85043</v>
      </c>
      <c r="N43" s="29" t="n">
        <v>4531.36057</v>
      </c>
      <c r="O43" s="29" t="n">
        <v>4556.93783</v>
      </c>
      <c r="Q43" s="29" t="n">
        <v>4556.86464</v>
      </c>
      <c r="R43" s="29" t="n">
        <v>4604.88231</v>
      </c>
      <c r="S43" s="29" t="n">
        <v>4580.6987</v>
      </c>
      <c r="V43" s="29" t="n">
        <v>4524.21945</v>
      </c>
      <c r="AB43" s="29" t="n">
        <v>4576.87731</v>
      </c>
      <c r="AC43" s="29" t="n">
        <v>4580.33009</v>
      </c>
      <c r="AD43" s="29" t="n">
        <v>0</v>
      </c>
    </row>
    <row r="44" ht="14.25" customHeight="1" s="28">
      <c r="A44" s="29" t="n">
        <v>1777446901</v>
      </c>
      <c r="B44" s="29" t="inlineStr">
        <is>
          <t>XAUUSD</t>
        </is>
      </c>
      <c r="C44" s="29" t="inlineStr">
        <is>
          <t>M15</t>
        </is>
      </c>
      <c r="D44" s="29" t="n">
        <v>4575.11</v>
      </c>
      <c r="E44" s="29" t="n">
        <v>4717.79398</v>
      </c>
      <c r="F44" s="29" t="n">
        <v>4695.2428</v>
      </c>
      <c r="G44" s="29" t="n">
        <v>4518.59282</v>
      </c>
      <c r="H44" s="29" t="n">
        <v>4596.05595</v>
      </c>
      <c r="I44" s="29" t="n">
        <v>4755.40355</v>
      </c>
      <c r="J44" s="29" t="n">
        <v>4792.76972</v>
      </c>
      <c r="K44" s="29" t="n">
        <v>4769.97694</v>
      </c>
      <c r="L44" s="29" t="n">
        <v>4716.33597</v>
      </c>
      <c r="M44" s="29" t="n">
        <v>4718.85043</v>
      </c>
      <c r="N44" s="29" t="n">
        <v>4531.36057</v>
      </c>
      <c r="O44" s="29" t="n">
        <v>4556.93783</v>
      </c>
      <c r="Q44" s="29" t="n">
        <v>4557.06709</v>
      </c>
      <c r="R44" s="29" t="n">
        <v>4605.08475</v>
      </c>
      <c r="S44" s="29" t="n">
        <v>4580.90114</v>
      </c>
      <c r="V44" s="29" t="n">
        <v>4524.4219</v>
      </c>
      <c r="AB44" s="29" t="n">
        <v>4573.98749</v>
      </c>
      <c r="AC44" s="29" t="n">
        <v>4577.15879</v>
      </c>
      <c r="AD44" s="29" t="n">
        <v>0</v>
      </c>
    </row>
    <row r="45" ht="14.25" customHeight="1" s="28">
      <c r="A45" s="29" t="n">
        <v>1777447801</v>
      </c>
      <c r="B45" s="29" t="inlineStr">
        <is>
          <t>XAUUSD</t>
        </is>
      </c>
      <c r="C45" s="29" t="inlineStr">
        <is>
          <t>M15</t>
        </is>
      </c>
      <c r="D45" s="29" t="n">
        <v>4570.56</v>
      </c>
      <c r="E45" s="29" t="n">
        <v>4717.79398</v>
      </c>
      <c r="F45" s="29" t="n">
        <v>4695.2428</v>
      </c>
      <c r="G45" s="29" t="n">
        <v>4518.59282</v>
      </c>
      <c r="H45" s="29" t="n">
        <v>4596.05595</v>
      </c>
      <c r="I45" s="29" t="n">
        <v>4755.40355</v>
      </c>
      <c r="J45" s="29" t="n">
        <v>4792.76972</v>
      </c>
      <c r="K45" s="29" t="n">
        <v>4769.97694</v>
      </c>
      <c r="L45" s="29" t="n">
        <v>4716.33597</v>
      </c>
      <c r="M45" s="29" t="n">
        <v>4718.85043</v>
      </c>
      <c r="N45" s="29" t="n">
        <v>4531.36057</v>
      </c>
      <c r="O45" s="29" t="n">
        <v>4556.93783</v>
      </c>
      <c r="Q45" s="29" t="n">
        <v>4557.26954</v>
      </c>
      <c r="R45" s="29" t="n">
        <v>4605.2872</v>
      </c>
      <c r="S45" s="29" t="n">
        <v>4581.10359</v>
      </c>
      <c r="V45" s="29" t="n">
        <v>4524.62434</v>
      </c>
      <c r="AB45" s="29" t="n">
        <v>4571.72337</v>
      </c>
      <c r="AC45" s="29" t="n">
        <v>4574.44108</v>
      </c>
      <c r="AD45" s="29" t="n">
        <v>0</v>
      </c>
    </row>
    <row r="46" ht="14.25" customHeight="1" s="28">
      <c r="A46" s="29" t="n">
        <v>1777448701</v>
      </c>
      <c r="B46" s="29" t="inlineStr">
        <is>
          <t>XAUUSD</t>
        </is>
      </c>
      <c r="C46" s="29" t="inlineStr">
        <is>
          <t>M15</t>
        </is>
      </c>
      <c r="D46" s="29" t="n">
        <v>4567.92</v>
      </c>
      <c r="E46" s="29" t="n">
        <v>4717.79398</v>
      </c>
      <c r="F46" s="29" t="n">
        <v>4695.2428</v>
      </c>
      <c r="G46" s="29" t="n">
        <v>4518.59282</v>
      </c>
      <c r="H46" s="29" t="n">
        <v>4596.05595</v>
      </c>
      <c r="I46" s="29" t="n">
        <v>4755.40355</v>
      </c>
      <c r="J46" s="29" t="n">
        <v>4792.76972</v>
      </c>
      <c r="K46" s="29" t="n">
        <v>4769.97694</v>
      </c>
      <c r="L46" s="29" t="n">
        <v>4716.33597</v>
      </c>
      <c r="M46" s="29" t="n">
        <v>4718.85043</v>
      </c>
      <c r="N46" s="29" t="n">
        <v>4531.36057</v>
      </c>
      <c r="O46" s="29" t="n">
        <v>4556.93783</v>
      </c>
      <c r="Q46" s="29" t="n">
        <v>4557.47198</v>
      </c>
      <c r="R46" s="29" t="n">
        <v>4605.48965</v>
      </c>
      <c r="S46" s="29" t="n">
        <v>4581.30603</v>
      </c>
      <c r="V46" s="29" t="n">
        <v>4524.82679</v>
      </c>
      <c r="AB46" s="29" t="n">
        <v>4570.13884</v>
      </c>
      <c r="AC46" s="29" t="n">
        <v>4572.28996</v>
      </c>
      <c r="AD46" s="29" t="n">
        <v>0</v>
      </c>
    </row>
    <row r="47" ht="14.25" customHeight="1" s="28">
      <c r="A47" s="29" t="n">
        <v>1777449601</v>
      </c>
      <c r="B47" s="29" t="inlineStr">
        <is>
          <t>XAUUSD</t>
        </is>
      </c>
      <c r="C47" s="29" t="inlineStr">
        <is>
          <t>M15</t>
        </is>
      </c>
      <c r="D47" s="29" t="n">
        <v>4565.44</v>
      </c>
      <c r="E47" s="29" t="n">
        <v>4717.79398</v>
      </c>
      <c r="F47" s="29" t="n">
        <v>4695.2428</v>
      </c>
      <c r="G47" s="29" t="n">
        <v>4518.59282</v>
      </c>
      <c r="H47" s="29" t="n">
        <v>4596.05595</v>
      </c>
      <c r="I47" s="29" t="n">
        <v>4755.40355</v>
      </c>
      <c r="J47" s="29" t="n">
        <v>4792.76972</v>
      </c>
      <c r="K47" s="29" t="n">
        <v>4769.97694</v>
      </c>
      <c r="L47" s="29" t="n">
        <v>4716.33597</v>
      </c>
      <c r="M47" s="29" t="n">
        <v>4718.85043</v>
      </c>
      <c r="N47" s="29" t="n">
        <v>4531.36057</v>
      </c>
      <c r="O47" s="29" t="n">
        <v>4556.93783</v>
      </c>
      <c r="Q47" s="29" t="n">
        <v>4557.67443</v>
      </c>
      <c r="R47" s="29" t="n">
        <v>4605.69209</v>
      </c>
      <c r="S47" s="29" t="n">
        <v>4581.50848</v>
      </c>
      <c r="V47" s="29" t="n">
        <v>4525.02924</v>
      </c>
      <c r="AB47" s="29" t="n">
        <v>4569.16033</v>
      </c>
      <c r="AC47" s="29" t="n">
        <v>4570.72515</v>
      </c>
      <c r="AD47" s="29" t="n">
        <v>0</v>
      </c>
    </row>
    <row r="48" ht="14.25" customHeight="1" s="28">
      <c r="A48" s="29" t="n">
        <v>1777450501</v>
      </c>
      <c r="B48" s="29" t="inlineStr">
        <is>
          <t>XAUUSD</t>
        </is>
      </c>
      <c r="C48" s="29" t="inlineStr">
        <is>
          <t>M15</t>
        </is>
      </c>
      <c r="D48" s="29" t="n">
        <v>4566.65</v>
      </c>
      <c r="E48" s="29" t="n">
        <v>4717.79398</v>
      </c>
      <c r="F48" s="29" t="n">
        <v>4695.2428</v>
      </c>
      <c r="G48" s="29" t="n">
        <v>4518.59282</v>
      </c>
      <c r="H48" s="29" t="n">
        <v>4596.05595</v>
      </c>
      <c r="I48" s="29" t="n">
        <v>4755.40355</v>
      </c>
      <c r="J48" s="29" t="n">
        <v>4792.76972</v>
      </c>
      <c r="K48" s="29" t="n">
        <v>4769.97694</v>
      </c>
      <c r="L48" s="29" t="n">
        <v>4716.33597</v>
      </c>
      <c r="M48" s="29" t="n">
        <v>4718.85043</v>
      </c>
      <c r="N48" s="29" t="n">
        <v>4531.36057</v>
      </c>
      <c r="O48" s="29" t="n">
        <v>4556.93783</v>
      </c>
      <c r="Q48" s="29" t="n">
        <v>4557.87687</v>
      </c>
      <c r="R48" s="29" t="n">
        <v>4605.89454</v>
      </c>
      <c r="S48" s="29" t="n">
        <v>4581.71093</v>
      </c>
      <c r="V48" s="29" t="n">
        <v>4525.23168</v>
      </c>
      <c r="AB48" s="29" t="n">
        <v>4568.61557</v>
      </c>
      <c r="AC48" s="29" t="n">
        <v>4569.67036</v>
      </c>
      <c r="AD48" s="29" t="n">
        <v>0</v>
      </c>
    </row>
    <row r="49" ht="14.25" customHeight="1" s="28">
      <c r="A49" s="29" t="n">
        <v>1777451401</v>
      </c>
      <c r="B49" s="29" t="inlineStr">
        <is>
          <t>XAUUSD</t>
        </is>
      </c>
      <c r="C49" s="29" t="inlineStr">
        <is>
          <t>M15</t>
        </is>
      </c>
      <c r="D49" s="29" t="n">
        <v>4568.37</v>
      </c>
      <c r="E49" s="29" t="n">
        <v>4717.79398</v>
      </c>
      <c r="F49" s="29" t="n">
        <v>4695.2428</v>
      </c>
      <c r="G49" s="29" t="n">
        <v>4518.59282</v>
      </c>
      <c r="H49" s="29" t="n">
        <v>4596.05595</v>
      </c>
      <c r="I49" s="29" t="n">
        <v>4755.40355</v>
      </c>
      <c r="J49" s="29" t="n">
        <v>4792.76972</v>
      </c>
      <c r="K49" s="29" t="n">
        <v>4769.97694</v>
      </c>
      <c r="L49" s="29" t="n">
        <v>4716.33597</v>
      </c>
      <c r="M49" s="29" t="n">
        <v>4718.85043</v>
      </c>
      <c r="N49" s="29" t="n">
        <v>4531.36057</v>
      </c>
      <c r="O49" s="29" t="n">
        <v>4556.93783</v>
      </c>
      <c r="Q49" s="29" t="n">
        <v>4558.07932</v>
      </c>
      <c r="R49" s="29" t="n">
        <v>4606.09698</v>
      </c>
      <c r="S49" s="29" t="n">
        <v>4581.91337</v>
      </c>
      <c r="V49" s="29" t="n">
        <v>4525.43413</v>
      </c>
      <c r="AB49" s="29" t="n">
        <v>4568.24917</v>
      </c>
      <c r="AC49" s="29" t="n">
        <v>4568.95976</v>
      </c>
      <c r="AD49" s="29" t="n">
        <v>0</v>
      </c>
    </row>
    <row r="50" ht="14.25" customHeight="1" s="28">
      <c r="A50" s="29" t="n">
        <v>1777452301</v>
      </c>
      <c r="B50" s="29" t="inlineStr">
        <is>
          <t>XAUUSD</t>
        </is>
      </c>
      <c r="C50" s="29" t="inlineStr">
        <is>
          <t>M15</t>
        </is>
      </c>
      <c r="D50" s="29" t="n">
        <v>4573.2</v>
      </c>
      <c r="E50" s="29" t="n">
        <v>4717.79398</v>
      </c>
      <c r="F50" s="29" t="n">
        <v>4695.2428</v>
      </c>
      <c r="G50" s="29" t="n">
        <v>4518.59282</v>
      </c>
      <c r="H50" s="29" t="n">
        <v>4596.05595</v>
      </c>
      <c r="I50" s="29" t="n">
        <v>4755.40355</v>
      </c>
      <c r="J50" s="29" t="n">
        <v>4792.76972</v>
      </c>
      <c r="K50" s="29" t="n">
        <v>4769.97694</v>
      </c>
      <c r="L50" s="29" t="n">
        <v>4716.33597</v>
      </c>
      <c r="M50" s="29" t="n">
        <v>4718.85043</v>
      </c>
      <c r="N50" s="29" t="n">
        <v>4531.36057</v>
      </c>
      <c r="O50" s="29" t="n">
        <v>4556.93783</v>
      </c>
      <c r="Q50" s="29" t="n">
        <v>4558.28176</v>
      </c>
      <c r="R50" s="29" t="n">
        <v>4606.29943</v>
      </c>
      <c r="S50" s="29" t="n">
        <v>4582.11582</v>
      </c>
      <c r="V50" s="29" t="n">
        <v>4525.63657</v>
      </c>
      <c r="AB50" s="29" t="n">
        <v>4567.82815</v>
      </c>
      <c r="AC50" s="29" t="n">
        <v>4568.39395</v>
      </c>
      <c r="AD50" s="29" t="n">
        <v>0</v>
      </c>
    </row>
    <row r="51" ht="14.25" customHeight="1" s="28">
      <c r="A51" s="29" t="n">
        <v>1777453201</v>
      </c>
      <c r="B51" s="29" t="inlineStr">
        <is>
          <t>XAUUSD</t>
        </is>
      </c>
      <c r="C51" s="29" t="inlineStr">
        <is>
          <t>M15</t>
        </is>
      </c>
      <c r="D51" s="29" t="n">
        <v>4574.2</v>
      </c>
      <c r="E51" s="29" t="n">
        <v>4717.79398</v>
      </c>
      <c r="F51" s="29" t="n">
        <v>4695.2428</v>
      </c>
      <c r="G51" s="29" t="n">
        <v>4518.59282</v>
      </c>
      <c r="H51" s="29" t="n">
        <v>4596.05595</v>
      </c>
      <c r="I51" s="29" t="n">
        <v>4755.40355</v>
      </c>
      <c r="J51" s="29" t="n">
        <v>4792.76972</v>
      </c>
      <c r="K51" s="29" t="n">
        <v>4769.97694</v>
      </c>
      <c r="L51" s="29" t="n">
        <v>4716.33597</v>
      </c>
      <c r="M51" s="29" t="n">
        <v>4718.85043</v>
      </c>
      <c r="N51" s="29" t="n">
        <v>4531.36057</v>
      </c>
      <c r="O51" s="29" t="n">
        <v>4556.93783</v>
      </c>
      <c r="Q51" s="29" t="n">
        <v>4558.48421</v>
      </c>
      <c r="R51" s="29" t="n">
        <v>4606.50187</v>
      </c>
      <c r="S51" s="29" t="n">
        <v>4582.31826</v>
      </c>
      <c r="V51" s="29" t="n">
        <v>4525.83902</v>
      </c>
      <c r="AB51" s="29" t="n">
        <v>4567.12603</v>
      </c>
      <c r="AC51" s="29" t="n">
        <v>4567.75999</v>
      </c>
      <c r="AD51" s="29" t="n">
        <v>0</v>
      </c>
    </row>
    <row r="52" ht="14.25" customHeight="1" s="28">
      <c r="A52" s="29" t="n">
        <v>1777454101</v>
      </c>
      <c r="B52" s="29" t="inlineStr">
        <is>
          <t>XAUUSD</t>
        </is>
      </c>
      <c r="C52" s="29" t="inlineStr">
        <is>
          <t>M15</t>
        </is>
      </c>
      <c r="D52" s="29" t="n">
        <v>4565.69</v>
      </c>
      <c r="E52" s="29" t="n">
        <v>4717.79398</v>
      </c>
      <c r="F52" s="29" t="n">
        <v>4695.2428</v>
      </c>
      <c r="G52" s="29" t="n">
        <v>4518.59282</v>
      </c>
      <c r="H52" s="29" t="n">
        <v>4596.05595</v>
      </c>
      <c r="I52" s="29" t="n">
        <v>4755.40355</v>
      </c>
      <c r="J52" s="29" t="n">
        <v>4792.76972</v>
      </c>
      <c r="K52" s="29" t="n">
        <v>4769.97694</v>
      </c>
      <c r="L52" s="29" t="n">
        <v>4716.33597</v>
      </c>
      <c r="M52" s="29" t="n">
        <v>4718.85043</v>
      </c>
      <c r="N52" s="29" t="n">
        <v>4531.36057</v>
      </c>
      <c r="O52" s="29" t="n">
        <v>4556.93783</v>
      </c>
      <c r="Q52" s="29" t="n">
        <v>4558.68666</v>
      </c>
      <c r="R52" s="29" t="n">
        <v>4606.70432</v>
      </c>
      <c r="S52" s="29" t="n">
        <v>4582.52071</v>
      </c>
      <c r="V52" s="29" t="n">
        <v>4526.04146</v>
      </c>
      <c r="AB52" s="29" t="n">
        <v>4566.14866</v>
      </c>
      <c r="AC52" s="29" t="n">
        <v>4566.95433</v>
      </c>
      <c r="AD52" s="29" t="n">
        <v>0</v>
      </c>
    </row>
    <row r="53" ht="14.25" customHeight="1" s="28">
      <c r="A53" s="29" t="n">
        <v>1777455001</v>
      </c>
      <c r="B53" s="29" t="inlineStr">
        <is>
          <t>XAUUSD</t>
        </is>
      </c>
      <c r="C53" s="29" t="inlineStr">
        <is>
          <t>M15</t>
        </is>
      </c>
      <c r="D53" s="29" t="n">
        <v>4558.86</v>
      </c>
      <c r="E53" s="29" t="n">
        <v>4717.79398</v>
      </c>
      <c r="F53" s="29" t="n">
        <v>4695.2428</v>
      </c>
      <c r="G53" s="29" t="n">
        <v>4518.59282</v>
      </c>
      <c r="H53" s="29" t="n">
        <v>4596.05595</v>
      </c>
      <c r="I53" s="29" t="n">
        <v>4755.40355</v>
      </c>
      <c r="J53" s="29" t="n">
        <v>4792.76972</v>
      </c>
      <c r="K53" s="29" t="n">
        <v>4769.97694</v>
      </c>
      <c r="L53" s="29" t="n">
        <v>4716.33597</v>
      </c>
      <c r="M53" s="29" t="n">
        <v>4718.85043</v>
      </c>
      <c r="N53" s="29" t="n">
        <v>4531.36057</v>
      </c>
      <c r="O53" s="29" t="n">
        <v>4556.93783</v>
      </c>
      <c r="Q53" s="29" t="n">
        <v>4558.8891</v>
      </c>
      <c r="R53" s="29" t="n">
        <v>4606.90677</v>
      </c>
      <c r="S53" s="29" t="n">
        <v>4582.72315</v>
      </c>
      <c r="V53" s="29" t="n">
        <v>4526.24391</v>
      </c>
      <c r="AB53" s="29" t="n">
        <v>4565.28688</v>
      </c>
      <c r="AC53" s="29" t="n">
        <v>4566.1206</v>
      </c>
      <c r="AD53" s="29" t="n">
        <v>0</v>
      </c>
    </row>
    <row r="54" ht="14.25" customHeight="1" s="28">
      <c r="A54" s="29" t="n">
        <v>1777455901</v>
      </c>
      <c r="B54" s="29" t="inlineStr">
        <is>
          <t>XAUUSD</t>
        </is>
      </c>
      <c r="C54" s="29" t="inlineStr">
        <is>
          <t>M15</t>
        </is>
      </c>
      <c r="D54" s="29" t="n">
        <v>4555.94</v>
      </c>
      <c r="E54" s="29" t="n">
        <v>4717.79398</v>
      </c>
      <c r="F54" s="29" t="n">
        <v>4695.2428</v>
      </c>
      <c r="G54" s="29" t="n">
        <v>4518.59282</v>
      </c>
      <c r="H54" s="29" t="n">
        <v>4596.05595</v>
      </c>
      <c r="I54" s="29" t="n">
        <v>4755.40355</v>
      </c>
      <c r="J54" s="29" t="n">
        <v>4792.76972</v>
      </c>
      <c r="K54" s="29" t="n">
        <v>4769.97694</v>
      </c>
      <c r="L54" s="29" t="n">
        <v>4716.33597</v>
      </c>
      <c r="M54" s="29" t="n">
        <v>4718.85043</v>
      </c>
      <c r="N54" s="29" t="n">
        <v>4531.36057</v>
      </c>
      <c r="O54" s="29" t="n">
        <v>4556.93783</v>
      </c>
      <c r="Q54" s="29" t="n">
        <v>4559.09155</v>
      </c>
      <c r="R54" s="29" t="n">
        <v>4607.10921</v>
      </c>
      <c r="S54" s="29" t="n">
        <v>4582.9256</v>
      </c>
      <c r="V54" s="29" t="n">
        <v>4526.44636</v>
      </c>
      <c r="AB54" s="29" t="n">
        <v>4564.86135</v>
      </c>
      <c r="AC54" s="29" t="n">
        <v>4565.49098</v>
      </c>
      <c r="AD54" s="29" t="n">
        <v>0</v>
      </c>
    </row>
    <row r="55" ht="14.25" customHeight="1" s="28">
      <c r="A55" s="29" t="n">
        <v>1777456801</v>
      </c>
      <c r="B55" s="29" t="inlineStr">
        <is>
          <t>XAUUSD</t>
        </is>
      </c>
      <c r="C55" s="29" t="inlineStr">
        <is>
          <t>M15</t>
        </is>
      </c>
      <c r="D55" s="29" t="n">
        <v>4568.04</v>
      </c>
      <c r="E55" s="29" t="n">
        <v>4717.79398</v>
      </c>
      <c r="F55" s="29" t="n">
        <v>4695.2428</v>
      </c>
      <c r="G55" s="29" t="n">
        <v>4518.59282</v>
      </c>
      <c r="H55" s="29" t="n">
        <v>4596.05595</v>
      </c>
      <c r="I55" s="29" t="n">
        <v>4755.40355</v>
      </c>
      <c r="J55" s="29" t="n">
        <v>4792.76972</v>
      </c>
      <c r="K55" s="29" t="n">
        <v>4769.97694</v>
      </c>
      <c r="L55" s="29" t="n">
        <v>4716.33597</v>
      </c>
      <c r="M55" s="29" t="n">
        <v>4718.85043</v>
      </c>
      <c r="N55" s="29" t="n">
        <v>4531.36057</v>
      </c>
      <c r="O55" s="29" t="n">
        <v>4556.93783</v>
      </c>
      <c r="Q55" s="29" t="n">
        <v>4559.29399</v>
      </c>
      <c r="R55" s="29" t="n">
        <v>4607.31166</v>
      </c>
      <c r="S55" s="29" t="n">
        <v>4583.12805</v>
      </c>
      <c r="V55" s="29" t="n">
        <v>4526.6488</v>
      </c>
      <c r="AB55" s="29" t="n">
        <v>4565.07204</v>
      </c>
      <c r="AC55" s="29" t="n">
        <v>4565.28151</v>
      </c>
      <c r="AD55" s="29" t="n">
        <v>0</v>
      </c>
    </row>
    <row r="56" ht="14.25" customHeight="1" s="28">
      <c r="A56" s="29" t="n">
        <v>1777457701</v>
      </c>
      <c r="B56" s="29" t="inlineStr">
        <is>
          <t>XAUUSD</t>
        </is>
      </c>
      <c r="C56" s="29" t="inlineStr">
        <is>
          <t>M15</t>
        </is>
      </c>
      <c r="D56" s="29" t="n">
        <v>4571.78</v>
      </c>
      <c r="E56" s="29" t="n">
        <v>4717.79398</v>
      </c>
      <c r="F56" s="29" t="n">
        <v>4695.2428</v>
      </c>
      <c r="G56" s="29" t="n">
        <v>4518.59282</v>
      </c>
      <c r="H56" s="29" t="n">
        <v>4596.05595</v>
      </c>
      <c r="I56" s="29" t="n">
        <v>4755.40355</v>
      </c>
      <c r="J56" s="29" t="n">
        <v>4792.76972</v>
      </c>
      <c r="K56" s="29" t="n">
        <v>4769.97694</v>
      </c>
      <c r="L56" s="29" t="n">
        <v>4716.33597</v>
      </c>
      <c r="M56" s="29" t="n">
        <v>4718.85043</v>
      </c>
      <c r="N56" s="29" t="n">
        <v>4531.36057</v>
      </c>
      <c r="O56" s="29" t="n">
        <v>4556.93783</v>
      </c>
      <c r="Q56" s="29" t="n">
        <v>4559.49644</v>
      </c>
      <c r="R56" s="29" t="n">
        <v>4607.5141</v>
      </c>
      <c r="S56" s="29" t="n">
        <v>4583.33049</v>
      </c>
      <c r="V56" s="29" t="n">
        <v>4526.85125</v>
      </c>
      <c r="AB56" s="29" t="n">
        <v>4565.60789</v>
      </c>
      <c r="AC56" s="29" t="n">
        <v>4565.4447</v>
      </c>
      <c r="AD56" s="29" t="n">
        <v>1</v>
      </c>
    </row>
    <row r="57" ht="14.25" customHeight="1" s="28">
      <c r="A57" s="29" t="n">
        <v>1777458601</v>
      </c>
      <c r="B57" s="29" t="inlineStr">
        <is>
          <t>XAUUSD</t>
        </is>
      </c>
      <c r="C57" s="29" t="inlineStr">
        <is>
          <t>M15</t>
        </is>
      </c>
      <c r="D57" s="29" t="n">
        <v>4566.36</v>
      </c>
      <c r="E57" s="29" t="n">
        <v>4717.79398</v>
      </c>
      <c r="F57" s="29" t="n">
        <v>4695.2428</v>
      </c>
      <c r="G57" s="29" t="n">
        <v>4518.59282</v>
      </c>
      <c r="H57" s="29" t="n">
        <v>4596.05595</v>
      </c>
      <c r="I57" s="29" t="n">
        <v>4755.40355</v>
      </c>
      <c r="J57" s="29" t="n">
        <v>4792.76972</v>
      </c>
      <c r="K57" s="29" t="n">
        <v>4769.97694</v>
      </c>
      <c r="L57" s="29" t="n">
        <v>4716.33597</v>
      </c>
      <c r="M57" s="29" t="n">
        <v>4718.85043</v>
      </c>
      <c r="N57" s="29" t="n">
        <v>4531.36057</v>
      </c>
      <c r="O57" s="29" t="n">
        <v>4556.93783</v>
      </c>
      <c r="Q57" s="29" t="n">
        <v>4559.69888</v>
      </c>
      <c r="R57" s="29" t="n">
        <v>4607.71655</v>
      </c>
      <c r="S57" s="29" t="n">
        <v>4583.53294</v>
      </c>
      <c r="V57" s="29" t="n">
        <v>4527.05369</v>
      </c>
      <c r="AB57" s="29" t="n">
        <v>4566.29792</v>
      </c>
      <c r="AC57" s="29" t="n">
        <v>4565.87131</v>
      </c>
      <c r="AD57" s="29" t="n">
        <v>0</v>
      </c>
    </row>
    <row r="58" ht="14.25" customHeight="1" s="28">
      <c r="A58" s="29" t="n">
        <v>1777459501</v>
      </c>
      <c r="B58" s="29" t="inlineStr">
        <is>
          <t>XAUUSD</t>
        </is>
      </c>
      <c r="C58" s="29" t="inlineStr">
        <is>
          <t>M15</t>
        </is>
      </c>
      <c r="D58" s="29" t="n">
        <v>4569.98</v>
      </c>
      <c r="E58" s="29" t="n">
        <v>4717.79398</v>
      </c>
      <c r="F58" s="29" t="n">
        <v>4695.2428</v>
      </c>
      <c r="G58" s="29" t="n">
        <v>4518.59282</v>
      </c>
      <c r="H58" s="29" t="n">
        <v>4596.05595</v>
      </c>
      <c r="I58" s="29" t="n">
        <v>4755.40355</v>
      </c>
      <c r="J58" s="29" t="n">
        <v>4792.76972</v>
      </c>
      <c r="K58" s="29" t="n">
        <v>4769.97694</v>
      </c>
      <c r="L58" s="29" t="n">
        <v>4716.33597</v>
      </c>
      <c r="M58" s="29" t="n">
        <v>4718.85043</v>
      </c>
      <c r="N58" s="29" t="n">
        <v>4531.36057</v>
      </c>
      <c r="O58" s="29" t="n">
        <v>4556.93783</v>
      </c>
      <c r="Q58" s="29" t="n">
        <v>4559.90133</v>
      </c>
      <c r="R58" s="29" t="n">
        <v>4607.91899</v>
      </c>
      <c r="S58" s="29" t="n">
        <v>4583.73538</v>
      </c>
      <c r="V58" s="29" t="n">
        <v>4527.25614</v>
      </c>
      <c r="AB58" s="29" t="n">
        <v>4567.16354</v>
      </c>
      <c r="AC58" s="29" t="n">
        <v>4566.51742</v>
      </c>
      <c r="AD58" s="29" t="n">
        <v>0</v>
      </c>
    </row>
    <row r="59" ht="14.25" customHeight="1" s="28">
      <c r="A59" s="29" t="n">
        <v>1777460401</v>
      </c>
      <c r="B59" s="29" t="inlineStr">
        <is>
          <t>XAUUSD</t>
        </is>
      </c>
      <c r="C59" s="29" t="inlineStr">
        <is>
          <t>M15</t>
        </is>
      </c>
      <c r="D59" s="29" t="n">
        <v>4568.02</v>
      </c>
      <c r="E59" s="29" t="n">
        <v>4717.79398</v>
      </c>
      <c r="F59" s="29" t="n">
        <v>4695.2428</v>
      </c>
      <c r="G59" s="29" t="n">
        <v>4518.59282</v>
      </c>
      <c r="H59" s="29" t="n">
        <v>4596.05595</v>
      </c>
      <c r="I59" s="29" t="n">
        <v>4755.40355</v>
      </c>
      <c r="J59" s="29" t="n">
        <v>4792.76972</v>
      </c>
      <c r="K59" s="29" t="n">
        <v>4769.97694</v>
      </c>
      <c r="L59" s="29" t="n">
        <v>4716.33597</v>
      </c>
      <c r="M59" s="29" t="n">
        <v>4718.85043</v>
      </c>
      <c r="N59" s="29" t="n">
        <v>4531.36057</v>
      </c>
      <c r="O59" s="29" t="n">
        <v>4556.93783</v>
      </c>
      <c r="Q59" s="29" t="n">
        <v>4560.10378</v>
      </c>
      <c r="R59" s="29" t="n">
        <v>4608.12144</v>
      </c>
      <c r="S59" s="29" t="n">
        <v>4583.93783</v>
      </c>
      <c r="V59" s="29" t="n">
        <v>4527.45858</v>
      </c>
      <c r="AB59" s="29" t="n">
        <v>4567.85456</v>
      </c>
      <c r="AC59" s="29" t="n">
        <v>4567.18599</v>
      </c>
      <c r="AD59" s="29" t="n">
        <v>0</v>
      </c>
    </row>
    <row r="60" ht="14.25" customHeight="1" s="28">
      <c r="A60" s="29" t="n">
        <v>1777461301</v>
      </c>
      <c r="B60" s="29" t="inlineStr">
        <is>
          <t>XAUUSD</t>
        </is>
      </c>
      <c r="C60" s="29" t="inlineStr">
        <is>
          <t>M15</t>
        </is>
      </c>
      <c r="D60" s="29" t="n">
        <v>4564.76</v>
      </c>
      <c r="E60" s="29" t="n">
        <v>4717.79398</v>
      </c>
      <c r="F60" s="29" t="n">
        <v>4695.2428</v>
      </c>
      <c r="G60" s="29" t="n">
        <v>4518.59282</v>
      </c>
      <c r="H60" s="29" t="n">
        <v>4596.05595</v>
      </c>
      <c r="I60" s="29" t="n">
        <v>4755.40355</v>
      </c>
      <c r="J60" s="29" t="n">
        <v>4792.76972</v>
      </c>
      <c r="K60" s="29" t="n">
        <v>4769.97694</v>
      </c>
      <c r="L60" s="29" t="n">
        <v>4716.33597</v>
      </c>
      <c r="M60" s="29" t="n">
        <v>4718.85043</v>
      </c>
      <c r="N60" s="29" t="n">
        <v>4531.36057</v>
      </c>
      <c r="O60" s="29" t="n">
        <v>4556.93783</v>
      </c>
      <c r="Q60" s="29" t="n">
        <v>4560.30622</v>
      </c>
      <c r="R60" s="29" t="n">
        <v>4608.32389</v>
      </c>
      <c r="S60" s="29" t="n">
        <v>4584.14027</v>
      </c>
      <c r="V60" s="29" t="n">
        <v>4527.66103</v>
      </c>
      <c r="AB60" s="29" t="n">
        <v>4568.1324</v>
      </c>
      <c r="AC60" s="29" t="n">
        <v>4567.65919</v>
      </c>
      <c r="AD60" s="29" t="n">
        <v>0</v>
      </c>
    </row>
    <row r="61" ht="14.25" customHeight="1" s="28">
      <c r="A61" s="29" t="n">
        <v>1777462201</v>
      </c>
      <c r="B61" s="29" t="inlineStr">
        <is>
          <t>XAUUSD</t>
        </is>
      </c>
      <c r="C61" s="29" t="inlineStr">
        <is>
          <t>M15</t>
        </is>
      </c>
      <c r="D61" s="29" t="n">
        <v>4567.03</v>
      </c>
      <c r="E61" s="29" t="n">
        <v>4717.79398</v>
      </c>
      <c r="F61" s="29" t="n">
        <v>4695.2428</v>
      </c>
      <c r="G61" s="29" t="n">
        <v>4518.59282</v>
      </c>
      <c r="H61" s="29" t="n">
        <v>4596.05595</v>
      </c>
      <c r="I61" s="29" t="n">
        <v>4755.40355</v>
      </c>
      <c r="J61" s="29" t="n">
        <v>4792.76972</v>
      </c>
      <c r="K61" s="29" t="n">
        <v>4769.97694</v>
      </c>
      <c r="L61" s="29" t="n">
        <v>4716.33597</v>
      </c>
      <c r="M61" s="29" t="n">
        <v>4718.85043</v>
      </c>
      <c r="N61" s="29" t="n">
        <v>4531.36057</v>
      </c>
      <c r="O61" s="29" t="n">
        <v>4556.93783</v>
      </c>
      <c r="Q61" s="29" t="n">
        <v>4560.50867</v>
      </c>
      <c r="R61" s="29" t="n">
        <v>4608.52633</v>
      </c>
      <c r="S61" s="29" t="n">
        <v>4584.34272</v>
      </c>
      <c r="V61" s="29" t="n">
        <v>4527.86348</v>
      </c>
      <c r="AB61" s="29" t="n">
        <v>4567.69281</v>
      </c>
      <c r="AC61" s="29" t="n">
        <v>4567.676</v>
      </c>
      <c r="AD61" s="29" t="n">
        <v>0</v>
      </c>
    </row>
    <row r="62" ht="14.25" customHeight="1" s="28">
      <c r="A62" s="29" t="n">
        <v>1777463101</v>
      </c>
      <c r="B62" s="29" t="inlineStr">
        <is>
          <t>XAUUSD</t>
        </is>
      </c>
      <c r="C62" s="29" t="inlineStr">
        <is>
          <t>M15</t>
        </is>
      </c>
      <c r="D62" s="29" t="n">
        <v>4561.87</v>
      </c>
      <c r="E62" s="29" t="n">
        <v>4717.79398</v>
      </c>
      <c r="F62" s="29" t="n">
        <v>4695.2428</v>
      </c>
      <c r="G62" s="29" t="n">
        <v>4518.59282</v>
      </c>
      <c r="H62" s="29" t="n">
        <v>4596.05595</v>
      </c>
      <c r="I62" s="29" t="n">
        <v>4755.40355</v>
      </c>
      <c r="J62" s="29" t="n">
        <v>4792.76972</v>
      </c>
      <c r="K62" s="29" t="n">
        <v>4769.97694</v>
      </c>
      <c r="L62" s="29" t="n">
        <v>4716.33597</v>
      </c>
      <c r="M62" s="29" t="n">
        <v>4718.85043</v>
      </c>
      <c r="N62" s="29" t="n">
        <v>4531.36057</v>
      </c>
      <c r="O62" s="29" t="n">
        <v>4556.93783</v>
      </c>
      <c r="Q62" s="29" t="n">
        <v>4560.71111</v>
      </c>
      <c r="R62" s="29" t="n">
        <v>4608.72878</v>
      </c>
      <c r="S62" s="29" t="n">
        <v>4584.54516</v>
      </c>
      <c r="V62" s="29" t="n">
        <v>4528.06592</v>
      </c>
      <c r="AB62" s="29" t="n">
        <v>4566.10145</v>
      </c>
      <c r="AC62" s="29" t="n">
        <v>4566.88873</v>
      </c>
      <c r="AD62" s="29" t="n">
        <v>1</v>
      </c>
    </row>
    <row r="63" ht="14.25" customHeight="1" s="28">
      <c r="A63" s="29" t="n">
        <v>1777464001</v>
      </c>
      <c r="B63" s="29" t="inlineStr">
        <is>
          <t>XAUUSD</t>
        </is>
      </c>
      <c r="C63" s="29" t="inlineStr">
        <is>
          <t>M15</t>
        </is>
      </c>
      <c r="D63" s="29" t="n">
        <v>4564.41</v>
      </c>
      <c r="E63" s="29" t="n">
        <v>4717.79398</v>
      </c>
      <c r="F63" s="29" t="n">
        <v>4695.2428</v>
      </c>
      <c r="G63" s="29" t="n">
        <v>4518.59282</v>
      </c>
      <c r="H63" s="29" t="n">
        <v>4596.05595</v>
      </c>
      <c r="I63" s="29" t="n">
        <v>4755.40355</v>
      </c>
      <c r="J63" s="29" t="n">
        <v>4792.76972</v>
      </c>
      <c r="K63" s="29" t="n">
        <v>4769.97694</v>
      </c>
      <c r="L63" s="29" t="n">
        <v>4716.33597</v>
      </c>
      <c r="M63" s="29" t="n">
        <v>4718.85043</v>
      </c>
      <c r="N63" s="29" t="n">
        <v>4531.36057</v>
      </c>
      <c r="O63" s="29" t="n">
        <v>4556.93783</v>
      </c>
      <c r="Q63" s="29" t="n">
        <v>4560.91356</v>
      </c>
      <c r="R63" s="29" t="n">
        <v>4608.93122</v>
      </c>
      <c r="S63" s="29" t="n">
        <v>4584.74761</v>
      </c>
      <c r="V63" s="29" t="n">
        <v>4528.26837</v>
      </c>
      <c r="AB63" s="29" t="n">
        <v>4563.24936</v>
      </c>
      <c r="AC63" s="29" t="n">
        <v>4565.06904</v>
      </c>
      <c r="AD63" s="29" t="n">
        <v>0</v>
      </c>
    </row>
    <row r="64" ht="14.25" customHeight="1" s="28">
      <c r="A64" s="29" t="n">
        <v>1777464901</v>
      </c>
      <c r="B64" s="29" t="inlineStr">
        <is>
          <t>XAUUSD</t>
        </is>
      </c>
      <c r="C64" s="29" t="inlineStr">
        <is>
          <t>M15</t>
        </is>
      </c>
      <c r="D64" s="29" t="n">
        <v>4559.4</v>
      </c>
      <c r="E64" s="29" t="n">
        <v>4717.79398</v>
      </c>
      <c r="F64" s="29" t="n">
        <v>4695.2428</v>
      </c>
      <c r="G64" s="29" t="n">
        <v>4518.59282</v>
      </c>
      <c r="H64" s="29" t="n">
        <v>4596.05595</v>
      </c>
      <c r="I64" s="29" t="n">
        <v>4755.40355</v>
      </c>
      <c r="J64" s="29" t="n">
        <v>4792.76972</v>
      </c>
      <c r="K64" s="29" t="n">
        <v>4769.97694</v>
      </c>
      <c r="L64" s="29" t="n">
        <v>4716.33597</v>
      </c>
      <c r="M64" s="29" t="n">
        <v>4718.85043</v>
      </c>
      <c r="N64" s="29" t="n">
        <v>4531.36057</v>
      </c>
      <c r="O64" s="29" t="n">
        <v>4556.93783</v>
      </c>
      <c r="Q64" s="29" t="n">
        <v>4561.116</v>
      </c>
      <c r="R64" s="29" t="n">
        <v>4609.13367</v>
      </c>
      <c r="S64" s="29" t="n">
        <v>4584.95006</v>
      </c>
      <c r="V64" s="29" t="n">
        <v>4528.47081</v>
      </c>
      <c r="AB64" s="29" t="n">
        <v>4558.9607</v>
      </c>
      <c r="AC64" s="29" t="n">
        <v>4562.01487</v>
      </c>
      <c r="AD64" s="29" t="n">
        <v>0</v>
      </c>
    </row>
    <row r="65" ht="14.25" customHeight="1" s="28">
      <c r="A65" s="29" t="n">
        <v>1777465801</v>
      </c>
      <c r="B65" s="29" t="inlineStr">
        <is>
          <t>XAUUSD</t>
        </is>
      </c>
      <c r="C65" s="29" t="inlineStr">
        <is>
          <t>M15</t>
        </is>
      </c>
      <c r="D65" s="29" t="n">
        <v>4557.62</v>
      </c>
      <c r="E65" s="29" t="n">
        <v>4717.79398</v>
      </c>
      <c r="F65" s="29" t="n">
        <v>4695.2428</v>
      </c>
      <c r="G65" s="29" t="n">
        <v>4518.59282</v>
      </c>
      <c r="H65" s="29" t="n">
        <v>4596.05595</v>
      </c>
      <c r="I65" s="29" t="n">
        <v>4755.40355</v>
      </c>
      <c r="J65" s="29" t="n">
        <v>4792.76972</v>
      </c>
      <c r="K65" s="29" t="n">
        <v>4769.97694</v>
      </c>
      <c r="L65" s="29" t="n">
        <v>4716.33597</v>
      </c>
      <c r="M65" s="29" t="n">
        <v>4718.85043</v>
      </c>
      <c r="N65" s="29" t="n">
        <v>4531.36057</v>
      </c>
      <c r="O65" s="29" t="n">
        <v>4556.93783</v>
      </c>
      <c r="Q65" s="29" t="n">
        <v>4561.31845</v>
      </c>
      <c r="R65" s="29" t="n">
        <v>4609.33611</v>
      </c>
      <c r="S65" s="29" t="n">
        <v>4585.1525</v>
      </c>
      <c r="V65" s="29" t="n">
        <v>4528.67326</v>
      </c>
      <c r="AB65" s="29" t="n">
        <v>4553.43356</v>
      </c>
      <c r="AC65" s="29" t="n">
        <v>4557.72422</v>
      </c>
      <c r="AD65" s="29" t="n">
        <v>0</v>
      </c>
    </row>
    <row r="66" ht="14.25" customHeight="1" s="28">
      <c r="A66" s="29" t="n">
        <v>1777466701</v>
      </c>
      <c r="B66" s="29" t="inlineStr">
        <is>
          <t>XAUUSD</t>
        </is>
      </c>
      <c r="C66" s="29" t="inlineStr">
        <is>
          <t>M15</t>
        </is>
      </c>
      <c r="D66" s="29" t="n">
        <v>4544.9</v>
      </c>
      <c r="E66" s="29" t="n">
        <v>4717.79398</v>
      </c>
      <c r="F66" s="29" t="n">
        <v>4695.2428</v>
      </c>
      <c r="G66" s="29" t="n">
        <v>4518.59282</v>
      </c>
      <c r="H66" s="29" t="n">
        <v>4596.05595</v>
      </c>
      <c r="I66" s="29" t="n">
        <v>4755.40355</v>
      </c>
      <c r="J66" s="29" t="n">
        <v>4792.76972</v>
      </c>
      <c r="K66" s="29" t="n">
        <v>4769.97694</v>
      </c>
      <c r="L66" s="29" t="n">
        <v>4716.33597</v>
      </c>
      <c r="M66" s="29" t="n">
        <v>4718.85043</v>
      </c>
      <c r="N66" s="29" t="n">
        <v>4531.36057</v>
      </c>
      <c r="O66" s="29" t="n">
        <v>4556.93783</v>
      </c>
      <c r="Q66" s="29" t="n">
        <v>4561.5209</v>
      </c>
      <c r="R66" s="29" t="n">
        <v>4609.53856</v>
      </c>
      <c r="S66" s="29" t="n">
        <v>4585.35495</v>
      </c>
      <c r="V66" s="29" t="n">
        <v>4528.8757</v>
      </c>
      <c r="AB66" s="29" t="n">
        <v>4547.01485</v>
      </c>
      <c r="AC66" s="29" t="n">
        <v>4552.36953</v>
      </c>
      <c r="AD66" s="29" t="n">
        <v>0</v>
      </c>
    </row>
    <row r="67" ht="14.25" customHeight="1" s="28">
      <c r="A67" s="29" t="n">
        <v>1777467601</v>
      </c>
      <c r="B67" s="29" t="inlineStr">
        <is>
          <t>XAUUSD</t>
        </is>
      </c>
      <c r="C67" s="29" t="inlineStr">
        <is>
          <t>M15</t>
        </is>
      </c>
      <c r="D67" s="29" t="n">
        <v>4549.8</v>
      </c>
      <c r="E67" s="29" t="n">
        <v>4717.79398</v>
      </c>
      <c r="F67" s="29" t="n">
        <v>4695.2428</v>
      </c>
      <c r="G67" s="29" t="n">
        <v>4518.59282</v>
      </c>
      <c r="H67" s="29" t="n">
        <v>4596.05595</v>
      </c>
      <c r="I67" s="29" t="n">
        <v>4755.40355</v>
      </c>
      <c r="J67" s="29" t="n">
        <v>4792.76972</v>
      </c>
      <c r="K67" s="29" t="n">
        <v>4769.97694</v>
      </c>
      <c r="L67" s="29" t="n">
        <v>4716.33597</v>
      </c>
      <c r="M67" s="29" t="n">
        <v>4718.85043</v>
      </c>
      <c r="N67" s="29" t="n">
        <v>4531.36057</v>
      </c>
      <c r="O67" s="29" t="n">
        <v>4556.93783</v>
      </c>
      <c r="Q67" s="29" t="n">
        <v>4561.72334</v>
      </c>
      <c r="R67" s="29" t="n">
        <v>4609.74101</v>
      </c>
      <c r="S67" s="29" t="n">
        <v>4585.55739</v>
      </c>
      <c r="V67" s="29" t="n">
        <v>4529.07815</v>
      </c>
      <c r="AB67" s="29" t="n">
        <v>4540.52002</v>
      </c>
      <c r="AC67" s="29" t="n">
        <v>4546.44477</v>
      </c>
      <c r="AD67" s="29" t="n">
        <v>0</v>
      </c>
    </row>
    <row r="68" ht="14.25" customHeight="1" s="28">
      <c r="A68" s="29" t="n">
        <v>1777468501</v>
      </c>
      <c r="B68" s="29" t="inlineStr">
        <is>
          <t>XAUUSD</t>
        </is>
      </c>
      <c r="C68" s="29" t="inlineStr">
        <is>
          <t>M15</t>
        </is>
      </c>
      <c r="D68" s="29" t="n">
        <v>4537.82</v>
      </c>
      <c r="E68" s="29" t="n">
        <v>4717.79398</v>
      </c>
      <c r="F68" s="29" t="n">
        <v>4695.2428</v>
      </c>
      <c r="G68" s="29" t="n">
        <v>4518.59282</v>
      </c>
      <c r="H68" s="29" t="n">
        <v>4596.05595</v>
      </c>
      <c r="I68" s="29" t="n">
        <v>4755.40355</v>
      </c>
      <c r="J68" s="29" t="n">
        <v>4792.76972</v>
      </c>
      <c r="K68" s="29" t="n">
        <v>4769.97694</v>
      </c>
      <c r="L68" s="29" t="n">
        <v>4716.33597</v>
      </c>
      <c r="M68" s="29" t="n">
        <v>4718.85043</v>
      </c>
      <c r="N68" s="29" t="n">
        <v>4531.36057</v>
      </c>
      <c r="O68" s="29" t="n">
        <v>4556.93783</v>
      </c>
      <c r="Q68" s="29" t="n">
        <v>4561.92579</v>
      </c>
      <c r="R68" s="29" t="n">
        <v>4609.94345</v>
      </c>
      <c r="S68" s="29" t="n">
        <v>4585.75984</v>
      </c>
      <c r="V68" s="29" t="n">
        <v>4529.2806</v>
      </c>
      <c r="AB68" s="29" t="n">
        <v>4534.37601</v>
      </c>
      <c r="AC68" s="29" t="n">
        <v>4540.41039</v>
      </c>
      <c r="AD68" s="29" t="n">
        <v>0</v>
      </c>
    </row>
    <row r="69" ht="14.25" customHeight="1" s="28">
      <c r="A69" s="29" t="n">
        <v>1777469401</v>
      </c>
      <c r="B69" s="29" t="inlineStr">
        <is>
          <t>XAUUSD</t>
        </is>
      </c>
      <c r="C69" s="29" t="inlineStr">
        <is>
          <t>M15</t>
        </is>
      </c>
      <c r="D69" s="29" t="n">
        <v>4514.81</v>
      </c>
      <c r="E69" s="29" t="n">
        <v>4717.79398</v>
      </c>
      <c r="F69" s="29" t="n">
        <v>4695.2428</v>
      </c>
      <c r="G69" s="29" t="n">
        <v>4518.59282</v>
      </c>
      <c r="H69" s="29" t="n">
        <v>4596.05595</v>
      </c>
      <c r="I69" s="29" t="n">
        <v>4755.40355</v>
      </c>
      <c r="J69" s="29" t="n">
        <v>4792.76972</v>
      </c>
      <c r="K69" s="29" t="n">
        <v>4769.97694</v>
      </c>
      <c r="L69" s="29" t="n">
        <v>4716.33597</v>
      </c>
      <c r="M69" s="29" t="n">
        <v>4718.85043</v>
      </c>
      <c r="N69" s="29" t="n">
        <v>4531.36057</v>
      </c>
      <c r="O69" s="29" t="n">
        <v>4556.93783</v>
      </c>
      <c r="Q69" s="29" t="n">
        <v>4562.12823</v>
      </c>
      <c r="R69" s="29" t="n">
        <v>4610.1459</v>
      </c>
      <c r="S69" s="29" t="n">
        <v>4585.96228</v>
      </c>
      <c r="V69" s="29" t="n">
        <v>4529.48304</v>
      </c>
      <c r="AB69" s="29" t="n">
        <v>4529.49932</v>
      </c>
      <c r="AC69" s="29" t="n">
        <v>4534.95486</v>
      </c>
      <c r="AD69" s="29" t="n">
        <v>0</v>
      </c>
    </row>
    <row r="70" ht="14.25" customHeight="1" s="28">
      <c r="A70" s="29" t="n">
        <v>1777470301</v>
      </c>
      <c r="B70" s="29" t="inlineStr">
        <is>
          <t>XAUUSD</t>
        </is>
      </c>
      <c r="C70" s="29" t="inlineStr">
        <is>
          <t>M15</t>
        </is>
      </c>
      <c r="D70" s="29" t="n">
        <v>4521.71</v>
      </c>
      <c r="E70" s="29" t="n">
        <v>4717.79398</v>
      </c>
      <c r="F70" s="29" t="n">
        <v>4695.2428</v>
      </c>
      <c r="G70" s="29" t="n">
        <v>4518.59282</v>
      </c>
      <c r="H70" s="29" t="n">
        <v>4596.05595</v>
      </c>
      <c r="I70" s="29" t="n">
        <v>4755.40355</v>
      </c>
      <c r="J70" s="29" t="n">
        <v>4792.76972</v>
      </c>
      <c r="K70" s="29" t="n">
        <v>4769.97694</v>
      </c>
      <c r="L70" s="29" t="n">
        <v>4716.33597</v>
      </c>
      <c r="M70" s="29" t="n">
        <v>4718.85043</v>
      </c>
      <c r="N70" s="29" t="n">
        <v>4531.36057</v>
      </c>
      <c r="O70" s="29" t="n">
        <v>4556.93783</v>
      </c>
      <c r="Q70" s="29" t="n">
        <v>4562.33068</v>
      </c>
      <c r="R70" s="29" t="n">
        <v>4610.34834</v>
      </c>
      <c r="S70" s="29" t="n">
        <v>4586.16473</v>
      </c>
      <c r="V70" s="29" t="n">
        <v>4529.68549</v>
      </c>
      <c r="AA70" s="29" t="n">
        <v>4510.28</v>
      </c>
      <c r="AB70" s="29" t="n">
        <v>4526.96404</v>
      </c>
      <c r="AC70" s="29" t="n">
        <v>4530.95945</v>
      </c>
      <c r="AD70" s="29" t="n">
        <v>0</v>
      </c>
    </row>
    <row r="71" ht="14.25" customHeight="1" s="28">
      <c r="A71" s="29" t="n">
        <v>1777471201</v>
      </c>
      <c r="B71" s="29" t="inlineStr">
        <is>
          <t>XAUUSD</t>
        </is>
      </c>
      <c r="C71" s="29" t="inlineStr">
        <is>
          <t>M15</t>
        </is>
      </c>
      <c r="D71" s="29" t="n">
        <v>4526.15</v>
      </c>
      <c r="E71" s="29" t="n">
        <v>4717.79398</v>
      </c>
      <c r="F71" s="29" t="n">
        <v>4695.2428</v>
      </c>
      <c r="G71" s="29" t="n">
        <v>4518.59282</v>
      </c>
      <c r="H71" s="29" t="n">
        <v>4596.05595</v>
      </c>
      <c r="I71" s="29" t="n">
        <v>4755.40355</v>
      </c>
      <c r="J71" s="29" t="n">
        <v>4792.76972</v>
      </c>
      <c r="K71" s="29" t="n">
        <v>4769.97694</v>
      </c>
      <c r="L71" s="29" t="n">
        <v>4716.33597</v>
      </c>
      <c r="M71" s="29" t="n">
        <v>4718.85043</v>
      </c>
      <c r="N71" s="29" t="n">
        <v>4531.36057</v>
      </c>
      <c r="O71" s="29" t="n">
        <v>4556.93783</v>
      </c>
      <c r="Q71" s="29" t="n">
        <v>4562.53312</v>
      </c>
      <c r="R71" s="29" t="n">
        <v>4610.55079</v>
      </c>
      <c r="S71" s="29" t="n">
        <v>4586.36718</v>
      </c>
      <c r="V71" s="29" t="n">
        <v>4529.88793</v>
      </c>
      <c r="AB71" s="29" t="n">
        <v>4526.75464</v>
      </c>
      <c r="AC71" s="29" t="n">
        <v>4528.85705</v>
      </c>
      <c r="AD71" s="29" t="n">
        <v>0</v>
      </c>
    </row>
    <row r="72" ht="14.25" customHeight="1" s="28">
      <c r="A72" s="29" t="n">
        <v>1777472101</v>
      </c>
      <c r="B72" s="29" t="inlineStr">
        <is>
          <t>XAUUSD</t>
        </is>
      </c>
      <c r="C72" s="29" t="inlineStr">
        <is>
          <t>M15</t>
        </is>
      </c>
      <c r="D72" s="29" t="n">
        <v>4533.2</v>
      </c>
      <c r="E72" s="29" t="n">
        <v>4717.79398</v>
      </c>
      <c r="F72" s="29" t="n">
        <v>4695.2428</v>
      </c>
      <c r="G72" s="29" t="n">
        <v>4518.59282</v>
      </c>
      <c r="H72" s="29" t="n">
        <v>4596.05595</v>
      </c>
      <c r="I72" s="29" t="n">
        <v>4755.40355</v>
      </c>
      <c r="J72" s="29" t="n">
        <v>4792.76972</v>
      </c>
      <c r="K72" s="29" t="n">
        <v>4769.97694</v>
      </c>
      <c r="L72" s="29" t="n">
        <v>4716.33597</v>
      </c>
      <c r="M72" s="29" t="n">
        <v>4718.85043</v>
      </c>
      <c r="N72" s="29" t="n">
        <v>4531.36057</v>
      </c>
      <c r="O72" s="29" t="n">
        <v>4556.93783</v>
      </c>
      <c r="Q72" s="29" t="n">
        <v>4562.73557</v>
      </c>
      <c r="R72" s="29" t="n">
        <v>4610.75323</v>
      </c>
      <c r="S72" s="29" t="n">
        <v>4586.56962</v>
      </c>
      <c r="V72" s="29" t="n">
        <v>4530.09038</v>
      </c>
      <c r="AB72" s="29" t="n">
        <v>4528.6334</v>
      </c>
      <c r="AC72" s="29" t="n">
        <v>4528.74522</v>
      </c>
      <c r="AD72" s="29" t="n">
        <v>0</v>
      </c>
    </row>
    <row r="73" ht="14.25" customHeight="1" s="28">
      <c r="A73" s="29" t="n">
        <v>1777473001</v>
      </c>
      <c r="B73" s="29" t="inlineStr">
        <is>
          <t>XAUUSD</t>
        </is>
      </c>
      <c r="C73" s="29" t="inlineStr">
        <is>
          <t>M15</t>
        </is>
      </c>
      <c r="D73" s="29" t="n">
        <v>4538.69</v>
      </c>
      <c r="E73" s="29" t="n">
        <v>4717.79398</v>
      </c>
      <c r="F73" s="29" t="n">
        <v>4695.2428</v>
      </c>
      <c r="G73" s="29" t="n">
        <v>4518.59282</v>
      </c>
      <c r="H73" s="29" t="n">
        <v>4596.05595</v>
      </c>
      <c r="I73" s="29" t="n">
        <v>4755.40355</v>
      </c>
      <c r="J73" s="29" t="n">
        <v>4792.76972</v>
      </c>
      <c r="K73" s="29" t="n">
        <v>4769.97694</v>
      </c>
      <c r="L73" s="29" t="n">
        <v>4716.33597</v>
      </c>
      <c r="M73" s="29" t="n">
        <v>4718.85043</v>
      </c>
      <c r="N73" s="29" t="n">
        <v>4531.36057</v>
      </c>
      <c r="O73" s="29" t="n">
        <v>4556.93783</v>
      </c>
      <c r="Q73" s="29" t="n">
        <v>4562.93802</v>
      </c>
      <c r="R73" s="29" t="n">
        <v>4610.95568</v>
      </c>
      <c r="S73" s="29" t="n">
        <v>4586.77207</v>
      </c>
      <c r="V73" s="29" t="n">
        <v>4530.29282</v>
      </c>
      <c r="AB73" s="29" t="n">
        <v>4532.06776</v>
      </c>
      <c r="AC73" s="29" t="n">
        <v>4530.40649</v>
      </c>
      <c r="AD73" s="29" t="n">
        <v>1</v>
      </c>
    </row>
    <row r="74" ht="14.25" customHeight="1" s="28">
      <c r="A74" s="29" t="n">
        <v>1777473901</v>
      </c>
      <c r="B74" s="29" t="inlineStr">
        <is>
          <t>XAUUSD</t>
        </is>
      </c>
      <c r="C74" s="29" t="inlineStr">
        <is>
          <t>M15</t>
        </is>
      </c>
      <c r="D74" s="29" t="n">
        <v>4539.25</v>
      </c>
      <c r="E74" s="29" t="n">
        <v>4717.79398</v>
      </c>
      <c r="F74" s="29" t="n">
        <v>4695.2428</v>
      </c>
      <c r="G74" s="29" t="n">
        <v>4518.59282</v>
      </c>
      <c r="H74" s="29" t="n">
        <v>4596.05595</v>
      </c>
      <c r="I74" s="29" t="n">
        <v>4755.40355</v>
      </c>
      <c r="J74" s="29" t="n">
        <v>4792.76972</v>
      </c>
      <c r="K74" s="29" t="n">
        <v>4769.97694</v>
      </c>
      <c r="L74" s="29" t="n">
        <v>4716.33597</v>
      </c>
      <c r="M74" s="29" t="n">
        <v>4718.85043</v>
      </c>
      <c r="N74" s="29" t="n">
        <v>4531.36057</v>
      </c>
      <c r="O74" s="29" t="n">
        <v>4556.93783</v>
      </c>
      <c r="Q74" s="29" t="n">
        <v>4563.14046</v>
      </c>
      <c r="R74" s="29" t="n">
        <v>4611.15813</v>
      </c>
      <c r="S74" s="29" t="n">
        <v>4586.97451</v>
      </c>
      <c r="V74" s="29" t="n">
        <v>4530.49527</v>
      </c>
      <c r="AB74" s="29" t="n">
        <v>4536.46429</v>
      </c>
      <c r="AC74" s="29" t="n">
        <v>4533.43539</v>
      </c>
      <c r="AD74" s="29" t="n">
        <v>0</v>
      </c>
    </row>
    <row r="75" ht="14.25" customHeight="1" s="28">
      <c r="A75" s="29" t="n">
        <v>1777474801</v>
      </c>
      <c r="B75" s="29" t="inlineStr">
        <is>
          <t>XAUUSD</t>
        </is>
      </c>
      <c r="C75" s="29" t="inlineStr">
        <is>
          <t>M15</t>
        </is>
      </c>
      <c r="D75" s="29" t="n">
        <v>4538.08</v>
      </c>
      <c r="E75" s="29" t="n">
        <v>4717.79398</v>
      </c>
      <c r="F75" s="29" t="n">
        <v>4695.2428</v>
      </c>
      <c r="G75" s="29" t="n">
        <v>4518.59282</v>
      </c>
      <c r="H75" s="29" t="n">
        <v>4596.05595</v>
      </c>
      <c r="I75" s="29" t="n">
        <v>4755.40355</v>
      </c>
      <c r="J75" s="29" t="n">
        <v>4792.76972</v>
      </c>
      <c r="K75" s="29" t="n">
        <v>4769.97694</v>
      </c>
      <c r="L75" s="29" t="n">
        <v>4716.33597</v>
      </c>
      <c r="M75" s="29" t="n">
        <v>4718.85043</v>
      </c>
      <c r="N75" s="29" t="n">
        <v>4531.36057</v>
      </c>
      <c r="O75" s="29" t="n">
        <v>4556.93783</v>
      </c>
      <c r="Q75" s="29" t="n">
        <v>4563.34291</v>
      </c>
      <c r="R75" s="29" t="n">
        <v>4611.36057</v>
      </c>
      <c r="S75" s="29" t="n">
        <v>4587.17696</v>
      </c>
      <c r="V75" s="29" t="n">
        <v>4530.69772</v>
      </c>
      <c r="AB75" s="29" t="n">
        <v>4541.33113</v>
      </c>
      <c r="AC75" s="29" t="n">
        <v>4537.38326</v>
      </c>
      <c r="AD75" s="29" t="n">
        <v>0</v>
      </c>
    </row>
    <row r="76" ht="14.25" customHeight="1" s="28">
      <c r="A76" s="29" t="n">
        <v>1777475701</v>
      </c>
      <c r="B76" s="29" t="inlineStr">
        <is>
          <t>XAUUSD</t>
        </is>
      </c>
      <c r="C76" s="29" t="inlineStr">
        <is>
          <t>M15</t>
        </is>
      </c>
      <c r="D76" s="29" t="n">
        <v>4543.61</v>
      </c>
      <c r="E76" s="29" t="n">
        <v>4717.79398</v>
      </c>
      <c r="F76" s="29" t="n">
        <v>4695.2428</v>
      </c>
      <c r="G76" s="29" t="n">
        <v>4518.59282</v>
      </c>
      <c r="H76" s="29" t="n">
        <v>4596.05595</v>
      </c>
      <c r="I76" s="29" t="n">
        <v>4755.40355</v>
      </c>
      <c r="J76" s="29" t="n">
        <v>4792.76972</v>
      </c>
      <c r="K76" s="29" t="n">
        <v>4769.97694</v>
      </c>
      <c r="L76" s="29" t="n">
        <v>4716.33597</v>
      </c>
      <c r="M76" s="29" t="n">
        <v>4718.85043</v>
      </c>
      <c r="N76" s="29" t="n">
        <v>4531.36057</v>
      </c>
      <c r="O76" s="29" t="n">
        <v>4556.93783</v>
      </c>
      <c r="Q76" s="29" t="n">
        <v>4563.54535</v>
      </c>
      <c r="R76" s="29" t="n">
        <v>4611.56302</v>
      </c>
      <c r="S76" s="29" t="n">
        <v>4587.3794</v>
      </c>
      <c r="V76" s="29" t="n">
        <v>4530.90016</v>
      </c>
      <c r="AB76" s="29" t="n">
        <v>4546.2278</v>
      </c>
      <c r="AC76" s="29" t="n">
        <v>4541.80553</v>
      </c>
      <c r="AD76" s="29" t="n">
        <v>0</v>
      </c>
    </row>
    <row r="77" ht="14.25" customHeight="1" s="28">
      <c r="A77" s="29" t="n">
        <v>1777476601</v>
      </c>
      <c r="B77" s="29" t="inlineStr">
        <is>
          <t>XAUUSD</t>
        </is>
      </c>
      <c r="C77" s="29" t="inlineStr">
        <is>
          <t>M15</t>
        </is>
      </c>
      <c r="D77" s="29" t="n">
        <v>4553.17</v>
      </c>
      <c r="E77" s="29" t="n">
        <v>4717.79398</v>
      </c>
      <c r="F77" s="29" t="n">
        <v>4695.2428</v>
      </c>
      <c r="G77" s="29" t="n">
        <v>4518.59282</v>
      </c>
      <c r="H77" s="29" t="n">
        <v>4596.05595</v>
      </c>
      <c r="I77" s="29" t="n">
        <v>4755.40355</v>
      </c>
      <c r="J77" s="29" t="n">
        <v>4792.76972</v>
      </c>
      <c r="K77" s="29" t="n">
        <v>4769.97694</v>
      </c>
      <c r="L77" s="29" t="n">
        <v>4716.33597</v>
      </c>
      <c r="M77" s="29" t="n">
        <v>4718.85043</v>
      </c>
      <c r="N77" s="29" t="n">
        <v>4531.36057</v>
      </c>
      <c r="O77" s="29" t="n">
        <v>4556.93783</v>
      </c>
      <c r="Q77" s="29" t="n">
        <v>4563.7478</v>
      </c>
      <c r="R77" s="29" t="n">
        <v>4611.76546</v>
      </c>
      <c r="S77" s="29" t="n">
        <v>4587.58185</v>
      </c>
      <c r="V77" s="29" t="n">
        <v>4531.10261</v>
      </c>
      <c r="AB77" s="29" t="n">
        <v>4550.55587</v>
      </c>
      <c r="AC77" s="29" t="n">
        <v>4546.1807</v>
      </c>
      <c r="AD77" s="29" t="n">
        <v>0</v>
      </c>
    </row>
    <row r="78" ht="14.25" customHeight="1" s="28">
      <c r="A78" s="29" t="n">
        <v>1777477501</v>
      </c>
      <c r="B78" s="29" t="inlineStr">
        <is>
          <t>XAUUSD</t>
        </is>
      </c>
      <c r="C78" s="29" t="inlineStr">
        <is>
          <t>M15</t>
        </is>
      </c>
      <c r="D78" s="29" t="n">
        <v>4547.48</v>
      </c>
      <c r="E78" s="29" t="n">
        <v>4717.79398</v>
      </c>
      <c r="F78" s="29" t="n">
        <v>4695.2428</v>
      </c>
      <c r="G78" s="29" t="n">
        <v>4518.59282</v>
      </c>
      <c r="H78" s="29" t="n">
        <v>4596.05595</v>
      </c>
      <c r="I78" s="29" t="n">
        <v>4755.40355</v>
      </c>
      <c r="J78" s="29" t="n">
        <v>4792.76972</v>
      </c>
      <c r="K78" s="29" t="n">
        <v>4769.97694</v>
      </c>
      <c r="L78" s="29" t="n">
        <v>4716.33597</v>
      </c>
      <c r="M78" s="29" t="n">
        <v>4718.85043</v>
      </c>
      <c r="N78" s="29" t="n">
        <v>4531.36057</v>
      </c>
      <c r="O78" s="29" t="n">
        <v>4556.93783</v>
      </c>
      <c r="Q78" s="29" t="n">
        <v>4563.95024</v>
      </c>
      <c r="R78" s="29" t="n">
        <v>4611.96791</v>
      </c>
      <c r="S78" s="29" t="n">
        <v>4587.7843</v>
      </c>
      <c r="V78" s="29" t="n">
        <v>4531.30505</v>
      </c>
      <c r="AB78" s="29" t="n">
        <v>4553.70883</v>
      </c>
      <c r="AC78" s="29" t="n">
        <v>4549.94477</v>
      </c>
      <c r="AD78" s="29" t="n">
        <v>0</v>
      </c>
    </row>
    <row r="79" ht="14.25" customHeight="1" s="28">
      <c r="A79" s="29" t="n">
        <v>1777478401</v>
      </c>
      <c r="B79" s="29" t="inlineStr">
        <is>
          <t>XAUUSD</t>
        </is>
      </c>
      <c r="C79" s="29" t="inlineStr">
        <is>
          <t>M15</t>
        </is>
      </c>
      <c r="D79" s="29" t="n">
        <v>4559.1</v>
      </c>
      <c r="E79" s="29" t="n">
        <v>4717.79398</v>
      </c>
      <c r="F79" s="29" t="n">
        <v>4695.2428</v>
      </c>
      <c r="G79" s="29" t="n">
        <v>4518.59282</v>
      </c>
      <c r="H79" s="29" t="n">
        <v>4596.05595</v>
      </c>
      <c r="I79" s="29" t="n">
        <v>4755.40355</v>
      </c>
      <c r="J79" s="29" t="n">
        <v>4792.76972</v>
      </c>
      <c r="K79" s="29" t="n">
        <v>4769.97694</v>
      </c>
      <c r="L79" s="29" t="n">
        <v>4716.33597</v>
      </c>
      <c r="M79" s="29" t="n">
        <v>4718.85043</v>
      </c>
      <c r="N79" s="29" t="n">
        <v>4531.36057</v>
      </c>
      <c r="O79" s="29" t="n">
        <v>4556.93783</v>
      </c>
      <c r="Q79" s="29" t="n">
        <v>4564.15269</v>
      </c>
      <c r="R79" s="29" t="n">
        <v>4612.17035</v>
      </c>
      <c r="S79" s="29" t="n">
        <v>4587.98674</v>
      </c>
      <c r="V79" s="29" t="n">
        <v>4531.5075</v>
      </c>
      <c r="AB79" s="29" t="n">
        <v>4555.59548</v>
      </c>
      <c r="AC79" s="29" t="n">
        <v>4552.77012</v>
      </c>
      <c r="AD79" s="29" t="n">
        <v>0</v>
      </c>
    </row>
    <row r="80" ht="14.25" customHeight="1" s="28">
      <c r="A80" s="29" t="n">
        <v>1777479301</v>
      </c>
      <c r="B80" s="29" t="inlineStr">
        <is>
          <t>XAUUSD</t>
        </is>
      </c>
      <c r="C80" s="29" t="inlineStr">
        <is>
          <t>M15</t>
        </is>
      </c>
      <c r="D80" s="29" t="n">
        <v>4560.23</v>
      </c>
      <c r="E80" s="29" t="n">
        <v>4717.79398</v>
      </c>
      <c r="F80" s="29" t="n">
        <v>4695.2428</v>
      </c>
      <c r="G80" s="29" t="n">
        <v>4518.59282</v>
      </c>
      <c r="H80" s="29" t="n">
        <v>4596.05595</v>
      </c>
      <c r="I80" s="29" t="n">
        <v>4755.40355</v>
      </c>
      <c r="J80" s="29" t="n">
        <v>4792.76972</v>
      </c>
      <c r="K80" s="29" t="n">
        <v>4769.97694</v>
      </c>
      <c r="L80" s="29" t="n">
        <v>4716.33597</v>
      </c>
      <c r="M80" s="29" t="n">
        <v>4718.85043</v>
      </c>
      <c r="N80" s="29" t="n">
        <v>4531.36057</v>
      </c>
      <c r="O80" s="29" t="n">
        <v>4556.93783</v>
      </c>
      <c r="Q80" s="29" t="n">
        <v>4564.35514</v>
      </c>
      <c r="R80" s="29" t="n">
        <v>4612.3728</v>
      </c>
      <c r="S80" s="29" t="n">
        <v>4588.18919</v>
      </c>
      <c r="V80" s="29" t="n">
        <v>4531.70994</v>
      </c>
      <c r="AB80" s="29" t="n">
        <v>4555.7869</v>
      </c>
      <c r="AC80" s="29" t="n">
        <v>4554.27851</v>
      </c>
      <c r="AD80" s="29" t="n">
        <v>0</v>
      </c>
    </row>
    <row r="81" ht="14.25" customHeight="1" s="28">
      <c r="A81" s="29" t="n">
        <v>1777480201</v>
      </c>
      <c r="B81" s="29" t="inlineStr">
        <is>
          <t>XAUUSD</t>
        </is>
      </c>
      <c r="C81" s="29" t="inlineStr">
        <is>
          <t>M15</t>
        </is>
      </c>
      <c r="D81" s="29" t="n">
        <v>4550.51</v>
      </c>
      <c r="E81" s="29" t="n">
        <v>4717.79398</v>
      </c>
      <c r="F81" s="29" t="n">
        <v>4695.2428</v>
      </c>
      <c r="G81" s="29" t="n">
        <v>4518.59282</v>
      </c>
      <c r="H81" s="29" t="n">
        <v>4596.05595</v>
      </c>
      <c r="I81" s="29" t="n">
        <v>4755.40355</v>
      </c>
      <c r="J81" s="29" t="n">
        <v>4792.76972</v>
      </c>
      <c r="K81" s="29" t="n">
        <v>4769.97694</v>
      </c>
      <c r="L81" s="29" t="n">
        <v>4716.33597</v>
      </c>
      <c r="M81" s="29" t="n">
        <v>4718.85043</v>
      </c>
      <c r="N81" s="29" t="n">
        <v>4531.36057</v>
      </c>
      <c r="O81" s="29" t="n">
        <v>4556.93783</v>
      </c>
      <c r="Q81" s="29" t="n">
        <v>4564.55758</v>
      </c>
      <c r="R81" s="29" t="n">
        <v>4612.57525</v>
      </c>
      <c r="S81" s="29" t="n">
        <v>4588.39163</v>
      </c>
      <c r="V81" s="29" t="n">
        <v>4531.91239</v>
      </c>
      <c r="AB81" s="29" t="n">
        <v>4554.30816</v>
      </c>
      <c r="AC81" s="29" t="n">
        <v>4554.29334</v>
      </c>
      <c r="AD81" s="29" t="n">
        <v>0</v>
      </c>
    </row>
    <row r="82" ht="14.25" customHeight="1" s="28">
      <c r="A82" s="29" t="n">
        <v>1777481101</v>
      </c>
      <c r="B82" s="29" t="inlineStr">
        <is>
          <t>XAUUSD</t>
        </is>
      </c>
      <c r="C82" s="29" t="inlineStr">
        <is>
          <t>M15</t>
        </is>
      </c>
      <c r="D82" s="29" t="n">
        <v>4545.36</v>
      </c>
      <c r="E82" s="29" t="n">
        <v>4717.79398</v>
      </c>
      <c r="F82" s="29" t="n">
        <v>4695.2428</v>
      </c>
      <c r="G82" s="29" t="n">
        <v>4518.59282</v>
      </c>
      <c r="H82" s="29" t="n">
        <v>4596.05595</v>
      </c>
      <c r="I82" s="29" t="n">
        <v>4755.40355</v>
      </c>
      <c r="J82" s="29" t="n">
        <v>4792.76972</v>
      </c>
      <c r="K82" s="29" t="n">
        <v>4769.97694</v>
      </c>
      <c r="L82" s="29" t="n">
        <v>4716.33597</v>
      </c>
      <c r="M82" s="29" t="n">
        <v>4718.85043</v>
      </c>
      <c r="N82" s="29" t="n">
        <v>4531.36057</v>
      </c>
      <c r="O82" s="29" t="n">
        <v>4556.93783</v>
      </c>
      <c r="Q82" s="29" t="n">
        <v>4564.76003</v>
      </c>
      <c r="R82" s="29" t="n">
        <v>4612.77769</v>
      </c>
      <c r="S82" s="29" t="n">
        <v>4588.59408</v>
      </c>
      <c r="V82" s="29" t="n">
        <v>4532.11484</v>
      </c>
      <c r="AB82" s="29" t="n">
        <v>4551.6611</v>
      </c>
      <c r="AC82" s="29" t="n">
        <v>4552.97722</v>
      </c>
      <c r="AD82" s="29" t="n">
        <v>1</v>
      </c>
    </row>
    <row r="83" ht="14.25" customHeight="1" s="28">
      <c r="A83" s="29" t="n">
        <v>1777482001</v>
      </c>
      <c r="B83" s="29" t="inlineStr">
        <is>
          <t>XAUUSD</t>
        </is>
      </c>
      <c r="C83" s="29" t="inlineStr">
        <is>
          <t>M15</t>
        </is>
      </c>
      <c r="D83" s="29" t="n">
        <v>4550.68</v>
      </c>
      <c r="E83" s="29" t="n">
        <v>4717.79398</v>
      </c>
      <c r="F83" s="29" t="n">
        <v>4695.2428</v>
      </c>
      <c r="G83" s="29" t="n">
        <v>4518.59282</v>
      </c>
      <c r="H83" s="29" t="n">
        <v>4596.05595</v>
      </c>
      <c r="I83" s="29" t="n">
        <v>4755.40355</v>
      </c>
      <c r="J83" s="29" t="n">
        <v>4792.76972</v>
      </c>
      <c r="K83" s="29" t="n">
        <v>4769.97694</v>
      </c>
      <c r="L83" s="29" t="n">
        <v>4716.33597</v>
      </c>
      <c r="M83" s="29" t="n">
        <v>4718.85043</v>
      </c>
      <c r="N83" s="29" t="n">
        <v>4531.36057</v>
      </c>
      <c r="O83" s="29" t="n">
        <v>4556.93783</v>
      </c>
      <c r="Q83" s="29" t="n">
        <v>4564.96247</v>
      </c>
      <c r="R83" s="29" t="n">
        <v>4612.98014</v>
      </c>
      <c r="S83" s="29" t="n">
        <v>4588.79652</v>
      </c>
      <c r="V83" s="29" t="n">
        <v>4532.31728</v>
      </c>
      <c r="AB83" s="29" t="n">
        <v>4548.32138</v>
      </c>
      <c r="AC83" s="29" t="n">
        <v>4550.6493</v>
      </c>
      <c r="AD83" s="29" t="n">
        <v>0</v>
      </c>
    </row>
    <row r="84" ht="14.25" customHeight="1" s="28">
      <c r="A84" s="29" t="n">
        <v>1777482901</v>
      </c>
      <c r="B84" s="29" t="inlineStr">
        <is>
          <t>XAUUSD</t>
        </is>
      </c>
      <c r="C84" s="29" t="inlineStr">
        <is>
          <t>M15</t>
        </is>
      </c>
      <c r="D84" s="29" t="n">
        <v>4547.23</v>
      </c>
      <c r="E84" s="29" t="n">
        <v>4717.79398</v>
      </c>
      <c r="F84" s="29" t="n">
        <v>4695.2428</v>
      </c>
      <c r="G84" s="29" t="n">
        <v>4518.59282</v>
      </c>
      <c r="H84" s="29" t="n">
        <v>4596.05595</v>
      </c>
      <c r="I84" s="29" t="n">
        <v>4755.40355</v>
      </c>
      <c r="J84" s="29" t="n">
        <v>4792.76972</v>
      </c>
      <c r="K84" s="29" t="n">
        <v>4769.97694</v>
      </c>
      <c r="L84" s="29" t="n">
        <v>4716.33597</v>
      </c>
      <c r="M84" s="29" t="n">
        <v>4718.85043</v>
      </c>
      <c r="N84" s="29" t="n">
        <v>4531.36057</v>
      </c>
      <c r="O84" s="29" t="n">
        <v>4556.93783</v>
      </c>
      <c r="Q84" s="29" t="n">
        <v>4565.16492</v>
      </c>
      <c r="R84" s="29" t="n">
        <v>4613.18258</v>
      </c>
      <c r="S84" s="29" t="n">
        <v>4588.99897</v>
      </c>
      <c r="V84" s="29" t="n">
        <v>4532.51973</v>
      </c>
      <c r="AB84" s="29" t="n">
        <v>4544.54776</v>
      </c>
      <c r="AC84" s="29" t="n">
        <v>4547.59853</v>
      </c>
      <c r="AD84" s="29" t="n">
        <v>0</v>
      </c>
    </row>
    <row r="85" ht="14.25" customHeight="1" s="28">
      <c r="A85" s="29" t="n">
        <v>1777483801</v>
      </c>
      <c r="B85" s="29" t="inlineStr">
        <is>
          <t>XAUUSD</t>
        </is>
      </c>
      <c r="C85" s="29" t="inlineStr">
        <is>
          <t>M15</t>
        </is>
      </c>
      <c r="D85" s="29" t="n">
        <v>4544.75</v>
      </c>
      <c r="E85" s="29" t="n">
        <v>4717.79398</v>
      </c>
      <c r="F85" s="29" t="n">
        <v>4695.2428</v>
      </c>
      <c r="G85" s="29" t="n">
        <v>4518.59282</v>
      </c>
      <c r="H85" s="29" t="n">
        <v>4596.05595</v>
      </c>
      <c r="I85" s="29" t="n">
        <v>4755.40355</v>
      </c>
      <c r="J85" s="29" t="n">
        <v>4792.76972</v>
      </c>
      <c r="K85" s="29" t="n">
        <v>4769.97694</v>
      </c>
      <c r="L85" s="29" t="n">
        <v>4716.33597</v>
      </c>
      <c r="M85" s="29" t="n">
        <v>4718.85043</v>
      </c>
      <c r="N85" s="29" t="n">
        <v>4531.36057</v>
      </c>
      <c r="O85" s="29" t="n">
        <v>4556.93783</v>
      </c>
      <c r="Q85" s="29" t="n">
        <v>4565.36736</v>
      </c>
      <c r="R85" s="29" t="n">
        <v>4613.38503</v>
      </c>
      <c r="S85" s="29" t="n">
        <v>4589.20142</v>
      </c>
      <c r="V85" s="29" t="n">
        <v>4532.72217</v>
      </c>
      <c r="AB85" s="29" t="n">
        <v>4540.83178</v>
      </c>
      <c r="AC85" s="29" t="n">
        <v>4544.21516</v>
      </c>
      <c r="AD85" s="29" t="n">
        <v>0</v>
      </c>
    </row>
    <row r="86" ht="14.25" customHeight="1" s="28">
      <c r="A86" s="29" t="n">
        <v>1777484701</v>
      </c>
      <c r="B86" s="29" t="inlineStr">
        <is>
          <t>XAUUSD</t>
        </is>
      </c>
      <c r="C86" s="29" t="inlineStr">
        <is>
          <t>M15</t>
        </is>
      </c>
      <c r="D86" s="29" t="n">
        <v>4547.33</v>
      </c>
      <c r="E86" s="29" t="n">
        <v>4717.79398</v>
      </c>
      <c r="F86" s="29" t="n">
        <v>4695.2428</v>
      </c>
      <c r="G86" s="29" t="n">
        <v>4518.59282</v>
      </c>
      <c r="H86" s="29" t="n">
        <v>4596.05595</v>
      </c>
      <c r="I86" s="29" t="n">
        <v>4755.40355</v>
      </c>
      <c r="J86" s="29" t="n">
        <v>4792.76972</v>
      </c>
      <c r="K86" s="29" t="n">
        <v>4769.97694</v>
      </c>
      <c r="L86" s="29" t="n">
        <v>4716.33597</v>
      </c>
      <c r="M86" s="29" t="n">
        <v>4718.85043</v>
      </c>
      <c r="N86" s="29" t="n">
        <v>4531.36057</v>
      </c>
      <c r="O86" s="29" t="n">
        <v>4556.93783</v>
      </c>
      <c r="Q86" s="29" t="n">
        <v>4565.56981</v>
      </c>
      <c r="R86" s="29" t="n">
        <v>4613.58747</v>
      </c>
      <c r="S86" s="29" t="n">
        <v>4589.40386</v>
      </c>
      <c r="V86" s="29" t="n">
        <v>4532.92462</v>
      </c>
      <c r="AB86" s="29" t="n">
        <v>4537.58408</v>
      </c>
      <c r="AC86" s="29" t="n">
        <v>4540.89962</v>
      </c>
      <c r="AD86" s="29" t="n">
        <v>0</v>
      </c>
    </row>
    <row r="87" ht="14.25" customHeight="1" s="28">
      <c r="A87" s="29" t="n">
        <v>1777485601</v>
      </c>
      <c r="B87" s="29" t="inlineStr">
        <is>
          <t>XAUUSD</t>
        </is>
      </c>
      <c r="C87" s="29" t="inlineStr">
        <is>
          <t>M15</t>
        </is>
      </c>
      <c r="D87" s="29" t="n">
        <v>4525.75</v>
      </c>
      <c r="E87" s="29" t="n">
        <v>4717.79398</v>
      </c>
      <c r="F87" s="29" t="n">
        <v>4695.2428</v>
      </c>
      <c r="G87" s="29" t="n">
        <v>4518.59282</v>
      </c>
      <c r="H87" s="29" t="n">
        <v>4596.05595</v>
      </c>
      <c r="I87" s="29" t="n">
        <v>4755.40355</v>
      </c>
      <c r="J87" s="29" t="n">
        <v>4792.76972</v>
      </c>
      <c r="K87" s="29" t="n">
        <v>4769.97694</v>
      </c>
      <c r="L87" s="29" t="n">
        <v>4716.33597</v>
      </c>
      <c r="M87" s="29" t="n">
        <v>4718.85043</v>
      </c>
      <c r="N87" s="29" t="n">
        <v>4531.36057</v>
      </c>
      <c r="O87" s="29" t="n">
        <v>4556.93783</v>
      </c>
      <c r="Q87" s="29" t="n">
        <v>4565.77226</v>
      </c>
      <c r="R87" s="29" t="n">
        <v>4613.78992</v>
      </c>
      <c r="S87" s="29" t="n">
        <v>4589.60631</v>
      </c>
      <c r="V87" s="29" t="n">
        <v>4533.12706</v>
      </c>
      <c r="AB87" s="29" t="n">
        <v>4535.04299</v>
      </c>
      <c r="AC87" s="29" t="n">
        <v>4537.97131</v>
      </c>
      <c r="AD87" s="29" t="n">
        <v>0</v>
      </c>
    </row>
    <row r="88" ht="14.25" customHeight="1" s="28">
      <c r="A88" s="29" t="n">
        <v>1777486501</v>
      </c>
      <c r="B88" s="29" t="inlineStr">
        <is>
          <t>XAUUSD</t>
        </is>
      </c>
      <c r="C88" s="29" t="inlineStr">
        <is>
          <t>M15</t>
        </is>
      </c>
      <c r="D88" s="29" t="n">
        <v>4532.95</v>
      </c>
      <c r="E88" s="29" t="n">
        <v>4717.79398</v>
      </c>
      <c r="F88" s="29" t="n">
        <v>4695.2428</v>
      </c>
      <c r="G88" s="29" t="n">
        <v>4518.59282</v>
      </c>
      <c r="H88" s="29" t="n">
        <v>4596.05595</v>
      </c>
      <c r="I88" s="29" t="n">
        <v>4755.40355</v>
      </c>
      <c r="J88" s="29" t="n">
        <v>4792.76972</v>
      </c>
      <c r="K88" s="29" t="n">
        <v>4769.97694</v>
      </c>
      <c r="L88" s="29" t="n">
        <v>4716.33597</v>
      </c>
      <c r="M88" s="29" t="n">
        <v>4718.85043</v>
      </c>
      <c r="N88" s="29" t="n">
        <v>4531.36057</v>
      </c>
      <c r="O88" s="29" t="n">
        <v>4556.93783</v>
      </c>
      <c r="Q88" s="29" t="n">
        <v>4565.9747</v>
      </c>
      <c r="R88" s="29" t="n">
        <v>4613.99237</v>
      </c>
      <c r="S88" s="29" t="n">
        <v>4589.80875</v>
      </c>
      <c r="V88" s="29" t="n">
        <v>4533.32951</v>
      </c>
      <c r="AB88" s="29" t="n">
        <v>4534.01298</v>
      </c>
      <c r="AC88" s="29" t="n">
        <v>4535.99214</v>
      </c>
      <c r="AD88" s="29" t="n">
        <v>0</v>
      </c>
    </row>
    <row r="89" ht="14.25" customHeight="1" s="28">
      <c r="A89" s="29" t="n">
        <v>1777487401</v>
      </c>
      <c r="B89" s="29" t="inlineStr">
        <is>
          <t>XAUUSD</t>
        </is>
      </c>
      <c r="C89" s="29" t="inlineStr">
        <is>
          <t>M15</t>
        </is>
      </c>
      <c r="D89" s="29" t="n">
        <v>4520.81</v>
      </c>
      <c r="E89" s="29" t="n">
        <v>4717.79398</v>
      </c>
      <c r="F89" s="29" t="n">
        <v>4695.2428</v>
      </c>
      <c r="G89" s="29" t="n">
        <v>4518.59282</v>
      </c>
      <c r="H89" s="29" t="n">
        <v>4596.05595</v>
      </c>
      <c r="I89" s="29" t="n">
        <v>4755.40355</v>
      </c>
      <c r="J89" s="29" t="n">
        <v>4792.76972</v>
      </c>
      <c r="K89" s="29" t="n">
        <v>4769.97694</v>
      </c>
      <c r="L89" s="29" t="n">
        <v>4716.33597</v>
      </c>
      <c r="M89" s="29" t="n">
        <v>4718.85043</v>
      </c>
      <c r="N89" s="29" t="n">
        <v>4531.36057</v>
      </c>
      <c r="O89" s="29" t="n">
        <v>4556.93783</v>
      </c>
      <c r="Q89" s="29" t="n">
        <v>4566.17715</v>
      </c>
      <c r="R89" s="29" t="n">
        <v>4614.19481</v>
      </c>
      <c r="S89" s="29" t="n">
        <v>4590.0112</v>
      </c>
      <c r="V89" s="29" t="n">
        <v>4533.53195</v>
      </c>
      <c r="AB89" s="29" t="n">
        <v>4534.27835</v>
      </c>
      <c r="AC89" s="29" t="n">
        <v>4535.13525</v>
      </c>
      <c r="AD89" s="29" t="n">
        <v>0</v>
      </c>
    </row>
    <row r="90" ht="14.25" customHeight="1" s="28">
      <c r="A90" s="29" t="n">
        <v>1777488301</v>
      </c>
      <c r="B90" s="29" t="inlineStr">
        <is>
          <t>XAUUSD</t>
        </is>
      </c>
      <c r="C90" s="29" t="inlineStr">
        <is>
          <t>M15</t>
        </is>
      </c>
      <c r="D90" s="29" t="n">
        <v>4538.19</v>
      </c>
      <c r="E90" s="29" t="n">
        <v>4717.79398</v>
      </c>
      <c r="F90" s="29" t="n">
        <v>4695.2428</v>
      </c>
      <c r="G90" s="29" t="n">
        <v>4518.59282</v>
      </c>
      <c r="H90" s="29" t="n">
        <v>4596.05595</v>
      </c>
      <c r="I90" s="29" t="n">
        <v>4755.40355</v>
      </c>
      <c r="J90" s="29" t="n">
        <v>4792.76972</v>
      </c>
      <c r="K90" s="29" t="n">
        <v>4769.97694</v>
      </c>
      <c r="L90" s="29" t="n">
        <v>4716.33597</v>
      </c>
      <c r="M90" s="29" t="n">
        <v>4718.85043</v>
      </c>
      <c r="N90" s="29" t="n">
        <v>4531.36057</v>
      </c>
      <c r="O90" s="29" t="n">
        <v>4556.93783</v>
      </c>
      <c r="Q90" s="29" t="n">
        <v>4566.37959</v>
      </c>
      <c r="R90" s="29" t="n">
        <v>4614.39726</v>
      </c>
      <c r="S90" s="29" t="n">
        <v>4590.21364</v>
      </c>
      <c r="V90" s="29" t="n">
        <v>4533.7344</v>
      </c>
      <c r="AA90" s="29" t="n">
        <v>4518.41</v>
      </c>
      <c r="AB90" s="29" t="n">
        <v>4535.96113</v>
      </c>
      <c r="AC90" s="29" t="n">
        <v>4535.54819</v>
      </c>
      <c r="AD90" s="29" t="n">
        <v>1</v>
      </c>
    </row>
    <row r="91" ht="14.25" customHeight="1" s="28">
      <c r="A91" s="29" t="n">
        <v>1777489201</v>
      </c>
      <c r="B91" s="29" t="inlineStr">
        <is>
          <t>XAUUSD</t>
        </is>
      </c>
      <c r="C91" s="29" t="inlineStr">
        <is>
          <t>M15</t>
        </is>
      </c>
      <c r="D91" s="29" t="n">
        <v>4547.72</v>
      </c>
      <c r="E91" s="29" t="n">
        <v>4717.79398</v>
      </c>
      <c r="F91" s="29" t="n">
        <v>4695.2428</v>
      </c>
      <c r="G91" s="29" t="n">
        <v>4518.59282</v>
      </c>
      <c r="H91" s="29" t="n">
        <v>4596.05595</v>
      </c>
      <c r="I91" s="29" t="n">
        <v>4755.40355</v>
      </c>
      <c r="J91" s="29" t="n">
        <v>4792.76972</v>
      </c>
      <c r="K91" s="29" t="n">
        <v>4769.97694</v>
      </c>
      <c r="L91" s="29" t="n">
        <v>4716.33597</v>
      </c>
      <c r="M91" s="29" t="n">
        <v>4718.85043</v>
      </c>
      <c r="N91" s="29" t="n">
        <v>4531.36057</v>
      </c>
      <c r="O91" s="29" t="n">
        <v>4556.93783</v>
      </c>
      <c r="Q91" s="29" t="n">
        <v>4566.58204</v>
      </c>
      <c r="R91" s="29" t="n">
        <v>4614.5997</v>
      </c>
      <c r="S91" s="29" t="n">
        <v>4590.41609</v>
      </c>
      <c r="V91" s="29" t="n">
        <v>4533.93685</v>
      </c>
      <c r="AB91" s="29" t="n">
        <v>4538.22619</v>
      </c>
      <c r="AC91" s="29" t="n">
        <v>4536.88719</v>
      </c>
      <c r="AD91" s="29" t="n">
        <v>0</v>
      </c>
    </row>
    <row r="92" ht="14.25" customHeight="1" s="28">
      <c r="A92" s="29" t="n">
        <v>1777490101</v>
      </c>
      <c r="B92" s="29" t="inlineStr">
        <is>
          <t>XAUUSD</t>
        </is>
      </c>
      <c r="C92" s="29" t="inlineStr">
        <is>
          <t>M15</t>
        </is>
      </c>
      <c r="D92" s="29" t="n">
        <v>4542.84</v>
      </c>
      <c r="E92" s="29" t="n">
        <v>4717.79398</v>
      </c>
      <c r="F92" s="29" t="n">
        <v>4695.2428</v>
      </c>
      <c r="G92" s="29" t="n">
        <v>4518.59282</v>
      </c>
      <c r="H92" s="29" t="n">
        <v>4596.05595</v>
      </c>
      <c r="I92" s="29" t="n">
        <v>4755.40355</v>
      </c>
      <c r="J92" s="29" t="n">
        <v>4792.76972</v>
      </c>
      <c r="K92" s="29" t="n">
        <v>4769.97694</v>
      </c>
      <c r="L92" s="29" t="n">
        <v>4716.33597</v>
      </c>
      <c r="M92" s="29" t="n">
        <v>4718.85043</v>
      </c>
      <c r="N92" s="29" t="n">
        <v>4531.36057</v>
      </c>
      <c r="O92" s="29" t="n">
        <v>4556.93783</v>
      </c>
      <c r="Q92" s="29" t="n">
        <v>4566.78448</v>
      </c>
      <c r="R92" s="29" t="n">
        <v>4614.80215</v>
      </c>
      <c r="S92" s="29" t="n">
        <v>4590.61854</v>
      </c>
      <c r="V92" s="29" t="n">
        <v>4534.13929</v>
      </c>
      <c r="AB92" s="29" t="n">
        <v>4540.41526</v>
      </c>
      <c r="AC92" s="29" t="n">
        <v>4538.65123</v>
      </c>
      <c r="AD92" s="29" t="n">
        <v>0</v>
      </c>
    </row>
    <row r="93" ht="14.25" customHeight="1" s="28">
      <c r="A93" s="29" t="n">
        <v>1777491001</v>
      </c>
      <c r="B93" s="29" t="inlineStr">
        <is>
          <t>XAUUSD</t>
        </is>
      </c>
      <c r="C93" s="29" t="inlineStr">
        <is>
          <t>M15</t>
        </is>
      </c>
      <c r="D93" s="29" t="n">
        <v>4539.61</v>
      </c>
      <c r="E93" s="29" t="n">
        <v>4717.79398</v>
      </c>
      <c r="F93" s="29" t="n">
        <v>4695.2428</v>
      </c>
      <c r="G93" s="29" t="n">
        <v>4518.59282</v>
      </c>
      <c r="H93" s="29" t="n">
        <v>4596.05595</v>
      </c>
      <c r="I93" s="29" t="n">
        <v>4755.40355</v>
      </c>
      <c r="J93" s="29" t="n">
        <v>4792.76972</v>
      </c>
      <c r="K93" s="29" t="n">
        <v>4769.97694</v>
      </c>
      <c r="L93" s="29" t="n">
        <v>4716.33597</v>
      </c>
      <c r="M93" s="29" t="n">
        <v>4718.85043</v>
      </c>
      <c r="N93" s="29" t="n">
        <v>4531.36057</v>
      </c>
      <c r="O93" s="29" t="n">
        <v>4556.93783</v>
      </c>
      <c r="Q93" s="29" t="n">
        <v>4566.98693</v>
      </c>
      <c r="R93" s="29" t="n">
        <v>4615.00459</v>
      </c>
      <c r="S93" s="29" t="n">
        <v>4590.82098</v>
      </c>
      <c r="V93" s="29" t="n">
        <v>4534.34174</v>
      </c>
      <c r="AB93" s="29" t="n">
        <v>4542.37717</v>
      </c>
      <c r="AC93" s="29" t="n">
        <v>4540.5142</v>
      </c>
      <c r="AD93" s="29" t="n">
        <v>0</v>
      </c>
    </row>
    <row r="94" ht="14.25" customHeight="1" s="28">
      <c r="A94" s="29" t="n">
        <v>1777491901</v>
      </c>
      <c r="B94" s="29" t="inlineStr">
        <is>
          <t>XAUUSD</t>
        </is>
      </c>
      <c r="C94" s="29" t="inlineStr">
        <is>
          <t>M15</t>
        </is>
      </c>
      <c r="D94" s="29" t="n">
        <v>4547.05</v>
      </c>
      <c r="E94" s="29" t="n">
        <v>4717.79398</v>
      </c>
      <c r="F94" s="29" t="n">
        <v>4695.2428</v>
      </c>
      <c r="G94" s="29" t="n">
        <v>4518.59282</v>
      </c>
      <c r="H94" s="29" t="n">
        <v>4596.05595</v>
      </c>
      <c r="I94" s="29" t="n">
        <v>4755.40355</v>
      </c>
      <c r="J94" s="29" t="n">
        <v>4792.76972</v>
      </c>
      <c r="K94" s="29" t="n">
        <v>4769.97694</v>
      </c>
      <c r="L94" s="29" t="n">
        <v>4716.33597</v>
      </c>
      <c r="M94" s="29" t="n">
        <v>4718.85043</v>
      </c>
      <c r="N94" s="29" t="n">
        <v>4531.36057</v>
      </c>
      <c r="O94" s="29" t="n">
        <v>4556.93783</v>
      </c>
      <c r="Q94" s="29" t="n">
        <v>4567.18938</v>
      </c>
      <c r="R94" s="29" t="n">
        <v>4615.20704</v>
      </c>
      <c r="S94" s="29" t="n">
        <v>4591.02343</v>
      </c>
      <c r="V94" s="29" t="n">
        <v>4534.54418</v>
      </c>
      <c r="AB94" s="29" t="n">
        <v>4544.01563</v>
      </c>
      <c r="AC94" s="29" t="n">
        <v>4542.26491</v>
      </c>
      <c r="AD94" s="29" t="n">
        <v>0</v>
      </c>
    </row>
    <row r="95" ht="14.25" customHeight="1" s="28">
      <c r="A95" s="29" t="n">
        <v>1777492801</v>
      </c>
      <c r="B95" s="29" t="inlineStr">
        <is>
          <t>XAUUSD</t>
        </is>
      </c>
      <c r="C95" s="29" t="inlineStr">
        <is>
          <t>M15</t>
        </is>
      </c>
      <c r="D95" s="29" t="n">
        <v>4546.25</v>
      </c>
      <c r="E95" s="29" t="n">
        <v>4717.79398</v>
      </c>
      <c r="F95" s="29" t="n">
        <v>4695.2428</v>
      </c>
      <c r="G95" s="29" t="n">
        <v>4518.59282</v>
      </c>
      <c r="H95" s="29" t="n">
        <v>4596.05595</v>
      </c>
      <c r="I95" s="29" t="n">
        <v>4755.40355</v>
      </c>
      <c r="J95" s="29" t="n">
        <v>4792.76972</v>
      </c>
      <c r="K95" s="29" t="n">
        <v>4769.97694</v>
      </c>
      <c r="L95" s="29" t="n">
        <v>4716.33597</v>
      </c>
      <c r="M95" s="29" t="n">
        <v>4718.85043</v>
      </c>
      <c r="N95" s="29" t="n">
        <v>4531.36057</v>
      </c>
      <c r="O95" s="29" t="n">
        <v>4556.93783</v>
      </c>
      <c r="Q95" s="29" t="n">
        <v>4567.39182</v>
      </c>
      <c r="R95" s="29" t="n">
        <v>4615.40949</v>
      </c>
      <c r="S95" s="29" t="n">
        <v>4591.22587</v>
      </c>
      <c r="V95" s="29" t="n">
        <v>4534.74663</v>
      </c>
      <c r="AB95" s="29" t="n">
        <v>4545.08305</v>
      </c>
      <c r="AC95" s="29" t="n">
        <v>4543.67398</v>
      </c>
      <c r="AD95" s="29" t="n">
        <v>0</v>
      </c>
    </row>
    <row r="96" ht="14.25" customHeight="1" s="28">
      <c r="A96" s="29" t="n">
        <v>1777493701</v>
      </c>
      <c r="B96" s="29" t="inlineStr">
        <is>
          <t>XAUUSD</t>
        </is>
      </c>
      <c r="C96" s="29" t="inlineStr">
        <is>
          <t>M15</t>
        </is>
      </c>
      <c r="D96" s="29" t="n">
        <v>4543.25</v>
      </c>
      <c r="E96" s="29" t="n">
        <v>4717.79398</v>
      </c>
      <c r="F96" s="29" t="n">
        <v>4695.2428</v>
      </c>
      <c r="G96" s="29" t="n">
        <v>4518.59282</v>
      </c>
      <c r="H96" s="29" t="n">
        <v>4596.05595</v>
      </c>
      <c r="I96" s="29" t="n">
        <v>4755.40355</v>
      </c>
      <c r="J96" s="29" t="n">
        <v>4792.76972</v>
      </c>
      <c r="K96" s="29" t="n">
        <v>4769.97694</v>
      </c>
      <c r="L96" s="29" t="n">
        <v>4716.33597</v>
      </c>
      <c r="M96" s="29" t="n">
        <v>4718.85043</v>
      </c>
      <c r="N96" s="29" t="n">
        <v>4531.36057</v>
      </c>
      <c r="O96" s="29" t="n">
        <v>4556.93783</v>
      </c>
      <c r="Q96" s="29" t="n">
        <v>4567.59427</v>
      </c>
      <c r="R96" s="29" t="n">
        <v>4615.61193</v>
      </c>
      <c r="S96" s="29" t="n">
        <v>4591.42832</v>
      </c>
      <c r="V96" s="29" t="n">
        <v>4534.94907</v>
      </c>
      <c r="AB96" s="29" t="n">
        <v>4545.66618</v>
      </c>
      <c r="AC96" s="29" t="n">
        <v>4544.67008</v>
      </c>
      <c r="AD96" s="29" t="n">
        <v>0</v>
      </c>
    </row>
    <row r="97" ht="14.25" customHeight="1" s="28">
      <c r="A97" s="29" t="n">
        <v>1777494601</v>
      </c>
      <c r="B97" s="29" t="inlineStr">
        <is>
          <t>XAUUSD</t>
        </is>
      </c>
      <c r="C97" s="29" t="inlineStr">
        <is>
          <t>M15</t>
        </is>
      </c>
      <c r="D97" s="29" t="n">
        <v>4543.79</v>
      </c>
      <c r="E97" s="29" t="n">
        <v>4717.79398</v>
      </c>
      <c r="F97" s="29" t="n">
        <v>4695.2428</v>
      </c>
      <c r="G97" s="29" t="n">
        <v>4518.59282</v>
      </c>
      <c r="H97" s="29" t="n">
        <v>4596.05595</v>
      </c>
      <c r="I97" s="29" t="n">
        <v>4755.40355</v>
      </c>
      <c r="J97" s="29" t="n">
        <v>4792.76972</v>
      </c>
      <c r="K97" s="29" t="n">
        <v>4769.97694</v>
      </c>
      <c r="L97" s="29" t="n">
        <v>4716.33597</v>
      </c>
      <c r="M97" s="29" t="n">
        <v>4718.85043</v>
      </c>
      <c r="N97" s="29" t="n">
        <v>4531.36057</v>
      </c>
      <c r="O97" s="29" t="n">
        <v>4556.93783</v>
      </c>
      <c r="Q97" s="29" t="n">
        <v>4567.79671</v>
      </c>
      <c r="R97" s="29" t="n">
        <v>4615.81438</v>
      </c>
      <c r="S97" s="29" t="n">
        <v>4591.63076</v>
      </c>
      <c r="V97" s="29" t="n">
        <v>4535.15152</v>
      </c>
      <c r="AB97" s="29" t="n">
        <v>4546.02341</v>
      </c>
      <c r="AC97" s="29" t="n">
        <v>4545.34675</v>
      </c>
      <c r="AD97" s="29" t="n">
        <v>0</v>
      </c>
    </row>
    <row r="98" ht="14.25" customHeight="1" s="28">
      <c r="A98" s="29" t="n">
        <v>1777495501</v>
      </c>
      <c r="B98" s="29" t="inlineStr">
        <is>
          <t>XAUUSD</t>
        </is>
      </c>
      <c r="C98" s="29" t="inlineStr">
        <is>
          <t>M15</t>
        </is>
      </c>
      <c r="D98" s="29" t="n">
        <v>4543.57</v>
      </c>
      <c r="E98" s="29" t="n">
        <v>4717.79398</v>
      </c>
      <c r="F98" s="29" t="n">
        <v>4695.2428</v>
      </c>
      <c r="G98" s="29" t="n">
        <v>4518.59282</v>
      </c>
      <c r="H98" s="29" t="n">
        <v>4596.05595</v>
      </c>
      <c r="I98" s="29" t="n">
        <v>4755.40355</v>
      </c>
      <c r="J98" s="29" t="n">
        <v>4792.76972</v>
      </c>
      <c r="K98" s="29" t="n">
        <v>4769.97694</v>
      </c>
      <c r="L98" s="29" t="n">
        <v>4716.33597</v>
      </c>
      <c r="M98" s="29" t="n">
        <v>4718.85043</v>
      </c>
      <c r="N98" s="29" t="n">
        <v>4531.36057</v>
      </c>
      <c r="O98" s="29" t="n">
        <v>4556.93783</v>
      </c>
      <c r="Q98" s="29" t="n">
        <v>4567.99916</v>
      </c>
      <c r="R98" s="29" t="n">
        <v>4616.01682</v>
      </c>
      <c r="S98" s="29" t="n">
        <v>4591.83321</v>
      </c>
      <c r="V98" s="29" t="n">
        <v>4535.35397</v>
      </c>
      <c r="AB98" s="29" t="n">
        <v>4546.30255</v>
      </c>
      <c r="AC98" s="29" t="n">
        <v>4545.82465</v>
      </c>
      <c r="AD98" s="29" t="n">
        <v>0</v>
      </c>
    </row>
    <row r="99" ht="14.25" customHeight="1" s="28">
      <c r="A99" s="29" t="n">
        <v>1777500001</v>
      </c>
      <c r="B99" s="29" t="inlineStr">
        <is>
          <t>XAUUSD</t>
        </is>
      </c>
      <c r="C99" s="29" t="inlineStr">
        <is>
          <t>M15</t>
        </is>
      </c>
      <c r="D99" s="29" t="n">
        <v>4546.4</v>
      </c>
      <c r="E99" s="29" t="n">
        <v>4717.79398</v>
      </c>
      <c r="F99" s="29" t="n">
        <v>4695.2428</v>
      </c>
      <c r="G99" s="29" t="n">
        <v>4518.59282</v>
      </c>
      <c r="H99" s="29" t="n">
        <v>4596.05595</v>
      </c>
      <c r="I99" s="29" t="n">
        <v>4755.40355</v>
      </c>
      <c r="J99" s="29" t="n">
        <v>4792.76972</v>
      </c>
      <c r="K99" s="29" t="n">
        <v>4769.97694</v>
      </c>
      <c r="L99" s="29" t="n">
        <v>4716.33597</v>
      </c>
      <c r="M99" s="29" t="n">
        <v>4718.85043</v>
      </c>
      <c r="N99" s="29" t="n">
        <v>4531.36057</v>
      </c>
      <c r="O99" s="29" t="n">
        <v>4556.93783</v>
      </c>
      <c r="Q99" s="29" t="n">
        <v>4568.2016</v>
      </c>
      <c r="R99" s="29" t="n">
        <v>4616.21927</v>
      </c>
      <c r="S99" s="29" t="n">
        <v>4592.03566</v>
      </c>
      <c r="V99" s="29" t="n">
        <v>4535.55641</v>
      </c>
      <c r="AB99" s="29" t="n">
        <v>4546.72227</v>
      </c>
      <c r="AC99" s="29" t="n">
        <v>4546.27346</v>
      </c>
      <c r="AD99" s="29" t="n">
        <v>0</v>
      </c>
    </row>
    <row r="100" ht="14.25" customHeight="1" s="28">
      <c r="A100" s="29" t="n">
        <v>1777500901</v>
      </c>
      <c r="B100" s="29" t="inlineStr">
        <is>
          <t>XAUUSD</t>
        </is>
      </c>
      <c r="C100" s="29" t="inlineStr">
        <is>
          <t>M15</t>
        </is>
      </c>
      <c r="D100" s="29" t="n">
        <v>4549.14</v>
      </c>
      <c r="E100" s="29" t="n">
        <v>4717.79398</v>
      </c>
      <c r="F100" s="29" t="n">
        <v>4695.2428</v>
      </c>
      <c r="G100" s="29" t="n">
        <v>4518.59282</v>
      </c>
      <c r="H100" s="29" t="n">
        <v>4596.05595</v>
      </c>
      <c r="I100" s="29" t="n">
        <v>4755.40355</v>
      </c>
      <c r="J100" s="29" t="n">
        <v>4792.76972</v>
      </c>
      <c r="K100" s="29" t="n">
        <v>4769.97694</v>
      </c>
      <c r="L100" s="29" t="n">
        <v>4716.33597</v>
      </c>
      <c r="M100" s="29" t="n">
        <v>4718.85043</v>
      </c>
      <c r="N100" s="29" t="n">
        <v>4531.36057</v>
      </c>
      <c r="O100" s="29" t="n">
        <v>4556.93783</v>
      </c>
      <c r="Q100" s="29" t="n">
        <v>4568.40405</v>
      </c>
      <c r="R100" s="29" t="n">
        <v>4616.42171</v>
      </c>
      <c r="S100" s="29" t="n">
        <v>4592.2381</v>
      </c>
      <c r="V100" s="29" t="n">
        <v>4535.75886</v>
      </c>
      <c r="AB100" s="29" t="n">
        <v>4547.40233</v>
      </c>
      <c r="AC100" s="29" t="n">
        <v>4546.83789</v>
      </c>
      <c r="AD100" s="29" t="n">
        <v>0</v>
      </c>
    </row>
    <row r="101" ht="14.25" customHeight="1" s="28">
      <c r="A101" s="29" t="n">
        <v>1777501801</v>
      </c>
      <c r="B101" s="29" t="inlineStr">
        <is>
          <t>XAUUSD</t>
        </is>
      </c>
      <c r="C101" s="29" t="inlineStr">
        <is>
          <t>M15</t>
        </is>
      </c>
      <c r="D101" s="29" t="n">
        <v>4548.51</v>
      </c>
      <c r="E101" s="29" t="n">
        <v>4717.79398</v>
      </c>
      <c r="F101" s="29" t="n">
        <v>4695.2428</v>
      </c>
      <c r="G101" s="29" t="n">
        <v>4518.59282</v>
      </c>
      <c r="H101" s="29" t="n">
        <v>4596.05595</v>
      </c>
      <c r="I101" s="29" t="n">
        <v>4755.40355</v>
      </c>
      <c r="J101" s="29" t="n">
        <v>4792.76972</v>
      </c>
      <c r="K101" s="29" t="n">
        <v>4769.97694</v>
      </c>
      <c r="L101" s="29" t="n">
        <v>4716.33597</v>
      </c>
      <c r="M101" s="29" t="n">
        <v>4718.85043</v>
      </c>
      <c r="N101" s="29" t="n">
        <v>4531.36057</v>
      </c>
      <c r="O101" s="29" t="n">
        <v>4556.93783</v>
      </c>
      <c r="Q101" s="29" t="n">
        <v>4568.60649</v>
      </c>
      <c r="R101" s="29" t="n">
        <v>4616.62416</v>
      </c>
      <c r="S101" s="29" t="n">
        <v>4592.44055</v>
      </c>
      <c r="V101" s="29" t="n">
        <v>4535.9613</v>
      </c>
      <c r="AB101" s="29" t="n">
        <v>4548.38375</v>
      </c>
      <c r="AC101" s="29" t="n">
        <v>4547.61082</v>
      </c>
      <c r="AD101" s="29" t="n">
        <v>0</v>
      </c>
    </row>
    <row r="102" ht="14.25" customHeight="1" s="28">
      <c r="A102" s="29" t="n">
        <v>1777502701</v>
      </c>
      <c r="B102" s="29" t="inlineStr">
        <is>
          <t>XAUUSD</t>
        </is>
      </c>
      <c r="C102" s="29" t="inlineStr">
        <is>
          <t>M15</t>
        </is>
      </c>
      <c r="D102" s="29" t="n">
        <v>4552.08</v>
      </c>
      <c r="E102" s="29" t="n">
        <v>4717.79398</v>
      </c>
      <c r="F102" s="29" t="n">
        <v>4695.2428</v>
      </c>
      <c r="G102" s="29" t="n">
        <v>4518.59282</v>
      </c>
      <c r="H102" s="29" t="n">
        <v>4596.05595</v>
      </c>
      <c r="I102" s="29" t="n">
        <v>4755.40355</v>
      </c>
      <c r="J102" s="29" t="n">
        <v>4792.76972</v>
      </c>
      <c r="K102" s="29" t="n">
        <v>4769.97694</v>
      </c>
      <c r="L102" s="29" t="n">
        <v>4716.33597</v>
      </c>
      <c r="M102" s="29" t="n">
        <v>4718.85043</v>
      </c>
      <c r="N102" s="29" t="n">
        <v>4531.36057</v>
      </c>
      <c r="O102" s="29" t="n">
        <v>4556.93783</v>
      </c>
      <c r="Q102" s="29" t="n">
        <v>4568.80894</v>
      </c>
      <c r="R102" s="29" t="n">
        <v>4616.8266</v>
      </c>
      <c r="S102" s="29" t="n">
        <v>4592.64299</v>
      </c>
      <c r="V102" s="29" t="n">
        <v>4536.16375</v>
      </c>
      <c r="AB102" s="29" t="n">
        <v>4549.74619</v>
      </c>
      <c r="AC102" s="29" t="n">
        <v>4548.67851</v>
      </c>
      <c r="AD102" s="29" t="n">
        <v>0</v>
      </c>
    </row>
    <row r="103" ht="14.25" customHeight="1" s="28">
      <c r="A103" s="29" t="n">
        <v>1777503601</v>
      </c>
      <c r="B103" s="29" t="inlineStr">
        <is>
          <t>XAUUSD</t>
        </is>
      </c>
      <c r="C103" s="29" t="inlineStr">
        <is>
          <t>M15</t>
        </is>
      </c>
      <c r="D103" s="29" t="n">
        <v>4553.33</v>
      </c>
      <c r="E103" s="29" t="n">
        <v>4717.79398</v>
      </c>
      <c r="F103" s="29" t="n">
        <v>4695.2428</v>
      </c>
      <c r="G103" s="29" t="n">
        <v>4518.59282</v>
      </c>
      <c r="H103" s="29" t="n">
        <v>4596.05595</v>
      </c>
      <c r="I103" s="29" t="n">
        <v>4755.40355</v>
      </c>
      <c r="J103" s="29" t="n">
        <v>4792.76972</v>
      </c>
      <c r="K103" s="29" t="n">
        <v>4769.97694</v>
      </c>
      <c r="L103" s="29" t="n">
        <v>4716.33597</v>
      </c>
      <c r="M103" s="29" t="n">
        <v>4718.85043</v>
      </c>
      <c r="N103" s="29" t="n">
        <v>4531.36057</v>
      </c>
      <c r="O103" s="29" t="n">
        <v>4556.93783</v>
      </c>
      <c r="Q103" s="29" t="n">
        <v>4569.01139</v>
      </c>
      <c r="R103" s="29" t="n">
        <v>4617.02905</v>
      </c>
      <c r="S103" s="29" t="n">
        <v>4592.84544</v>
      </c>
      <c r="V103" s="29" t="n">
        <v>4536.36619</v>
      </c>
      <c r="AB103" s="29" t="n">
        <v>4551.41538</v>
      </c>
      <c r="AC103" s="29" t="n">
        <v>4550.04694</v>
      </c>
      <c r="AD103" s="29" t="n">
        <v>0</v>
      </c>
    </row>
    <row r="104" ht="14.25" customHeight="1" s="28">
      <c r="A104" s="29" t="n">
        <v>1777504501</v>
      </c>
      <c r="B104" s="29" t="inlineStr">
        <is>
          <t>XAUUSD</t>
        </is>
      </c>
      <c r="C104" s="29" t="inlineStr">
        <is>
          <t>M15</t>
        </is>
      </c>
      <c r="D104" s="29" t="n">
        <v>4551.63</v>
      </c>
      <c r="E104" s="29" t="n">
        <v>4717.79398</v>
      </c>
      <c r="F104" s="29" t="n">
        <v>4695.2428</v>
      </c>
      <c r="G104" s="29" t="n">
        <v>4518.59282</v>
      </c>
      <c r="H104" s="29" t="n">
        <v>4596.05595</v>
      </c>
      <c r="I104" s="29" t="n">
        <v>4755.40355</v>
      </c>
      <c r="J104" s="29" t="n">
        <v>4792.76972</v>
      </c>
      <c r="K104" s="29" t="n">
        <v>4769.97694</v>
      </c>
      <c r="L104" s="29" t="n">
        <v>4716.33597</v>
      </c>
      <c r="M104" s="29" t="n">
        <v>4718.85043</v>
      </c>
      <c r="N104" s="29" t="n">
        <v>4531.36057</v>
      </c>
      <c r="O104" s="29" t="n">
        <v>4556.93783</v>
      </c>
      <c r="Q104" s="29" t="n">
        <v>4569.21383</v>
      </c>
      <c r="R104" s="29" t="n">
        <v>4617.2315</v>
      </c>
      <c r="S104" s="29" t="n">
        <v>4593.04788</v>
      </c>
      <c r="V104" s="29" t="n">
        <v>4536.56864</v>
      </c>
      <c r="AB104" s="29" t="n">
        <v>4553.37157</v>
      </c>
      <c r="AC104" s="29" t="n">
        <v>4551.70926</v>
      </c>
      <c r="AD104" s="29" t="n">
        <v>0</v>
      </c>
    </row>
    <row r="105" ht="14.25" customHeight="1" s="28">
      <c r="A105" s="29" t="n">
        <v>1777505401</v>
      </c>
      <c r="B105" s="29" t="inlineStr">
        <is>
          <t>XAUUSD</t>
        </is>
      </c>
      <c r="C105" s="29" t="inlineStr">
        <is>
          <t>M15</t>
        </is>
      </c>
      <c r="D105" s="29" t="n">
        <v>4554.44</v>
      </c>
      <c r="E105" s="29" t="n">
        <v>4717.79398</v>
      </c>
      <c r="F105" s="29" t="n">
        <v>4695.2428</v>
      </c>
      <c r="G105" s="29" t="n">
        <v>4518.59282</v>
      </c>
      <c r="H105" s="29" t="n">
        <v>4596.05595</v>
      </c>
      <c r="I105" s="29" t="n">
        <v>4755.40355</v>
      </c>
      <c r="J105" s="29" t="n">
        <v>4792.76972</v>
      </c>
      <c r="K105" s="29" t="n">
        <v>4769.97694</v>
      </c>
      <c r="L105" s="29" t="n">
        <v>4716.33597</v>
      </c>
      <c r="M105" s="29" t="n">
        <v>4718.85043</v>
      </c>
      <c r="N105" s="29" t="n">
        <v>4531.36057</v>
      </c>
      <c r="O105" s="29" t="n">
        <v>4556.93783</v>
      </c>
      <c r="Q105" s="29" t="n">
        <v>4569.41628</v>
      </c>
      <c r="R105" s="29" t="n">
        <v>4617.43394</v>
      </c>
      <c r="S105" s="29" t="n">
        <v>4593.25033</v>
      </c>
      <c r="V105" s="29" t="n">
        <v>4536.77109</v>
      </c>
      <c r="AB105" s="29" t="n">
        <v>4555.67977</v>
      </c>
      <c r="AC105" s="29" t="n">
        <v>4553.69451</v>
      </c>
      <c r="AD105" s="29" t="n">
        <v>0</v>
      </c>
    </row>
    <row r="106" ht="14.25" customHeight="1" s="28">
      <c r="A106" s="29" t="n">
        <v>1777506301</v>
      </c>
      <c r="B106" s="29" t="inlineStr">
        <is>
          <t>XAUUSD</t>
        </is>
      </c>
      <c r="C106" s="29" t="inlineStr">
        <is>
          <t>M15</t>
        </is>
      </c>
      <c r="D106" s="29" t="n">
        <v>4561.66</v>
      </c>
      <c r="E106" s="29" t="n">
        <v>4717.79398</v>
      </c>
      <c r="F106" s="29" t="n">
        <v>4695.2428</v>
      </c>
      <c r="G106" s="29" t="n">
        <v>4518.59282</v>
      </c>
      <c r="H106" s="29" t="n">
        <v>4596.05595</v>
      </c>
      <c r="I106" s="29" t="n">
        <v>4755.40355</v>
      </c>
      <c r="J106" s="29" t="n">
        <v>4792.76972</v>
      </c>
      <c r="K106" s="29" t="n">
        <v>4769.97694</v>
      </c>
      <c r="L106" s="29" t="n">
        <v>4716.33597</v>
      </c>
      <c r="M106" s="29" t="n">
        <v>4718.85043</v>
      </c>
      <c r="N106" s="29" t="n">
        <v>4531.36057</v>
      </c>
      <c r="O106" s="29" t="n">
        <v>4556.93783</v>
      </c>
      <c r="Q106" s="29" t="n">
        <v>4569.61872</v>
      </c>
      <c r="R106" s="29" t="n">
        <v>4617.63639</v>
      </c>
      <c r="S106" s="29" t="n">
        <v>4593.45278</v>
      </c>
      <c r="V106" s="29" t="n">
        <v>4536.97353</v>
      </c>
      <c r="AB106" s="29" t="n">
        <v>4558.31079</v>
      </c>
      <c r="AC106" s="29" t="n">
        <v>4556.00265</v>
      </c>
      <c r="AD106" s="29" t="n">
        <v>0</v>
      </c>
    </row>
    <row r="107" ht="14.25" customHeight="1" s="28">
      <c r="A107" s="29" t="n">
        <v>1777507201</v>
      </c>
      <c r="B107" s="29" t="inlineStr">
        <is>
          <t>XAUUSD</t>
        </is>
      </c>
      <c r="C107" s="29" t="inlineStr">
        <is>
          <t>M15</t>
        </is>
      </c>
      <c r="D107" s="29" t="n">
        <v>4557.93</v>
      </c>
      <c r="E107" s="29" t="n">
        <v>4717.79398</v>
      </c>
      <c r="F107" s="29" t="n">
        <v>4695.2428</v>
      </c>
      <c r="G107" s="29" t="n">
        <v>4518.59282</v>
      </c>
      <c r="H107" s="29" t="n">
        <v>4596.05595</v>
      </c>
      <c r="I107" s="29" t="n">
        <v>4755.40355</v>
      </c>
      <c r="J107" s="29" t="n">
        <v>4792.76972</v>
      </c>
      <c r="K107" s="29" t="n">
        <v>4769.97694</v>
      </c>
      <c r="L107" s="29" t="n">
        <v>4716.33597</v>
      </c>
      <c r="M107" s="29" t="n">
        <v>4718.85043</v>
      </c>
      <c r="N107" s="29" t="n">
        <v>4531.36057</v>
      </c>
      <c r="O107" s="29" t="n">
        <v>4556.93783</v>
      </c>
      <c r="Q107" s="29" t="n">
        <v>4569.82117</v>
      </c>
      <c r="R107" s="29" t="n">
        <v>4617.83883</v>
      </c>
      <c r="S107" s="29" t="n">
        <v>4593.65522</v>
      </c>
      <c r="V107" s="29" t="n">
        <v>4537.17598</v>
      </c>
      <c r="AB107" s="29" t="n">
        <v>4561.09762</v>
      </c>
      <c r="AC107" s="29" t="n">
        <v>4558.55014</v>
      </c>
      <c r="AD107" s="29" t="n">
        <v>0</v>
      </c>
    </row>
    <row r="108" ht="14.25" customHeight="1" s="28">
      <c r="A108" s="29" t="n">
        <v>1777508101</v>
      </c>
      <c r="B108" s="29" t="inlineStr">
        <is>
          <t>XAUUSD</t>
        </is>
      </c>
      <c r="C108" s="29" t="inlineStr">
        <is>
          <t>M15</t>
        </is>
      </c>
      <c r="D108" s="29" t="n">
        <v>4563.57</v>
      </c>
      <c r="E108" s="29" t="n">
        <v>4717.79398</v>
      </c>
      <c r="F108" s="29" t="n">
        <v>4695.2428</v>
      </c>
      <c r="G108" s="29" t="n">
        <v>4518.59282</v>
      </c>
      <c r="H108" s="29" t="n">
        <v>4596.05595</v>
      </c>
      <c r="I108" s="29" t="n">
        <v>4755.40355</v>
      </c>
      <c r="J108" s="29" t="n">
        <v>4792.76972</v>
      </c>
      <c r="K108" s="29" t="n">
        <v>4769.97694</v>
      </c>
      <c r="L108" s="29" t="n">
        <v>4716.33597</v>
      </c>
      <c r="M108" s="29" t="n">
        <v>4718.85043</v>
      </c>
      <c r="N108" s="29" t="n">
        <v>4531.36057</v>
      </c>
      <c r="O108" s="29" t="n">
        <v>4556.93783</v>
      </c>
      <c r="Q108" s="29" t="n">
        <v>4570.02361</v>
      </c>
      <c r="R108" s="29" t="n">
        <v>4618.04128</v>
      </c>
      <c r="S108" s="29" t="n">
        <v>4593.85767</v>
      </c>
      <c r="V108" s="29" t="n">
        <v>4537.37842</v>
      </c>
      <c r="AB108" s="29" t="n">
        <v>4564.13434</v>
      </c>
      <c r="AC108" s="29" t="n">
        <v>4561.34224</v>
      </c>
      <c r="AD108" s="29" t="n">
        <v>0</v>
      </c>
    </row>
    <row r="109" ht="14.25" customHeight="1" s="28">
      <c r="A109" s="29" t="n">
        <v>1777509001</v>
      </c>
      <c r="B109" s="29" t="inlineStr">
        <is>
          <t>XAUUSD</t>
        </is>
      </c>
      <c r="C109" s="29" t="inlineStr">
        <is>
          <t>M15</t>
        </is>
      </c>
      <c r="D109" s="29" t="n">
        <v>4567.11</v>
      </c>
      <c r="E109" s="29" t="n">
        <v>4717.79398</v>
      </c>
      <c r="F109" s="29" t="n">
        <v>4695.2428</v>
      </c>
      <c r="G109" s="29" t="n">
        <v>4518.59282</v>
      </c>
      <c r="H109" s="29" t="n">
        <v>4596.05595</v>
      </c>
      <c r="I109" s="29" t="n">
        <v>4755.40355</v>
      </c>
      <c r="J109" s="29" t="n">
        <v>4792.76972</v>
      </c>
      <c r="K109" s="29" t="n">
        <v>4769.97694</v>
      </c>
      <c r="L109" s="29" t="n">
        <v>4716.33597</v>
      </c>
      <c r="M109" s="29" t="n">
        <v>4718.85043</v>
      </c>
      <c r="N109" s="29" t="n">
        <v>4531.36057</v>
      </c>
      <c r="O109" s="29" t="n">
        <v>4556.93783</v>
      </c>
      <c r="Q109" s="29" t="n">
        <v>4570.22606</v>
      </c>
      <c r="R109" s="29" t="n">
        <v>4618.24372</v>
      </c>
      <c r="S109" s="29" t="n">
        <v>4594.06011</v>
      </c>
      <c r="V109" s="29" t="n">
        <v>4537.58087</v>
      </c>
      <c r="AB109" s="29" t="n">
        <v>4567.24095</v>
      </c>
      <c r="AC109" s="29" t="n">
        <v>4564.29159</v>
      </c>
      <c r="AD109" s="29" t="n">
        <v>0</v>
      </c>
    </row>
    <row r="110" ht="14.25" customHeight="1" s="28">
      <c r="A110" s="29" t="n">
        <v>1777509901</v>
      </c>
      <c r="B110" s="29" t="inlineStr">
        <is>
          <t>XAUUSD</t>
        </is>
      </c>
      <c r="C110" s="29" t="inlineStr">
        <is>
          <t>M15</t>
        </is>
      </c>
      <c r="D110" s="29" t="n">
        <v>4569.83</v>
      </c>
      <c r="E110" s="29" t="n">
        <v>4717.79398</v>
      </c>
      <c r="F110" s="29" t="n">
        <v>4695.2428</v>
      </c>
      <c r="G110" s="29" t="n">
        <v>4518.59282</v>
      </c>
      <c r="H110" s="29" t="n">
        <v>4596.05595</v>
      </c>
      <c r="I110" s="29" t="n">
        <v>4755.40355</v>
      </c>
      <c r="J110" s="29" t="n">
        <v>4792.76972</v>
      </c>
      <c r="K110" s="29" t="n">
        <v>4769.97694</v>
      </c>
      <c r="L110" s="29" t="n">
        <v>4716.33597</v>
      </c>
      <c r="M110" s="29" t="n">
        <v>4718.85043</v>
      </c>
      <c r="N110" s="29" t="n">
        <v>4531.36057</v>
      </c>
      <c r="O110" s="29" t="n">
        <v>4556.93783</v>
      </c>
      <c r="Q110" s="29" t="n">
        <v>4570.42851</v>
      </c>
      <c r="R110" s="29" t="n">
        <v>4618.44617</v>
      </c>
      <c r="S110" s="29" t="n">
        <v>4594.26256</v>
      </c>
      <c r="V110" s="29" t="n">
        <v>4537.78331</v>
      </c>
      <c r="AB110" s="29" t="n">
        <v>4570.18189</v>
      </c>
      <c r="AC110" s="29" t="n">
        <v>4567.23674</v>
      </c>
      <c r="AD110" s="29" t="n">
        <v>0</v>
      </c>
    </row>
    <row r="111" ht="14.25" customHeight="1" s="28">
      <c r="A111" s="29" t="n">
        <v>1777510801</v>
      </c>
      <c r="B111" s="29" t="inlineStr">
        <is>
          <t>XAUUSD</t>
        </is>
      </c>
      <c r="C111" s="29" t="inlineStr">
        <is>
          <t>M15</t>
        </is>
      </c>
      <c r="D111" s="29" t="n">
        <v>4568.52</v>
      </c>
      <c r="E111" s="29" t="n">
        <v>4717.79398</v>
      </c>
      <c r="F111" s="29" t="n">
        <v>4695.2428</v>
      </c>
      <c r="G111" s="29" t="n">
        <v>4518.59282</v>
      </c>
      <c r="H111" s="29" t="n">
        <v>4596.05595</v>
      </c>
      <c r="I111" s="29" t="n">
        <v>4755.40355</v>
      </c>
      <c r="J111" s="29" t="n">
        <v>4792.76972</v>
      </c>
      <c r="K111" s="29" t="n">
        <v>4769.97694</v>
      </c>
      <c r="L111" s="29" t="n">
        <v>4716.33597</v>
      </c>
      <c r="M111" s="29" t="n">
        <v>4718.85043</v>
      </c>
      <c r="N111" s="29" t="n">
        <v>4531.36057</v>
      </c>
      <c r="O111" s="29" t="n">
        <v>4556.93783</v>
      </c>
      <c r="Q111" s="29" t="n">
        <v>4570.63095</v>
      </c>
      <c r="R111" s="29" t="n">
        <v>4618.64862</v>
      </c>
      <c r="S111" s="29" t="n">
        <v>4594.465</v>
      </c>
      <c r="V111" s="29" t="n">
        <v>4537.98576</v>
      </c>
      <c r="AB111" s="29" t="n">
        <v>4572.76695</v>
      </c>
      <c r="AC111" s="29" t="n">
        <v>4570.00184</v>
      </c>
      <c r="AD111" s="29" t="n">
        <v>0</v>
      </c>
    </row>
    <row r="112" ht="14.25" customHeight="1" s="28">
      <c r="A112" s="29" t="n">
        <v>1777511701</v>
      </c>
      <c r="B112" s="29" t="inlineStr">
        <is>
          <t>XAUUSD</t>
        </is>
      </c>
      <c r="C112" s="29" t="inlineStr">
        <is>
          <t>M15</t>
        </is>
      </c>
      <c r="D112" s="29" t="n">
        <v>4579.79</v>
      </c>
      <c r="E112" s="29" t="n">
        <v>4717.79398</v>
      </c>
      <c r="F112" s="29" t="n">
        <v>4695.2428</v>
      </c>
      <c r="G112" s="29" t="n">
        <v>4518.59282</v>
      </c>
      <c r="H112" s="29" t="n">
        <v>4596.05595</v>
      </c>
      <c r="I112" s="29" t="n">
        <v>4755.40355</v>
      </c>
      <c r="J112" s="29" t="n">
        <v>4792.76972</v>
      </c>
      <c r="K112" s="29" t="n">
        <v>4769.97694</v>
      </c>
      <c r="L112" s="29" t="n">
        <v>4716.33597</v>
      </c>
      <c r="M112" s="29" t="n">
        <v>4718.85043</v>
      </c>
      <c r="N112" s="29" t="n">
        <v>4531.36057</v>
      </c>
      <c r="O112" s="29" t="n">
        <v>4556.93783</v>
      </c>
      <c r="Q112" s="29" t="n">
        <v>4570.8334</v>
      </c>
      <c r="R112" s="29" t="n">
        <v>4618.85106</v>
      </c>
      <c r="S112" s="29" t="n">
        <v>4594.66745</v>
      </c>
      <c r="V112" s="29" t="n">
        <v>4538.18821</v>
      </c>
      <c r="AB112" s="29" t="n">
        <v>4574.9109</v>
      </c>
      <c r="AC112" s="29" t="n">
        <v>4572.45637</v>
      </c>
      <c r="AD112" s="29" t="n">
        <v>0</v>
      </c>
    </row>
    <row r="113" ht="14.25" customHeight="1" s="28">
      <c r="A113" s="29" t="n">
        <v>1777512601</v>
      </c>
      <c r="B113" s="29" t="inlineStr">
        <is>
          <t>XAUUSD</t>
        </is>
      </c>
      <c r="C113" s="29" t="inlineStr">
        <is>
          <t>M15</t>
        </is>
      </c>
      <c r="D113" s="29" t="n">
        <v>4576.31</v>
      </c>
      <c r="E113" s="29" t="n">
        <v>4717.79398</v>
      </c>
      <c r="F113" s="29" t="n">
        <v>4695.2428</v>
      </c>
      <c r="G113" s="29" t="n">
        <v>4518.59282</v>
      </c>
      <c r="H113" s="29" t="n">
        <v>4596.05595</v>
      </c>
      <c r="I113" s="29" t="n">
        <v>4755.40355</v>
      </c>
      <c r="J113" s="29" t="n">
        <v>4792.76972</v>
      </c>
      <c r="K113" s="29" t="n">
        <v>4769.97694</v>
      </c>
      <c r="L113" s="29" t="n">
        <v>4716.33597</v>
      </c>
      <c r="M113" s="29" t="n">
        <v>4718.85043</v>
      </c>
      <c r="N113" s="29" t="n">
        <v>4531.36057</v>
      </c>
      <c r="O113" s="29" t="n">
        <v>4556.93783</v>
      </c>
      <c r="Q113" s="29" t="n">
        <v>4571.03584</v>
      </c>
      <c r="R113" s="29" t="n">
        <v>4619.05351</v>
      </c>
      <c r="S113" s="29" t="n">
        <v>4594.8699</v>
      </c>
      <c r="V113" s="29" t="n">
        <v>4538.39065</v>
      </c>
      <c r="AB113" s="29" t="n">
        <v>4576.15334</v>
      </c>
      <c r="AC113" s="29" t="n">
        <v>4574.30486</v>
      </c>
      <c r="AD113" s="29" t="n">
        <v>0</v>
      </c>
    </row>
    <row r="114" ht="14.25" customHeight="1" s="28">
      <c r="A114" s="29" t="n">
        <v>1777513501</v>
      </c>
      <c r="B114" s="29" t="inlineStr">
        <is>
          <t>XAUUSD</t>
        </is>
      </c>
      <c r="C114" s="29" t="inlineStr">
        <is>
          <t>M15</t>
        </is>
      </c>
      <c r="D114" s="29" t="n">
        <v>4579.13</v>
      </c>
      <c r="E114" s="29" t="n">
        <v>4717.79398</v>
      </c>
      <c r="F114" s="29" t="n">
        <v>4695.2428</v>
      </c>
      <c r="G114" s="29" t="n">
        <v>4518.59282</v>
      </c>
      <c r="H114" s="29" t="n">
        <v>4596.05595</v>
      </c>
      <c r="I114" s="29" t="n">
        <v>4755.40355</v>
      </c>
      <c r="J114" s="29" t="n">
        <v>4792.76972</v>
      </c>
      <c r="K114" s="29" t="n">
        <v>4769.97694</v>
      </c>
      <c r="L114" s="29" t="n">
        <v>4716.33597</v>
      </c>
      <c r="M114" s="29" t="n">
        <v>4718.85043</v>
      </c>
      <c r="N114" s="29" t="n">
        <v>4531.36057</v>
      </c>
      <c r="O114" s="29" t="n">
        <v>4556.93783</v>
      </c>
      <c r="Q114" s="29" t="n">
        <v>4571.23829</v>
      </c>
      <c r="R114" s="29" t="n">
        <v>4619.25595</v>
      </c>
      <c r="S114" s="29" t="n">
        <v>4595.07234</v>
      </c>
      <c r="V114" s="29" t="n">
        <v>4538.5931</v>
      </c>
      <c r="Z114" s="29" t="n">
        <v>4582.32</v>
      </c>
      <c r="AB114" s="29" t="n">
        <v>4576.44131</v>
      </c>
      <c r="AC114" s="29" t="n">
        <v>4575.37308</v>
      </c>
      <c r="AD114" s="29" t="n">
        <v>0</v>
      </c>
    </row>
    <row r="115" ht="14.25" customHeight="1" s="28">
      <c r="A115" s="29" t="n">
        <v>1777514401</v>
      </c>
      <c r="B115" s="29" t="inlineStr">
        <is>
          <t>XAUUSD</t>
        </is>
      </c>
      <c r="C115" s="29" t="inlineStr">
        <is>
          <t>M15</t>
        </is>
      </c>
      <c r="D115" s="29" t="n">
        <v>4579.74</v>
      </c>
      <c r="E115" s="29" t="n">
        <v>4717.79398</v>
      </c>
      <c r="F115" s="29" t="n">
        <v>4695.2428</v>
      </c>
      <c r="G115" s="29" t="n">
        <v>4518.59282</v>
      </c>
      <c r="H115" s="29" t="n">
        <v>4596.05595</v>
      </c>
      <c r="I115" s="29" t="n">
        <v>4755.40355</v>
      </c>
      <c r="J115" s="29" t="n">
        <v>4792.76972</v>
      </c>
      <c r="K115" s="29" t="n">
        <v>4769.97694</v>
      </c>
      <c r="L115" s="29" t="n">
        <v>4716.33597</v>
      </c>
      <c r="M115" s="29" t="n">
        <v>4718.85043</v>
      </c>
      <c r="N115" s="29" t="n">
        <v>4531.36057</v>
      </c>
      <c r="O115" s="29" t="n">
        <v>4556.93783</v>
      </c>
      <c r="Q115" s="29" t="n">
        <v>4571.44073</v>
      </c>
      <c r="R115" s="29" t="n">
        <v>4619.4584</v>
      </c>
      <c r="S115" s="29" t="n">
        <v>4595.27479</v>
      </c>
      <c r="V115" s="29" t="n">
        <v>4538.79554</v>
      </c>
      <c r="AB115" s="29" t="n">
        <v>4575.62065</v>
      </c>
      <c r="AC115" s="29" t="n">
        <v>4575.49687</v>
      </c>
      <c r="AD115" s="29" t="n">
        <v>0</v>
      </c>
    </row>
    <row r="116" ht="14.25" customHeight="1" s="28">
      <c r="A116" s="29" t="n">
        <v>1777515301</v>
      </c>
      <c r="B116" s="29" t="inlineStr">
        <is>
          <t>XAUUSD</t>
        </is>
      </c>
      <c r="C116" s="29" t="inlineStr">
        <is>
          <t>M15</t>
        </is>
      </c>
      <c r="D116" s="29" t="n">
        <v>4573.13</v>
      </c>
      <c r="E116" s="29" t="n">
        <v>4717.79398</v>
      </c>
      <c r="F116" s="29" t="n">
        <v>4695.2428</v>
      </c>
      <c r="G116" s="29" t="n">
        <v>4518.59282</v>
      </c>
      <c r="H116" s="29" t="n">
        <v>4596.05595</v>
      </c>
      <c r="I116" s="29" t="n">
        <v>4755.40355</v>
      </c>
      <c r="J116" s="29" t="n">
        <v>4792.76972</v>
      </c>
      <c r="K116" s="29" t="n">
        <v>4769.97694</v>
      </c>
      <c r="L116" s="29" t="n">
        <v>4716.33597</v>
      </c>
      <c r="M116" s="29" t="n">
        <v>4718.85043</v>
      </c>
      <c r="N116" s="29" t="n">
        <v>4531.36057</v>
      </c>
      <c r="O116" s="29" t="n">
        <v>4556.93783</v>
      </c>
      <c r="Q116" s="29" t="n">
        <v>4571.64318</v>
      </c>
      <c r="R116" s="29" t="n">
        <v>4619.66084</v>
      </c>
      <c r="S116" s="29" t="n">
        <v>4595.47723</v>
      </c>
      <c r="V116" s="29" t="n">
        <v>4538.99799</v>
      </c>
      <c r="AB116" s="29" t="n">
        <v>4573.70372</v>
      </c>
      <c r="AC116" s="29" t="n">
        <v>4574.60029</v>
      </c>
      <c r="AD116" s="29" t="n">
        <v>1</v>
      </c>
    </row>
    <row r="117" ht="14.25" customHeight="1" s="28">
      <c r="A117" s="29" t="n">
        <v>1777516201</v>
      </c>
      <c r="B117" s="29" t="inlineStr">
        <is>
          <t>XAUUSD</t>
        </is>
      </c>
      <c r="C117" s="29" t="inlineStr">
        <is>
          <t>M15</t>
        </is>
      </c>
      <c r="D117" s="29" t="n">
        <v>4562.53</v>
      </c>
      <c r="E117" s="29" t="n">
        <v>4717.79398</v>
      </c>
      <c r="F117" s="29" t="n">
        <v>4695.2428</v>
      </c>
      <c r="G117" s="29" t="n">
        <v>4518.59282</v>
      </c>
      <c r="H117" s="29" t="n">
        <v>4596.05595</v>
      </c>
      <c r="I117" s="29" t="n">
        <v>4755.40355</v>
      </c>
      <c r="J117" s="29" t="n">
        <v>4792.76972</v>
      </c>
      <c r="K117" s="29" t="n">
        <v>4769.97694</v>
      </c>
      <c r="L117" s="29" t="n">
        <v>4716.33597</v>
      </c>
      <c r="M117" s="29" t="n">
        <v>4718.85043</v>
      </c>
      <c r="N117" s="29" t="n">
        <v>4531.36057</v>
      </c>
      <c r="O117" s="29" t="n">
        <v>4556.93783</v>
      </c>
      <c r="Q117" s="29" t="n">
        <v>4571.84563</v>
      </c>
      <c r="R117" s="29" t="n">
        <v>4619.86329</v>
      </c>
      <c r="S117" s="29" t="n">
        <v>4595.67968</v>
      </c>
      <c r="V117" s="29" t="n">
        <v>4539.20043</v>
      </c>
      <c r="AB117" s="29" t="n">
        <v>4570.96608</v>
      </c>
      <c r="AC117" s="29" t="n">
        <v>4572.78319</v>
      </c>
      <c r="AD117" s="29" t="n">
        <v>0</v>
      </c>
    </row>
    <row r="118" ht="14.25" customHeight="1" s="28">
      <c r="A118" s="29" t="n">
        <v>1777517101</v>
      </c>
      <c r="B118" s="29" t="inlineStr">
        <is>
          <t>XAUUSD</t>
        </is>
      </c>
      <c r="C118" s="29" t="inlineStr">
        <is>
          <t>M15</t>
        </is>
      </c>
      <c r="D118" s="29" t="n">
        <v>4565.02</v>
      </c>
      <c r="E118" s="29" t="n">
        <v>4717.79398</v>
      </c>
      <c r="F118" s="29" t="n">
        <v>4695.2428</v>
      </c>
      <c r="G118" s="29" t="n">
        <v>4518.59282</v>
      </c>
      <c r="H118" s="29" t="n">
        <v>4596.05595</v>
      </c>
      <c r="I118" s="29" t="n">
        <v>4755.40355</v>
      </c>
      <c r="J118" s="29" t="n">
        <v>4792.76972</v>
      </c>
      <c r="K118" s="29" t="n">
        <v>4769.97694</v>
      </c>
      <c r="L118" s="29" t="n">
        <v>4716.33597</v>
      </c>
      <c r="M118" s="29" t="n">
        <v>4718.85043</v>
      </c>
      <c r="N118" s="29" t="n">
        <v>4531.36057</v>
      </c>
      <c r="O118" s="29" t="n">
        <v>4556.93783</v>
      </c>
      <c r="Q118" s="29" t="n">
        <v>4572.04807</v>
      </c>
      <c r="R118" s="29" t="n">
        <v>4620.06574</v>
      </c>
      <c r="S118" s="29" t="n">
        <v>4595.88212</v>
      </c>
      <c r="V118" s="29" t="n">
        <v>4539.40288</v>
      </c>
      <c r="AB118" s="29" t="n">
        <v>4567.88808</v>
      </c>
      <c r="AC118" s="29" t="n">
        <v>4570.33563</v>
      </c>
      <c r="AD118" s="29" t="n">
        <v>0</v>
      </c>
    </row>
    <row r="119" ht="14.25" customHeight="1" s="28">
      <c r="A119" s="29" t="n">
        <v>1777518001</v>
      </c>
      <c r="B119" s="29" t="inlineStr">
        <is>
          <t>XAUUSD</t>
        </is>
      </c>
      <c r="C119" s="29" t="inlineStr">
        <is>
          <t>M15</t>
        </is>
      </c>
      <c r="D119" s="29" t="n">
        <v>4564.98</v>
      </c>
      <c r="E119" s="29" t="n">
        <v>4717.79398</v>
      </c>
      <c r="F119" s="29" t="n">
        <v>4695.2428</v>
      </c>
      <c r="G119" s="29" t="n">
        <v>4518.59282</v>
      </c>
      <c r="H119" s="29" t="n">
        <v>4596.05595</v>
      </c>
      <c r="I119" s="29" t="n">
        <v>4755.40355</v>
      </c>
      <c r="J119" s="29" t="n">
        <v>4792.76972</v>
      </c>
      <c r="K119" s="29" t="n">
        <v>4769.97694</v>
      </c>
      <c r="L119" s="29" t="n">
        <v>4716.33597</v>
      </c>
      <c r="M119" s="29" t="n">
        <v>4718.85043</v>
      </c>
      <c r="N119" s="29" t="n">
        <v>4531.36057</v>
      </c>
      <c r="O119" s="29" t="n">
        <v>4556.93783</v>
      </c>
      <c r="Q119" s="29" t="n">
        <v>4572.25052</v>
      </c>
      <c r="R119" s="29" t="n">
        <v>4620.26818</v>
      </c>
      <c r="S119" s="29" t="n">
        <v>4596.08457</v>
      </c>
      <c r="V119" s="29" t="n">
        <v>4539.60533</v>
      </c>
      <c r="AB119" s="29" t="n">
        <v>4564.51586</v>
      </c>
      <c r="AC119" s="29" t="n">
        <v>4567.42575</v>
      </c>
      <c r="AD119" s="29" t="n">
        <v>0</v>
      </c>
    </row>
    <row r="120" ht="14.25" customHeight="1" s="28">
      <c r="A120" s="29" t="n">
        <v>1777518901</v>
      </c>
      <c r="B120" s="29" t="inlineStr">
        <is>
          <t>XAUUSD</t>
        </is>
      </c>
      <c r="C120" s="29" t="inlineStr">
        <is>
          <t>M15</t>
        </is>
      </c>
      <c r="D120" s="29" t="n">
        <v>4563.32</v>
      </c>
      <c r="E120" s="29" t="n">
        <v>4717.79398</v>
      </c>
      <c r="F120" s="29" t="n">
        <v>4695.2428</v>
      </c>
      <c r="G120" s="29" t="n">
        <v>4518.59282</v>
      </c>
      <c r="H120" s="29" t="n">
        <v>4596.05595</v>
      </c>
      <c r="I120" s="29" t="n">
        <v>4755.40355</v>
      </c>
      <c r="J120" s="29" t="n">
        <v>4792.76972</v>
      </c>
      <c r="K120" s="29" t="n">
        <v>4769.97694</v>
      </c>
      <c r="L120" s="29" t="n">
        <v>4716.33597</v>
      </c>
      <c r="M120" s="29" t="n">
        <v>4718.85043</v>
      </c>
      <c r="N120" s="29" t="n">
        <v>4531.36057</v>
      </c>
      <c r="O120" s="29" t="n">
        <v>4556.93783</v>
      </c>
      <c r="Q120" s="29" t="n">
        <v>4572.45296</v>
      </c>
      <c r="R120" s="29" t="n">
        <v>4620.47063</v>
      </c>
      <c r="S120" s="29" t="n">
        <v>4596.28702</v>
      </c>
      <c r="V120" s="29" t="n">
        <v>4539.80777</v>
      </c>
      <c r="AB120" s="29" t="n">
        <v>4561.02691</v>
      </c>
      <c r="AC120" s="29" t="n">
        <v>4564.22633</v>
      </c>
      <c r="AD120" s="29" t="n">
        <v>0</v>
      </c>
    </row>
    <row r="121" ht="14.25" customHeight="1" s="28">
      <c r="A121" s="29" t="n">
        <v>1777519801</v>
      </c>
      <c r="B121" s="29" t="inlineStr">
        <is>
          <t>XAUUSD</t>
        </is>
      </c>
      <c r="C121" s="29" t="inlineStr">
        <is>
          <t>M15</t>
        </is>
      </c>
      <c r="D121" s="29" t="n">
        <v>4561.66</v>
      </c>
      <c r="E121" s="29" t="n">
        <v>4717.79398</v>
      </c>
      <c r="F121" s="29" t="n">
        <v>4695.2428</v>
      </c>
      <c r="G121" s="29" t="n">
        <v>4518.59282</v>
      </c>
      <c r="H121" s="29" t="n">
        <v>4596.05595</v>
      </c>
      <c r="I121" s="29" t="n">
        <v>4755.40355</v>
      </c>
      <c r="J121" s="29" t="n">
        <v>4792.76972</v>
      </c>
      <c r="K121" s="29" t="n">
        <v>4769.97694</v>
      </c>
      <c r="L121" s="29" t="n">
        <v>4716.33597</v>
      </c>
      <c r="M121" s="29" t="n">
        <v>4718.85043</v>
      </c>
      <c r="N121" s="29" t="n">
        <v>4531.36057</v>
      </c>
      <c r="O121" s="29" t="n">
        <v>4556.93783</v>
      </c>
      <c r="Q121" s="29" t="n">
        <v>4572.65541</v>
      </c>
      <c r="R121" s="29" t="n">
        <v>4620.67307</v>
      </c>
      <c r="S121" s="29" t="n">
        <v>4596.48946</v>
      </c>
      <c r="V121" s="29" t="n">
        <v>4540.01022</v>
      </c>
      <c r="AB121" s="29" t="n">
        <v>4557.5727</v>
      </c>
      <c r="AC121" s="29" t="n">
        <v>4560.89951</v>
      </c>
      <c r="AD121" s="29" t="n">
        <v>0</v>
      </c>
    </row>
    <row r="122" ht="14.25" customHeight="1" s="28">
      <c r="A122" s="29" t="n">
        <v>1777520701</v>
      </c>
      <c r="B122" s="29" t="inlineStr">
        <is>
          <t>XAUUSD</t>
        </is>
      </c>
      <c r="C122" s="29" t="inlineStr">
        <is>
          <t>M15</t>
        </is>
      </c>
      <c r="D122" s="29" t="n">
        <v>4556.09</v>
      </c>
      <c r="E122" s="29" t="n">
        <v>4717.79398</v>
      </c>
      <c r="F122" s="29" t="n">
        <v>4695.2428</v>
      </c>
      <c r="G122" s="29" t="n">
        <v>4518.59282</v>
      </c>
      <c r="H122" s="29" t="n">
        <v>4596.05595</v>
      </c>
      <c r="I122" s="29" t="n">
        <v>4755.40355</v>
      </c>
      <c r="J122" s="29" t="n">
        <v>4792.76972</v>
      </c>
      <c r="K122" s="29" t="n">
        <v>4769.97694</v>
      </c>
      <c r="L122" s="29" t="n">
        <v>4716.33597</v>
      </c>
      <c r="M122" s="29" t="n">
        <v>4718.85043</v>
      </c>
      <c r="N122" s="29" t="n">
        <v>4531.36057</v>
      </c>
      <c r="O122" s="29" t="n">
        <v>4556.93783</v>
      </c>
      <c r="Q122" s="29" t="n">
        <v>4572.85785</v>
      </c>
      <c r="R122" s="29" t="n">
        <v>4620.87552</v>
      </c>
      <c r="S122" s="29" t="n">
        <v>4596.69191</v>
      </c>
      <c r="V122" s="29" t="n">
        <v>4540.21266</v>
      </c>
      <c r="AB122" s="29" t="n">
        <v>4554.33844</v>
      </c>
      <c r="AC122" s="29" t="n">
        <v>4557.61898</v>
      </c>
      <c r="AD122" s="29" t="n">
        <v>0</v>
      </c>
    </row>
    <row r="123" ht="14.25" customHeight="1" s="28">
      <c r="A123" s="29" t="n">
        <v>1777521601</v>
      </c>
      <c r="B123" s="29" t="inlineStr">
        <is>
          <t>XAUUSD</t>
        </is>
      </c>
      <c r="C123" s="29" t="inlineStr">
        <is>
          <t>M15</t>
        </is>
      </c>
      <c r="D123" s="29" t="n">
        <v>4555.41</v>
      </c>
      <c r="E123" s="29" t="n">
        <v>4717.79398</v>
      </c>
      <c r="F123" s="29" t="n">
        <v>4695.2428</v>
      </c>
      <c r="G123" s="29" t="n">
        <v>4518.59282</v>
      </c>
      <c r="H123" s="29" t="n">
        <v>4596.05595</v>
      </c>
      <c r="I123" s="29" t="n">
        <v>4755.40355</v>
      </c>
      <c r="J123" s="29" t="n">
        <v>4792.76972</v>
      </c>
      <c r="K123" s="29" t="n">
        <v>4769.97694</v>
      </c>
      <c r="L123" s="29" t="n">
        <v>4716.33597</v>
      </c>
      <c r="M123" s="29" t="n">
        <v>4718.85043</v>
      </c>
      <c r="N123" s="29" t="n">
        <v>4531.36057</v>
      </c>
      <c r="O123" s="29" t="n">
        <v>4556.93783</v>
      </c>
      <c r="Q123" s="29" t="n">
        <v>4573.0603</v>
      </c>
      <c r="R123" s="29" t="n">
        <v>4621.07796</v>
      </c>
      <c r="S123" s="29" t="n">
        <v>4596.89435</v>
      </c>
      <c r="V123" s="29" t="n">
        <v>4540.41511</v>
      </c>
      <c r="AB123" s="29" t="n">
        <v>4551.65328</v>
      </c>
      <c r="AC123" s="29" t="n">
        <v>4554.63613</v>
      </c>
      <c r="AD123" s="29" t="n">
        <v>0</v>
      </c>
    </row>
    <row r="124" ht="14.25" customHeight="1" s="28">
      <c r="A124" s="29" t="n">
        <v>1777522501</v>
      </c>
      <c r="B124" s="29" t="inlineStr">
        <is>
          <t>XAUUSD</t>
        </is>
      </c>
      <c r="C124" s="29" t="inlineStr">
        <is>
          <t>M15</t>
        </is>
      </c>
      <c r="D124" s="29" t="n">
        <v>4547.28</v>
      </c>
      <c r="E124" s="29" t="n">
        <v>4717.79398</v>
      </c>
      <c r="F124" s="29" t="n">
        <v>4695.2428</v>
      </c>
      <c r="G124" s="29" t="n">
        <v>4518.59282</v>
      </c>
      <c r="H124" s="29" t="n">
        <v>4596.05595</v>
      </c>
      <c r="I124" s="29" t="n">
        <v>4755.40355</v>
      </c>
      <c r="J124" s="29" t="n">
        <v>4792.76972</v>
      </c>
      <c r="K124" s="29" t="n">
        <v>4769.97694</v>
      </c>
      <c r="L124" s="29" t="n">
        <v>4716.33597</v>
      </c>
      <c r="M124" s="29" t="n">
        <v>4718.85043</v>
      </c>
      <c r="N124" s="29" t="n">
        <v>4531.36057</v>
      </c>
      <c r="O124" s="29" t="n">
        <v>4556.93783</v>
      </c>
      <c r="Q124" s="29" t="n">
        <v>4573.26275</v>
      </c>
      <c r="R124" s="29" t="n">
        <v>4621.28041</v>
      </c>
      <c r="S124" s="29" t="n">
        <v>4597.0968</v>
      </c>
      <c r="V124" s="29" t="n">
        <v>4540.61755</v>
      </c>
      <c r="AB124" s="29" t="n">
        <v>4549.72842</v>
      </c>
      <c r="AC124" s="29" t="n">
        <v>4552.18228</v>
      </c>
      <c r="AD124" s="29" t="n">
        <v>0</v>
      </c>
    </row>
    <row r="125" ht="14.25" customHeight="1" s="28">
      <c r="A125" s="29" t="n">
        <v>1777523401</v>
      </c>
      <c r="B125" s="29" t="inlineStr">
        <is>
          <t>XAUUSD</t>
        </is>
      </c>
      <c r="C125" s="29" t="inlineStr">
        <is>
          <t>M15</t>
        </is>
      </c>
      <c r="D125" s="29" t="n">
        <v>4544.74</v>
      </c>
      <c r="E125" s="29" t="n">
        <v>4717.79398</v>
      </c>
      <c r="F125" s="29" t="n">
        <v>4695.2428</v>
      </c>
      <c r="G125" s="29" t="n">
        <v>4518.59282</v>
      </c>
      <c r="H125" s="29" t="n">
        <v>4596.05595</v>
      </c>
      <c r="I125" s="29" t="n">
        <v>4755.40355</v>
      </c>
      <c r="J125" s="29" t="n">
        <v>4792.76972</v>
      </c>
      <c r="K125" s="29" t="n">
        <v>4769.97694</v>
      </c>
      <c r="L125" s="29" t="n">
        <v>4716.33597</v>
      </c>
      <c r="M125" s="29" t="n">
        <v>4718.85043</v>
      </c>
      <c r="N125" s="29" t="n">
        <v>4531.36057</v>
      </c>
      <c r="O125" s="29" t="n">
        <v>4556.93783</v>
      </c>
      <c r="Q125" s="29" t="n">
        <v>4573.46519</v>
      </c>
      <c r="R125" s="29" t="n">
        <v>4621.48286</v>
      </c>
      <c r="S125" s="29" t="n">
        <v>4597.29924</v>
      </c>
      <c r="V125" s="29" t="n">
        <v>4540.82</v>
      </c>
      <c r="AA125" s="29" t="n">
        <v>4540.82</v>
      </c>
      <c r="AB125" s="29" t="n">
        <v>4548.92114</v>
      </c>
      <c r="AC125" s="29" t="n">
        <v>4550.55171</v>
      </c>
      <c r="AD125" s="29" t="n">
        <v>0</v>
      </c>
    </row>
    <row r="126" ht="14.25" customHeight="1" s="28">
      <c r="A126" s="29" t="n">
        <v>1777524301</v>
      </c>
      <c r="B126" s="29" t="inlineStr">
        <is>
          <t>XAUUSD</t>
        </is>
      </c>
      <c r="C126" s="29" t="inlineStr">
        <is>
          <t>M15</t>
        </is>
      </c>
      <c r="D126" s="29" t="n">
        <v>4541.91</v>
      </c>
      <c r="E126" s="29" t="n">
        <v>4717.79398</v>
      </c>
      <c r="F126" s="29" t="n">
        <v>4695.2428</v>
      </c>
      <c r="G126" s="29" t="n">
        <v>4518.59282</v>
      </c>
      <c r="H126" s="29" t="n">
        <v>4596.05595</v>
      </c>
      <c r="I126" s="29" t="n">
        <v>4755.40355</v>
      </c>
      <c r="J126" s="29" t="n">
        <v>4792.76972</v>
      </c>
      <c r="K126" s="29" t="n">
        <v>4769.97694</v>
      </c>
      <c r="L126" s="29" t="n">
        <v>4716.33597</v>
      </c>
      <c r="M126" s="29" t="n">
        <v>4718.85043</v>
      </c>
      <c r="N126" s="29" t="n">
        <v>4531.36057</v>
      </c>
      <c r="O126" s="29" t="n">
        <v>4556.93783</v>
      </c>
      <c r="Q126" s="29" t="n">
        <v>4573.66764</v>
      </c>
      <c r="R126" s="29" t="n">
        <v>4621.6853</v>
      </c>
      <c r="S126" s="29" t="n">
        <v>4597.50169</v>
      </c>
      <c r="V126" s="29" t="n">
        <v>4541.02245</v>
      </c>
      <c r="AB126" s="29" t="n">
        <v>4549.3872</v>
      </c>
      <c r="AC126" s="29" t="n">
        <v>4549.96945</v>
      </c>
      <c r="AD126" s="29" t="n">
        <v>0</v>
      </c>
    </row>
    <row r="127" ht="14.25" customHeight="1" s="28">
      <c r="A127" s="29" t="n">
        <v>1777525201</v>
      </c>
      <c r="B127" s="29" t="inlineStr">
        <is>
          <t>XAUUSD</t>
        </is>
      </c>
      <c r="C127" s="29" t="inlineStr">
        <is>
          <t>M15</t>
        </is>
      </c>
      <c r="D127" s="29" t="n">
        <v>4553.22</v>
      </c>
      <c r="E127" s="29" t="n">
        <v>4717.79398</v>
      </c>
      <c r="F127" s="29" t="n">
        <v>4695.2428</v>
      </c>
      <c r="G127" s="29" t="n">
        <v>4518.59282</v>
      </c>
      <c r="H127" s="29" t="n">
        <v>4596.05595</v>
      </c>
      <c r="I127" s="29" t="n">
        <v>4755.40355</v>
      </c>
      <c r="J127" s="29" t="n">
        <v>4792.76972</v>
      </c>
      <c r="K127" s="29" t="n">
        <v>4769.97694</v>
      </c>
      <c r="L127" s="29" t="n">
        <v>4716.33597</v>
      </c>
      <c r="M127" s="29" t="n">
        <v>4718.85043</v>
      </c>
      <c r="N127" s="29" t="n">
        <v>4531.36057</v>
      </c>
      <c r="O127" s="29" t="n">
        <v>4556.93783</v>
      </c>
      <c r="Q127" s="29" t="n">
        <v>4573.87008</v>
      </c>
      <c r="R127" s="29" t="n">
        <v>4621.88775</v>
      </c>
      <c r="S127" s="29" t="n">
        <v>4597.70414</v>
      </c>
      <c r="V127" s="29" t="n">
        <v>4541.22489</v>
      </c>
      <c r="AB127" s="29" t="n">
        <v>4551.23411</v>
      </c>
      <c r="AC127" s="29" t="n">
        <v>4550.60178</v>
      </c>
      <c r="AD127" s="29" t="n">
        <v>1</v>
      </c>
    </row>
    <row r="128" ht="14.25" customHeight="1" s="28">
      <c r="A128" s="29" t="n">
        <v>1777526101</v>
      </c>
      <c r="B128" s="29" t="inlineStr">
        <is>
          <t>XAUUSD</t>
        </is>
      </c>
      <c r="C128" s="29" t="inlineStr">
        <is>
          <t>M15</t>
        </is>
      </c>
      <c r="D128" s="29" t="n">
        <v>4555.73</v>
      </c>
      <c r="E128" s="29" t="n">
        <v>4717.79398</v>
      </c>
      <c r="F128" s="29" t="n">
        <v>4695.2428</v>
      </c>
      <c r="G128" s="29" t="n">
        <v>4518.59282</v>
      </c>
      <c r="H128" s="29" t="n">
        <v>4596.05595</v>
      </c>
      <c r="I128" s="29" t="n">
        <v>4755.40355</v>
      </c>
      <c r="J128" s="29" t="n">
        <v>4792.76972</v>
      </c>
      <c r="K128" s="29" t="n">
        <v>4769.97694</v>
      </c>
      <c r="L128" s="29" t="n">
        <v>4716.33597</v>
      </c>
      <c r="M128" s="29" t="n">
        <v>4718.85043</v>
      </c>
      <c r="N128" s="29" t="n">
        <v>4531.36057</v>
      </c>
      <c r="O128" s="29" t="n">
        <v>4556.93783</v>
      </c>
      <c r="Q128" s="29" t="n">
        <v>4574.07253</v>
      </c>
      <c r="R128" s="29" t="n">
        <v>4622.09019</v>
      </c>
      <c r="S128" s="29" t="n">
        <v>4597.90658</v>
      </c>
      <c r="V128" s="29" t="n">
        <v>4541.42734</v>
      </c>
      <c r="AB128" s="29" t="n">
        <v>4554.10302</v>
      </c>
      <c r="AC128" s="29" t="n">
        <v>4552.3524</v>
      </c>
      <c r="AD128" s="29" t="n">
        <v>0</v>
      </c>
    </row>
    <row r="129" ht="14.25" customHeight="1" s="28">
      <c r="A129" s="29" t="n">
        <v>1777527001</v>
      </c>
      <c r="B129" s="29" t="inlineStr">
        <is>
          <t>XAUUSD</t>
        </is>
      </c>
      <c r="C129" s="29" t="inlineStr">
        <is>
          <t>M15</t>
        </is>
      </c>
      <c r="D129" s="29" t="n">
        <v>4564.04</v>
      </c>
      <c r="E129" s="29" t="n">
        <v>4717.79398</v>
      </c>
      <c r="F129" s="29" t="n">
        <v>4695.2428</v>
      </c>
      <c r="G129" s="29" t="n">
        <v>4518.59282</v>
      </c>
      <c r="H129" s="29" t="n">
        <v>4596.05595</v>
      </c>
      <c r="I129" s="29" t="n">
        <v>4755.40355</v>
      </c>
      <c r="J129" s="29" t="n">
        <v>4792.76972</v>
      </c>
      <c r="K129" s="29" t="n">
        <v>4769.97694</v>
      </c>
      <c r="L129" s="29" t="n">
        <v>4716.33597</v>
      </c>
      <c r="M129" s="29" t="n">
        <v>4718.85043</v>
      </c>
      <c r="N129" s="29" t="n">
        <v>4531.36057</v>
      </c>
      <c r="O129" s="29" t="n">
        <v>4556.93783</v>
      </c>
      <c r="Q129" s="29" t="n">
        <v>4574.27497</v>
      </c>
      <c r="R129" s="29" t="n">
        <v>4622.29264</v>
      </c>
      <c r="S129" s="29" t="n">
        <v>4598.10903</v>
      </c>
      <c r="V129" s="29" t="n">
        <v>4541.62978</v>
      </c>
      <c r="AB129" s="29" t="n">
        <v>4557.82199</v>
      </c>
      <c r="AC129" s="29" t="n">
        <v>4555.0872</v>
      </c>
      <c r="AD129" s="29" t="n">
        <v>0</v>
      </c>
    </row>
    <row r="130" ht="14.25" customHeight="1" s="28">
      <c r="A130" s="29" t="n">
        <v>1777527901</v>
      </c>
      <c r="B130" s="29" t="inlineStr">
        <is>
          <t>XAUUSD</t>
        </is>
      </c>
      <c r="C130" s="29" t="inlineStr">
        <is>
          <t>M15</t>
        </is>
      </c>
      <c r="D130" s="29" t="n">
        <v>4562.71</v>
      </c>
      <c r="E130" s="29" t="n">
        <v>4717.79398</v>
      </c>
      <c r="F130" s="29" t="n">
        <v>4695.2428</v>
      </c>
      <c r="G130" s="29" t="n">
        <v>4518.59282</v>
      </c>
      <c r="H130" s="29" t="n">
        <v>4596.05595</v>
      </c>
      <c r="I130" s="29" t="n">
        <v>4755.40355</v>
      </c>
      <c r="J130" s="29" t="n">
        <v>4792.76972</v>
      </c>
      <c r="K130" s="29" t="n">
        <v>4769.97694</v>
      </c>
      <c r="L130" s="29" t="n">
        <v>4716.33597</v>
      </c>
      <c r="M130" s="29" t="n">
        <v>4718.85043</v>
      </c>
      <c r="N130" s="29" t="n">
        <v>4531.36057</v>
      </c>
      <c r="O130" s="29" t="n">
        <v>4556.93783</v>
      </c>
      <c r="Q130" s="29" t="n">
        <v>4574.47742</v>
      </c>
      <c r="R130" s="29" t="n">
        <v>4622.49508</v>
      </c>
      <c r="S130" s="29" t="n">
        <v>4598.31147</v>
      </c>
      <c r="V130" s="29" t="n">
        <v>4541.83223</v>
      </c>
      <c r="AB130" s="29" t="n">
        <v>4562.10639</v>
      </c>
      <c r="AC130" s="29" t="n">
        <v>4558.59679</v>
      </c>
      <c r="AD130" s="29" t="n">
        <v>0</v>
      </c>
    </row>
    <row r="131" ht="14.25" customHeight="1" s="28">
      <c r="A131" s="29" t="n">
        <v>1777528801</v>
      </c>
      <c r="B131" s="29" t="inlineStr">
        <is>
          <t>XAUUSD</t>
        </is>
      </c>
      <c r="C131" s="29" t="inlineStr">
        <is>
          <t>M15</t>
        </is>
      </c>
      <c r="D131" s="29" t="n">
        <v>4566.21</v>
      </c>
      <c r="E131" s="29" t="n">
        <v>4717.79398</v>
      </c>
      <c r="F131" s="29" t="n">
        <v>4695.2428</v>
      </c>
      <c r="G131" s="29" t="n">
        <v>4518.59282</v>
      </c>
      <c r="H131" s="29" t="n">
        <v>4596.05595</v>
      </c>
      <c r="I131" s="29" t="n">
        <v>4755.40355</v>
      </c>
      <c r="J131" s="29" t="n">
        <v>4792.76972</v>
      </c>
      <c r="K131" s="29" t="n">
        <v>4769.97694</v>
      </c>
      <c r="L131" s="29" t="n">
        <v>4716.33597</v>
      </c>
      <c r="M131" s="29" t="n">
        <v>4718.85043</v>
      </c>
      <c r="N131" s="29" t="n">
        <v>4531.36057</v>
      </c>
      <c r="O131" s="29" t="n">
        <v>4556.93783</v>
      </c>
      <c r="Q131" s="29" t="n">
        <v>4574.67987</v>
      </c>
      <c r="R131" s="29" t="n">
        <v>4622.69753</v>
      </c>
      <c r="S131" s="29" t="n">
        <v>4598.51392</v>
      </c>
      <c r="V131" s="29" t="n">
        <v>4542.03467</v>
      </c>
      <c r="AB131" s="29" t="n">
        <v>4566.99173</v>
      </c>
      <c r="AC131" s="29" t="n">
        <v>4562.79426</v>
      </c>
      <c r="AD131" s="29" t="n">
        <v>0</v>
      </c>
    </row>
    <row r="132" ht="14.25" customHeight="1" s="28">
      <c r="A132" s="29" t="n">
        <v>1777529701</v>
      </c>
      <c r="B132" s="29" t="inlineStr">
        <is>
          <t>XAUUSD</t>
        </is>
      </c>
      <c r="C132" s="29" t="inlineStr">
        <is>
          <t>M15</t>
        </is>
      </c>
      <c r="D132" s="29" t="n">
        <v>4569.57</v>
      </c>
      <c r="E132" s="29" t="n">
        <v>4717.79398</v>
      </c>
      <c r="F132" s="29" t="n">
        <v>4695.2428</v>
      </c>
      <c r="G132" s="29" t="n">
        <v>4518.59282</v>
      </c>
      <c r="H132" s="29" t="n">
        <v>4596.05595</v>
      </c>
      <c r="I132" s="29" t="n">
        <v>4755.40355</v>
      </c>
      <c r="J132" s="29" t="n">
        <v>4792.76972</v>
      </c>
      <c r="K132" s="29" t="n">
        <v>4769.97694</v>
      </c>
      <c r="L132" s="29" t="n">
        <v>4716.33597</v>
      </c>
      <c r="M132" s="29" t="n">
        <v>4718.85043</v>
      </c>
      <c r="N132" s="29" t="n">
        <v>4531.36057</v>
      </c>
      <c r="O132" s="29" t="n">
        <v>4556.93783</v>
      </c>
      <c r="Q132" s="29" t="n">
        <v>4574.88231</v>
      </c>
      <c r="R132" s="29" t="n">
        <v>4622.89998</v>
      </c>
      <c r="S132" s="29" t="n">
        <v>4598.71636</v>
      </c>
      <c r="V132" s="29" t="n">
        <v>4542.23712</v>
      </c>
      <c r="AB132" s="29" t="n">
        <v>4572.40065</v>
      </c>
      <c r="AC132" s="29" t="n">
        <v>4567.59745</v>
      </c>
      <c r="AD132" s="29" t="n">
        <v>0</v>
      </c>
    </row>
    <row r="133" ht="14.25" customHeight="1" s="28">
      <c r="A133" s="29" t="n">
        <v>1777530601</v>
      </c>
      <c r="B133" s="29" t="inlineStr">
        <is>
          <t>XAUUSD</t>
        </is>
      </c>
      <c r="C133" s="29" t="inlineStr">
        <is>
          <t>M15</t>
        </is>
      </c>
      <c r="D133" s="29" t="n">
        <v>4575.23</v>
      </c>
      <c r="E133" s="29" t="n">
        <v>4717.79398</v>
      </c>
      <c r="F133" s="29" t="n">
        <v>4695.2428</v>
      </c>
      <c r="G133" s="29" t="n">
        <v>4518.59282</v>
      </c>
      <c r="H133" s="29" t="n">
        <v>4596.05595</v>
      </c>
      <c r="I133" s="29" t="n">
        <v>4755.40355</v>
      </c>
      <c r="J133" s="29" t="n">
        <v>4792.76972</v>
      </c>
      <c r="K133" s="29" t="n">
        <v>4769.97694</v>
      </c>
      <c r="L133" s="29" t="n">
        <v>4716.33597</v>
      </c>
      <c r="M133" s="29" t="n">
        <v>4718.85043</v>
      </c>
      <c r="N133" s="29" t="n">
        <v>4531.36057</v>
      </c>
      <c r="O133" s="29" t="n">
        <v>4556.93783</v>
      </c>
      <c r="Q133" s="29" t="n">
        <v>4575.08476</v>
      </c>
      <c r="R133" s="29" t="n">
        <v>4623.10242</v>
      </c>
      <c r="S133" s="29" t="n">
        <v>4598.91881</v>
      </c>
      <c r="V133" s="29" t="n">
        <v>4542.43957</v>
      </c>
      <c r="AB133" s="29" t="n">
        <v>4578.23145</v>
      </c>
      <c r="AC133" s="29" t="n">
        <v>4572.91445</v>
      </c>
      <c r="AD133" s="29" t="n">
        <v>0</v>
      </c>
    </row>
    <row r="134" ht="14.25" customHeight="1" s="28">
      <c r="A134" s="29" t="n">
        <v>1777531501</v>
      </c>
      <c r="B134" s="29" t="inlineStr">
        <is>
          <t>XAUUSD</t>
        </is>
      </c>
      <c r="C134" s="29" t="inlineStr">
        <is>
          <t>M15</t>
        </is>
      </c>
      <c r="D134" s="29" t="n">
        <v>4589.44</v>
      </c>
      <c r="E134" s="29" t="n">
        <v>4717.79398</v>
      </c>
      <c r="F134" s="29" t="n">
        <v>4695.2428</v>
      </c>
      <c r="G134" s="29" t="n">
        <v>4518.59282</v>
      </c>
      <c r="H134" s="29" t="n">
        <v>4596.05595</v>
      </c>
      <c r="I134" s="29" t="n">
        <v>4755.40355</v>
      </c>
      <c r="J134" s="29" t="n">
        <v>4792.76972</v>
      </c>
      <c r="K134" s="29" t="n">
        <v>4769.97694</v>
      </c>
      <c r="L134" s="29" t="n">
        <v>4716.33597</v>
      </c>
      <c r="M134" s="29" t="n">
        <v>4718.85043</v>
      </c>
      <c r="N134" s="29" t="n">
        <v>4531.36057</v>
      </c>
      <c r="O134" s="29" t="n">
        <v>4556.93783</v>
      </c>
      <c r="Q134" s="29" t="n">
        <v>4575.2872</v>
      </c>
      <c r="R134" s="29" t="n">
        <v>4623.30487</v>
      </c>
      <c r="S134" s="29" t="n">
        <v>4599.12126</v>
      </c>
      <c r="V134" s="29" t="n">
        <v>4542.64201</v>
      </c>
      <c r="AB134" s="29" t="n">
        <v>4584.24007</v>
      </c>
      <c r="AC134" s="29" t="n">
        <v>4578.57726</v>
      </c>
      <c r="AD134" s="29" t="n">
        <v>0</v>
      </c>
    </row>
    <row r="135" ht="14.25" customHeight="1" s="28">
      <c r="A135" s="29" t="n">
        <v>1777532401</v>
      </c>
      <c r="B135" s="29" t="inlineStr">
        <is>
          <t>XAUUSD</t>
        </is>
      </c>
      <c r="C135" s="29" t="inlineStr">
        <is>
          <t>M15</t>
        </is>
      </c>
      <c r="D135" s="29" t="n">
        <v>4591.59</v>
      </c>
      <c r="E135" s="29" t="n">
        <v>4717.79398</v>
      </c>
      <c r="F135" s="29" t="n">
        <v>4695.2428</v>
      </c>
      <c r="G135" s="29" t="n">
        <v>4518.59282</v>
      </c>
      <c r="H135" s="29" t="n">
        <v>4596.05595</v>
      </c>
      <c r="I135" s="29" t="n">
        <v>4755.40355</v>
      </c>
      <c r="J135" s="29" t="n">
        <v>4792.76972</v>
      </c>
      <c r="K135" s="29" t="n">
        <v>4769.97694</v>
      </c>
      <c r="L135" s="29" t="n">
        <v>4716.33597</v>
      </c>
      <c r="M135" s="29" t="n">
        <v>4718.85043</v>
      </c>
      <c r="N135" s="29" t="n">
        <v>4531.36057</v>
      </c>
      <c r="O135" s="29" t="n">
        <v>4556.93783</v>
      </c>
      <c r="Q135" s="29" t="n">
        <v>4575.48965</v>
      </c>
      <c r="R135" s="29" t="n">
        <v>4623.50731</v>
      </c>
      <c r="S135" s="29" t="n">
        <v>4599.3237</v>
      </c>
      <c r="V135" s="29" t="n">
        <v>4542.84446</v>
      </c>
      <c r="AB135" s="29" t="n">
        <v>4589.9598</v>
      </c>
      <c r="AC135" s="29" t="n">
        <v>4584.26853</v>
      </c>
      <c r="AD135" s="29" t="n">
        <v>0</v>
      </c>
    </row>
    <row r="136" ht="14.25" customHeight="1" s="28">
      <c r="A136" s="29" t="n">
        <v>1777533301</v>
      </c>
      <c r="B136" s="29" t="inlineStr">
        <is>
          <t>XAUUSD</t>
        </is>
      </c>
      <c r="C136" s="29" t="inlineStr">
        <is>
          <t>M15</t>
        </is>
      </c>
      <c r="D136" s="29" t="n">
        <v>4591.59</v>
      </c>
      <c r="E136" s="29" t="n">
        <v>4717.79398</v>
      </c>
      <c r="F136" s="29" t="n">
        <v>4695.2428</v>
      </c>
      <c r="G136" s="29" t="n">
        <v>4518.59282</v>
      </c>
      <c r="H136" s="29" t="n">
        <v>4596.05595</v>
      </c>
      <c r="I136" s="29" t="n">
        <v>4755.40355</v>
      </c>
      <c r="J136" s="29" t="n">
        <v>4792.76972</v>
      </c>
      <c r="K136" s="29" t="n">
        <v>4769.97694</v>
      </c>
      <c r="L136" s="29" t="n">
        <v>4716.33597</v>
      </c>
      <c r="M136" s="29" t="n">
        <v>4718.85043</v>
      </c>
      <c r="N136" s="29" t="n">
        <v>4531.36057</v>
      </c>
      <c r="O136" s="29" t="n">
        <v>4556.93783</v>
      </c>
      <c r="Q136" s="29" t="n">
        <v>4575.69209</v>
      </c>
      <c r="R136" s="29" t="n">
        <v>4623.70976</v>
      </c>
      <c r="S136" s="29" t="n">
        <v>4599.52615</v>
      </c>
      <c r="V136" s="29" t="n">
        <v>4543.0469</v>
      </c>
      <c r="AB136" s="29" t="n">
        <v>4595.30501</v>
      </c>
      <c r="AC136" s="29" t="n">
        <v>4589.78677</v>
      </c>
      <c r="AD136" s="29" t="n">
        <v>0</v>
      </c>
    </row>
    <row r="137" ht="14.25" customHeight="1" s="28">
      <c r="A137" s="29" t="n">
        <v>1777534201</v>
      </c>
      <c r="B137" s="29" t="inlineStr">
        <is>
          <t>XAUUSD</t>
        </is>
      </c>
      <c r="C137" s="29" t="inlineStr">
        <is>
          <t>M15</t>
        </is>
      </c>
      <c r="D137" s="29" t="n">
        <v>4596.69</v>
      </c>
      <c r="E137" s="29" t="n">
        <v>4717.79398</v>
      </c>
      <c r="F137" s="29" t="n">
        <v>4695.2428</v>
      </c>
      <c r="G137" s="29" t="n">
        <v>4518.59282</v>
      </c>
      <c r="H137" s="29" t="n">
        <v>4596.05595</v>
      </c>
      <c r="I137" s="29" t="n">
        <v>4755.40355</v>
      </c>
      <c r="J137" s="29" t="n">
        <v>4792.76972</v>
      </c>
      <c r="K137" s="29" t="n">
        <v>4769.97694</v>
      </c>
      <c r="L137" s="29" t="n">
        <v>4716.33597</v>
      </c>
      <c r="M137" s="29" t="n">
        <v>4718.85043</v>
      </c>
      <c r="N137" s="29" t="n">
        <v>4531.36057</v>
      </c>
      <c r="O137" s="29" t="n">
        <v>4556.93783</v>
      </c>
      <c r="Q137" s="29" t="n">
        <v>4575.89454</v>
      </c>
      <c r="R137" s="29" t="n">
        <v>4623.9122</v>
      </c>
      <c r="S137" s="29" t="n">
        <v>4599.72859</v>
      </c>
      <c r="V137" s="29" t="n">
        <v>4543.24935</v>
      </c>
      <c r="AB137" s="29" t="n">
        <v>4600.28116</v>
      </c>
      <c r="AC137" s="29" t="n">
        <v>4595.03396</v>
      </c>
      <c r="AD137" s="29" t="n">
        <v>0</v>
      </c>
    </row>
    <row r="138" ht="14.25" customHeight="1" s="28">
      <c r="A138" s="29" t="n">
        <v>1777535101</v>
      </c>
      <c r="B138" s="29" t="inlineStr">
        <is>
          <t>XAUUSD</t>
        </is>
      </c>
      <c r="C138" s="29" t="inlineStr">
        <is>
          <t>M15</t>
        </is>
      </c>
      <c r="D138" s="29" t="n">
        <v>4598.44</v>
      </c>
      <c r="E138" s="29" t="n">
        <v>4717.79398</v>
      </c>
      <c r="F138" s="29" t="n">
        <v>4695.2428</v>
      </c>
      <c r="G138" s="29" t="n">
        <v>4518.59282</v>
      </c>
      <c r="H138" s="29" t="n">
        <v>4596.05595</v>
      </c>
      <c r="I138" s="29" t="n">
        <v>4755.40355</v>
      </c>
      <c r="J138" s="29" t="n">
        <v>4792.76972</v>
      </c>
      <c r="K138" s="29" t="n">
        <v>4769.97694</v>
      </c>
      <c r="L138" s="29" t="n">
        <v>4716.33597</v>
      </c>
      <c r="M138" s="29" t="n">
        <v>4718.85043</v>
      </c>
      <c r="N138" s="29" t="n">
        <v>4531.36057</v>
      </c>
      <c r="O138" s="29" t="n">
        <v>4556.93783</v>
      </c>
      <c r="Q138" s="29" t="n">
        <v>4576.09699</v>
      </c>
      <c r="R138" s="29" t="n">
        <v>4624.11465</v>
      </c>
      <c r="S138" s="29" t="n">
        <v>4599.93104</v>
      </c>
      <c r="V138" s="29" t="n">
        <v>4543.45179</v>
      </c>
      <c r="AB138" s="29" t="n">
        <v>4604.81754</v>
      </c>
      <c r="AC138" s="29" t="n">
        <v>4599.92575</v>
      </c>
      <c r="AD138" s="29" t="n">
        <v>0</v>
      </c>
    </row>
    <row r="139" ht="14.25" customHeight="1" s="28">
      <c r="A139" s="29" t="n">
        <v>1777536001</v>
      </c>
      <c r="B139" s="29" t="inlineStr">
        <is>
          <t>XAUUSD</t>
        </is>
      </c>
      <c r="C139" s="29" t="inlineStr">
        <is>
          <t>M15</t>
        </is>
      </c>
      <c r="D139" s="29" t="n">
        <v>4618.7</v>
      </c>
      <c r="E139" s="29" t="n">
        <v>4717.79398</v>
      </c>
      <c r="F139" s="29" t="n">
        <v>4695.2428</v>
      </c>
      <c r="G139" s="29" t="n">
        <v>4518.59282</v>
      </c>
      <c r="H139" s="29" t="n">
        <v>4596.05595</v>
      </c>
      <c r="I139" s="29" t="n">
        <v>4755.40355</v>
      </c>
      <c r="J139" s="29" t="n">
        <v>4792.76972</v>
      </c>
      <c r="K139" s="29" t="n">
        <v>4769.97694</v>
      </c>
      <c r="L139" s="29" t="n">
        <v>4716.33597</v>
      </c>
      <c r="M139" s="29" t="n">
        <v>4718.85043</v>
      </c>
      <c r="N139" s="29" t="n">
        <v>4531.36057</v>
      </c>
      <c r="O139" s="29" t="n">
        <v>4556.93783</v>
      </c>
      <c r="Q139" s="29" t="n">
        <v>4576.29943</v>
      </c>
      <c r="R139" s="29" t="n">
        <v>4624.3171</v>
      </c>
      <c r="S139" s="29" t="n">
        <v>4600.13348</v>
      </c>
      <c r="V139" s="29" t="n">
        <v>4543.65424</v>
      </c>
      <c r="AB139" s="29" t="n">
        <v>4608.94986</v>
      </c>
      <c r="AC139" s="29" t="n">
        <v>4604.43781</v>
      </c>
      <c r="AD139" s="29" t="n">
        <v>0</v>
      </c>
    </row>
    <row r="140" ht="14.25" customHeight="1" s="28">
      <c r="A140" s="29" t="n">
        <v>1777536901</v>
      </c>
      <c r="B140" s="29" t="inlineStr">
        <is>
          <t>XAUUSD</t>
        </is>
      </c>
      <c r="C140" s="29" t="inlineStr">
        <is>
          <t>M15</t>
        </is>
      </c>
      <c r="D140" s="29" t="n">
        <v>4617.35</v>
      </c>
      <c r="E140" s="29" t="n">
        <v>4717.79398</v>
      </c>
      <c r="F140" s="29" t="n">
        <v>4695.2428</v>
      </c>
      <c r="G140" s="29" t="n">
        <v>4518.59282</v>
      </c>
      <c r="H140" s="29" t="n">
        <v>4596.05595</v>
      </c>
      <c r="I140" s="29" t="n">
        <v>4755.40355</v>
      </c>
      <c r="J140" s="29" t="n">
        <v>4792.76972</v>
      </c>
      <c r="K140" s="29" t="n">
        <v>4769.97694</v>
      </c>
      <c r="L140" s="29" t="n">
        <v>4716.33597</v>
      </c>
      <c r="M140" s="29" t="n">
        <v>4718.85043</v>
      </c>
      <c r="N140" s="29" t="n">
        <v>4531.36057</v>
      </c>
      <c r="O140" s="29" t="n">
        <v>4556.93783</v>
      </c>
      <c r="Q140" s="29" t="n">
        <v>4576.50188</v>
      </c>
      <c r="R140" s="29" t="n">
        <v>4624.51954</v>
      </c>
      <c r="S140" s="29" t="n">
        <v>4600.33593</v>
      </c>
      <c r="V140" s="29" t="n">
        <v>4543.85669</v>
      </c>
      <c r="AB140" s="29" t="n">
        <v>4612.27662</v>
      </c>
      <c r="AC140" s="29" t="n">
        <v>4608.35721</v>
      </c>
      <c r="AD140" s="29" t="n">
        <v>0</v>
      </c>
    </row>
    <row r="141" ht="14.25" customHeight="1" s="28">
      <c r="A141" s="29" t="n">
        <v>1777537801</v>
      </c>
      <c r="B141" s="29" t="inlineStr">
        <is>
          <t>XAUUSD</t>
        </is>
      </c>
      <c r="C141" s="29" t="inlineStr">
        <is>
          <t>M15</t>
        </is>
      </c>
      <c r="D141" s="29" t="n">
        <v>4614.82</v>
      </c>
      <c r="E141" s="29" t="n">
        <v>4717.79398</v>
      </c>
      <c r="F141" s="29" t="n">
        <v>4695.2428</v>
      </c>
      <c r="G141" s="29" t="n">
        <v>4518.59282</v>
      </c>
      <c r="H141" s="29" t="n">
        <v>4596.05595</v>
      </c>
      <c r="I141" s="29" t="n">
        <v>4755.40355</v>
      </c>
      <c r="J141" s="29" t="n">
        <v>4792.76972</v>
      </c>
      <c r="K141" s="29" t="n">
        <v>4769.97694</v>
      </c>
      <c r="L141" s="29" t="n">
        <v>4716.33597</v>
      </c>
      <c r="M141" s="29" t="n">
        <v>4718.85043</v>
      </c>
      <c r="N141" s="29" t="n">
        <v>4531.36057</v>
      </c>
      <c r="O141" s="29" t="n">
        <v>4556.93783</v>
      </c>
      <c r="Q141" s="29" t="n">
        <v>4576.70432</v>
      </c>
      <c r="R141" s="29" t="n">
        <v>4624.72199</v>
      </c>
      <c r="S141" s="29" t="n">
        <v>4600.53837</v>
      </c>
      <c r="V141" s="29" t="n">
        <v>4544.05913</v>
      </c>
      <c r="AB141" s="29" t="n">
        <v>4615.05883</v>
      </c>
      <c r="AC141" s="29" t="n">
        <v>4611.70802</v>
      </c>
      <c r="AD141" s="29" t="n">
        <v>0</v>
      </c>
    </row>
    <row r="142" ht="14.25" customHeight="1" s="28">
      <c r="A142" s="29" t="n">
        <v>1777538701</v>
      </c>
      <c r="B142" s="29" t="inlineStr">
        <is>
          <t>XAUUSD</t>
        </is>
      </c>
      <c r="C142" s="29" t="inlineStr">
        <is>
          <t>M15</t>
        </is>
      </c>
      <c r="D142" s="29" t="n">
        <v>4616</v>
      </c>
      <c r="E142" s="29" t="n">
        <v>4717.79398</v>
      </c>
      <c r="F142" s="29" t="n">
        <v>4695.2428</v>
      </c>
      <c r="G142" s="29" t="n">
        <v>4518.59282</v>
      </c>
      <c r="H142" s="29" t="n">
        <v>4596.05595</v>
      </c>
      <c r="I142" s="29" t="n">
        <v>4755.40355</v>
      </c>
      <c r="J142" s="29" t="n">
        <v>4792.76972</v>
      </c>
      <c r="K142" s="29" t="n">
        <v>4769.97694</v>
      </c>
      <c r="L142" s="29" t="n">
        <v>4716.33597</v>
      </c>
      <c r="M142" s="29" t="n">
        <v>4718.85043</v>
      </c>
      <c r="N142" s="29" t="n">
        <v>4531.36057</v>
      </c>
      <c r="O142" s="29" t="n">
        <v>4556.93783</v>
      </c>
      <c r="Q142" s="29" t="n">
        <v>4576.90677</v>
      </c>
      <c r="R142" s="29" t="n">
        <v>4624.92443</v>
      </c>
      <c r="S142" s="29" t="n">
        <v>4600.74082</v>
      </c>
      <c r="V142" s="29" t="n">
        <v>4544.26158</v>
      </c>
      <c r="AB142" s="29" t="n">
        <v>4617.65134</v>
      </c>
      <c r="AC142" s="29" t="n">
        <v>4614.67968</v>
      </c>
      <c r="AD142" s="29" t="n">
        <v>0</v>
      </c>
    </row>
    <row r="143" ht="14.25" customHeight="1" s="28">
      <c r="A143" s="29" t="n">
        <v>1777539601</v>
      </c>
      <c r="B143" s="29" t="inlineStr">
        <is>
          <t>XAUUSD</t>
        </is>
      </c>
      <c r="C143" s="29" t="inlineStr">
        <is>
          <t>M15</t>
        </is>
      </c>
      <c r="D143" s="29" t="n">
        <v>4618.96</v>
      </c>
      <c r="E143" s="29" t="n">
        <v>4717.79398</v>
      </c>
      <c r="F143" s="29" t="n">
        <v>4695.2428</v>
      </c>
      <c r="G143" s="29" t="n">
        <v>4518.59282</v>
      </c>
      <c r="H143" s="29" t="n">
        <v>4596.05595</v>
      </c>
      <c r="I143" s="29" t="n">
        <v>4755.40355</v>
      </c>
      <c r="J143" s="29" t="n">
        <v>4792.76972</v>
      </c>
      <c r="K143" s="29" t="n">
        <v>4769.97694</v>
      </c>
      <c r="L143" s="29" t="n">
        <v>4716.33597</v>
      </c>
      <c r="M143" s="29" t="n">
        <v>4718.85043</v>
      </c>
      <c r="N143" s="29" t="n">
        <v>4531.36057</v>
      </c>
      <c r="O143" s="29" t="n">
        <v>4556.93783</v>
      </c>
      <c r="Q143" s="29" t="n">
        <v>4577.10921</v>
      </c>
      <c r="R143" s="29" t="n">
        <v>4625.12688</v>
      </c>
      <c r="S143" s="29" t="n">
        <v>4600.94327</v>
      </c>
      <c r="V143" s="29" t="n">
        <v>4544.46402</v>
      </c>
      <c r="AB143" s="29" t="n">
        <v>4620.25437</v>
      </c>
      <c r="AC143" s="29" t="n">
        <v>4617.46703</v>
      </c>
      <c r="AD143" s="29" t="n">
        <v>0</v>
      </c>
    </row>
    <row r="144" ht="14.25" customHeight="1" s="28">
      <c r="A144" s="29" t="n">
        <v>1777540501</v>
      </c>
      <c r="B144" s="29" t="inlineStr">
        <is>
          <t>XAUUSD</t>
        </is>
      </c>
      <c r="C144" s="29" t="inlineStr">
        <is>
          <t>M15</t>
        </is>
      </c>
      <c r="D144" s="29" t="n">
        <v>4625.41</v>
      </c>
      <c r="E144" s="29" t="n">
        <v>4717.79398</v>
      </c>
      <c r="F144" s="29" t="n">
        <v>4695.2428</v>
      </c>
      <c r="G144" s="29" t="n">
        <v>4518.59282</v>
      </c>
      <c r="H144" s="29" t="n">
        <v>4596.05595</v>
      </c>
      <c r="I144" s="29" t="n">
        <v>4755.40355</v>
      </c>
      <c r="J144" s="29" t="n">
        <v>4792.76972</v>
      </c>
      <c r="K144" s="29" t="n">
        <v>4769.97694</v>
      </c>
      <c r="L144" s="29" t="n">
        <v>4716.33597</v>
      </c>
      <c r="M144" s="29" t="n">
        <v>4718.85043</v>
      </c>
      <c r="N144" s="29" t="n">
        <v>4531.36057</v>
      </c>
      <c r="O144" s="29" t="n">
        <v>4556.93783</v>
      </c>
      <c r="Q144" s="29" t="n">
        <v>4577.31166</v>
      </c>
      <c r="R144" s="29" t="n">
        <v>4625.32932</v>
      </c>
      <c r="S144" s="29" t="n">
        <v>4601.14571</v>
      </c>
      <c r="V144" s="29" t="n">
        <v>4544.66647</v>
      </c>
      <c r="AB144" s="29" t="n">
        <v>4622.95448</v>
      </c>
      <c r="AC144" s="29" t="n">
        <v>4620.21075</v>
      </c>
      <c r="AD144" s="29" t="n">
        <v>0</v>
      </c>
    </row>
    <row r="145" ht="14.25" customHeight="1" s="28">
      <c r="A145" s="29" t="n">
        <v>1777541401</v>
      </c>
      <c r="B145" s="29" t="inlineStr">
        <is>
          <t>XAUUSD</t>
        </is>
      </c>
      <c r="C145" s="29" t="inlineStr">
        <is>
          <t>M15</t>
        </is>
      </c>
      <c r="D145" s="29" t="n">
        <v>4619.35</v>
      </c>
      <c r="E145" s="29" t="n">
        <v>4717.79398</v>
      </c>
      <c r="F145" s="29" t="n">
        <v>4695.2428</v>
      </c>
      <c r="G145" s="29" t="n">
        <v>4518.59282</v>
      </c>
      <c r="H145" s="29" t="n">
        <v>4596.05595</v>
      </c>
      <c r="I145" s="29" t="n">
        <v>4755.40355</v>
      </c>
      <c r="J145" s="29" t="n">
        <v>4792.76972</v>
      </c>
      <c r="K145" s="29" t="n">
        <v>4769.97694</v>
      </c>
      <c r="L145" s="29" t="n">
        <v>4716.33597</v>
      </c>
      <c r="M145" s="29" t="n">
        <v>4718.85043</v>
      </c>
      <c r="N145" s="29" t="n">
        <v>4531.36057</v>
      </c>
      <c r="O145" s="29" t="n">
        <v>4556.93783</v>
      </c>
      <c r="Q145" s="29" t="n">
        <v>4577.51411</v>
      </c>
      <c r="R145" s="29" t="n">
        <v>4625.53177</v>
      </c>
      <c r="S145" s="29" t="n">
        <v>4601.34816</v>
      </c>
      <c r="V145" s="29" t="n">
        <v>4544.86891</v>
      </c>
      <c r="AB145" s="29" t="n">
        <v>4625.64644</v>
      </c>
      <c r="AC145" s="29" t="n">
        <v>4622.9286</v>
      </c>
      <c r="AD145" s="29" t="n">
        <v>0</v>
      </c>
    </row>
    <row r="146" ht="14.25" customHeight="1" s="28">
      <c r="A146" s="29" t="n">
        <v>1777542301</v>
      </c>
      <c r="B146" s="29" t="inlineStr">
        <is>
          <t>XAUUSD</t>
        </is>
      </c>
      <c r="C146" s="29" t="inlineStr">
        <is>
          <t>M15</t>
        </is>
      </c>
      <c r="D146" s="29" t="n">
        <v>4624.91</v>
      </c>
      <c r="E146" s="29" t="n">
        <v>4717.79398</v>
      </c>
      <c r="F146" s="29" t="n">
        <v>4695.2428</v>
      </c>
      <c r="G146" s="29" t="n">
        <v>4518.59282</v>
      </c>
      <c r="H146" s="29" t="n">
        <v>4596.05595</v>
      </c>
      <c r="I146" s="29" t="n">
        <v>4755.40355</v>
      </c>
      <c r="J146" s="29" t="n">
        <v>4792.76972</v>
      </c>
      <c r="K146" s="29" t="n">
        <v>4769.97694</v>
      </c>
      <c r="L146" s="29" t="n">
        <v>4716.33597</v>
      </c>
      <c r="M146" s="29" t="n">
        <v>4718.85043</v>
      </c>
      <c r="N146" s="29" t="n">
        <v>4531.36057</v>
      </c>
      <c r="O146" s="29" t="n">
        <v>4556.93783</v>
      </c>
      <c r="Q146" s="29" t="n">
        <v>4577.71655</v>
      </c>
      <c r="R146" s="29" t="n">
        <v>4625.73422</v>
      </c>
      <c r="S146" s="29" t="n">
        <v>4601.5506</v>
      </c>
      <c r="V146" s="29" t="n">
        <v>4545.07136</v>
      </c>
      <c r="AB146" s="29" t="n">
        <v>4628.46791</v>
      </c>
      <c r="AC146" s="29" t="n">
        <v>4625.69825</v>
      </c>
      <c r="AD146" s="29" t="n">
        <v>0</v>
      </c>
    </row>
    <row r="147" ht="14.25" customHeight="1" s="28">
      <c r="A147" s="29" t="n">
        <v>1777543201</v>
      </c>
      <c r="B147" s="29" t="inlineStr">
        <is>
          <t>XAUUSD</t>
        </is>
      </c>
      <c r="C147" s="29" t="inlineStr">
        <is>
          <t>M15</t>
        </is>
      </c>
      <c r="D147" s="29" t="n">
        <v>4626.92</v>
      </c>
      <c r="E147" s="29" t="n">
        <v>4717.79398</v>
      </c>
      <c r="F147" s="29" t="n">
        <v>4695.2428</v>
      </c>
      <c r="G147" s="29" t="n">
        <v>4518.59282</v>
      </c>
      <c r="H147" s="29" t="n">
        <v>4596.05595</v>
      </c>
      <c r="I147" s="29" t="n">
        <v>4755.40355</v>
      </c>
      <c r="J147" s="29" t="n">
        <v>4792.76972</v>
      </c>
      <c r="K147" s="29" t="n">
        <v>4769.97694</v>
      </c>
      <c r="L147" s="29" t="n">
        <v>4716.33597</v>
      </c>
      <c r="M147" s="29" t="n">
        <v>4718.85043</v>
      </c>
      <c r="N147" s="29" t="n">
        <v>4531.36057</v>
      </c>
      <c r="O147" s="29" t="n">
        <v>4556.93783</v>
      </c>
      <c r="Q147" s="29" t="n">
        <v>4577.919</v>
      </c>
      <c r="R147" s="29" t="n">
        <v>4625.93666</v>
      </c>
      <c r="S147" s="29" t="n">
        <v>4601.75305</v>
      </c>
      <c r="V147" s="29" t="n">
        <v>4545.27381</v>
      </c>
      <c r="AB147" s="29" t="n">
        <v>4631.18716</v>
      </c>
      <c r="AC147" s="29" t="n">
        <v>4628.44271</v>
      </c>
      <c r="AD147" s="29" t="n">
        <v>0</v>
      </c>
    </row>
    <row r="148" ht="14.25" customHeight="1" s="28">
      <c r="A148" s="29" t="n">
        <v>1777544101</v>
      </c>
      <c r="B148" s="29" t="inlineStr">
        <is>
          <t>XAUUSD</t>
        </is>
      </c>
      <c r="C148" s="29" t="inlineStr">
        <is>
          <t>M15</t>
        </is>
      </c>
      <c r="D148" s="29" t="n">
        <v>4643.78</v>
      </c>
      <c r="E148" s="29" t="n">
        <v>4717.79398</v>
      </c>
      <c r="F148" s="29" t="n">
        <v>4695.2428</v>
      </c>
      <c r="G148" s="29" t="n">
        <v>4518.59282</v>
      </c>
      <c r="H148" s="29" t="n">
        <v>4596.05595</v>
      </c>
      <c r="I148" s="29" t="n">
        <v>4755.40355</v>
      </c>
      <c r="J148" s="29" t="n">
        <v>4792.76972</v>
      </c>
      <c r="K148" s="29" t="n">
        <v>4769.97694</v>
      </c>
      <c r="L148" s="29" t="n">
        <v>4716.33597</v>
      </c>
      <c r="M148" s="29" t="n">
        <v>4718.85043</v>
      </c>
      <c r="N148" s="29" t="n">
        <v>4531.36057</v>
      </c>
      <c r="O148" s="29" t="n">
        <v>4556.93783</v>
      </c>
      <c r="Q148" s="29" t="n">
        <v>4578.12144</v>
      </c>
      <c r="R148" s="29" t="n">
        <v>4626.13911</v>
      </c>
      <c r="S148" s="29" t="n">
        <v>4601.95549</v>
      </c>
      <c r="V148" s="29" t="n">
        <v>4545.47625</v>
      </c>
      <c r="AB148" s="29" t="n">
        <v>4633.63017</v>
      </c>
      <c r="AC148" s="29" t="n">
        <v>4631.03644</v>
      </c>
      <c r="AD148" s="29" t="n">
        <v>0</v>
      </c>
    </row>
    <row r="149" ht="14.25" customHeight="1" s="28">
      <c r="A149" s="29" t="n">
        <v>1777545001</v>
      </c>
      <c r="B149" s="29" t="inlineStr">
        <is>
          <t>XAUUSD</t>
        </is>
      </c>
      <c r="C149" s="29" t="inlineStr">
        <is>
          <t>M15</t>
        </is>
      </c>
      <c r="D149" s="29" t="n">
        <v>4636.62</v>
      </c>
      <c r="E149" s="29" t="n">
        <v>4717.79398</v>
      </c>
      <c r="F149" s="29" t="n">
        <v>4695.2428</v>
      </c>
      <c r="G149" s="29" t="n">
        <v>4518.59282</v>
      </c>
      <c r="H149" s="29" t="n">
        <v>4596.05595</v>
      </c>
      <c r="I149" s="29" t="n">
        <v>4755.40355</v>
      </c>
      <c r="J149" s="29" t="n">
        <v>4792.76972</v>
      </c>
      <c r="K149" s="29" t="n">
        <v>4769.97694</v>
      </c>
      <c r="L149" s="29" t="n">
        <v>4716.33597</v>
      </c>
      <c r="M149" s="29" t="n">
        <v>4718.85043</v>
      </c>
      <c r="N149" s="29" t="n">
        <v>4531.36057</v>
      </c>
      <c r="O149" s="29" t="n">
        <v>4556.93783</v>
      </c>
      <c r="Q149" s="29" t="n">
        <v>4578.32389</v>
      </c>
      <c r="R149" s="29" t="n">
        <v>4626.34155</v>
      </c>
      <c r="S149" s="29" t="n">
        <v>4602.15794</v>
      </c>
      <c r="V149" s="29" t="n">
        <v>4545.6787</v>
      </c>
      <c r="Z149" s="29" t="n">
        <v>4647.1</v>
      </c>
      <c r="AB149" s="29" t="n">
        <v>4635.21014</v>
      </c>
      <c r="AC149" s="29" t="n">
        <v>4633.12329</v>
      </c>
      <c r="AD149" s="29" t="n">
        <v>0</v>
      </c>
    </row>
    <row r="150" ht="14.25" customHeight="1" s="28">
      <c r="A150" s="29" t="n">
        <v>1777545901</v>
      </c>
      <c r="B150" s="29" t="inlineStr">
        <is>
          <t>XAUUSD</t>
        </is>
      </c>
      <c r="C150" s="29" t="inlineStr">
        <is>
          <t>M15</t>
        </is>
      </c>
      <c r="D150" s="29" t="n">
        <v>4639.68</v>
      </c>
      <c r="E150" s="29" t="n">
        <v>4717.79398</v>
      </c>
      <c r="F150" s="29" t="n">
        <v>4695.2428</v>
      </c>
      <c r="G150" s="29" t="n">
        <v>4518.59282</v>
      </c>
      <c r="H150" s="29" t="n">
        <v>4596.05595</v>
      </c>
      <c r="I150" s="29" t="n">
        <v>4755.40355</v>
      </c>
      <c r="J150" s="29" t="n">
        <v>4792.76972</v>
      </c>
      <c r="K150" s="29" t="n">
        <v>4769.97694</v>
      </c>
      <c r="L150" s="29" t="n">
        <v>4716.33597</v>
      </c>
      <c r="M150" s="29" t="n">
        <v>4718.85043</v>
      </c>
      <c r="N150" s="29" t="n">
        <v>4531.36057</v>
      </c>
      <c r="O150" s="29" t="n">
        <v>4556.93783</v>
      </c>
      <c r="Q150" s="29" t="n">
        <v>4578.52633</v>
      </c>
      <c r="R150" s="29" t="n">
        <v>4626.544</v>
      </c>
      <c r="S150" s="29" t="n">
        <v>4602.36039</v>
      </c>
      <c r="V150" s="29" t="n">
        <v>4545.88114</v>
      </c>
      <c r="AB150" s="29" t="n">
        <v>4636.08044</v>
      </c>
      <c r="AC150" s="29" t="n">
        <v>4634.60186</v>
      </c>
      <c r="AD150" s="29" t="n">
        <v>0</v>
      </c>
    </row>
    <row r="151" ht="14.25" customHeight="1" s="28">
      <c r="A151" s="29" t="n">
        <v>1777546801</v>
      </c>
      <c r="B151" s="29" t="inlineStr">
        <is>
          <t>XAUUSD</t>
        </is>
      </c>
      <c r="C151" s="29" t="inlineStr">
        <is>
          <t>M15</t>
        </is>
      </c>
      <c r="D151" s="29" t="n">
        <v>4635.99</v>
      </c>
      <c r="E151" s="29" t="n">
        <v>4717.79398</v>
      </c>
      <c r="F151" s="29" t="n">
        <v>4695.2428</v>
      </c>
      <c r="G151" s="29" t="n">
        <v>4518.59282</v>
      </c>
      <c r="H151" s="29" t="n">
        <v>4596.05595</v>
      </c>
      <c r="I151" s="29" t="n">
        <v>4755.40355</v>
      </c>
      <c r="J151" s="29" t="n">
        <v>4792.76972</v>
      </c>
      <c r="K151" s="29" t="n">
        <v>4769.97694</v>
      </c>
      <c r="L151" s="29" t="n">
        <v>4716.33597</v>
      </c>
      <c r="M151" s="29" t="n">
        <v>4718.85043</v>
      </c>
      <c r="N151" s="29" t="n">
        <v>4531.36057</v>
      </c>
      <c r="O151" s="29" t="n">
        <v>4556.93783</v>
      </c>
      <c r="Q151" s="29" t="n">
        <v>4578.72878</v>
      </c>
      <c r="R151" s="29" t="n">
        <v>4626.74644</v>
      </c>
      <c r="S151" s="29" t="n">
        <v>4602.56283</v>
      </c>
      <c r="V151" s="29" t="n">
        <v>4546.08359</v>
      </c>
      <c r="AB151" s="29" t="n">
        <v>4636.22769</v>
      </c>
      <c r="AC151" s="29" t="n">
        <v>4635.41478</v>
      </c>
      <c r="AD151" s="29" t="n">
        <v>0</v>
      </c>
    </row>
    <row r="152" ht="14.25" customHeight="1" s="28">
      <c r="A152" s="29" t="n">
        <v>1777547701</v>
      </c>
      <c r="B152" s="29" t="inlineStr">
        <is>
          <t>XAUUSD</t>
        </is>
      </c>
      <c r="C152" s="29" t="inlineStr">
        <is>
          <t>M15</t>
        </is>
      </c>
      <c r="D152" s="29" t="n">
        <v>4637.7</v>
      </c>
      <c r="E152" s="29" t="n">
        <v>4717.79398</v>
      </c>
      <c r="F152" s="29" t="n">
        <v>4695.2428</v>
      </c>
      <c r="G152" s="29" t="n">
        <v>4518.59282</v>
      </c>
      <c r="H152" s="29" t="n">
        <v>4596.05595</v>
      </c>
      <c r="I152" s="29" t="n">
        <v>4755.40355</v>
      </c>
      <c r="J152" s="29" t="n">
        <v>4792.76972</v>
      </c>
      <c r="K152" s="29" t="n">
        <v>4769.97694</v>
      </c>
      <c r="L152" s="29" t="n">
        <v>4716.33597</v>
      </c>
      <c r="M152" s="29" t="n">
        <v>4718.85043</v>
      </c>
      <c r="N152" s="29" t="n">
        <v>4531.36057</v>
      </c>
      <c r="O152" s="29" t="n">
        <v>4556.93783</v>
      </c>
      <c r="Q152" s="29" t="n">
        <v>4578.93123</v>
      </c>
      <c r="R152" s="29" t="n">
        <v>4626.94889</v>
      </c>
      <c r="S152" s="29" t="n">
        <v>4602.76528</v>
      </c>
      <c r="V152" s="29" t="n">
        <v>4546.28603</v>
      </c>
      <c r="AB152" s="29" t="n">
        <v>4635.89963</v>
      </c>
      <c r="AC152" s="29" t="n">
        <v>4635.6572</v>
      </c>
      <c r="AD152" s="29" t="n">
        <v>0</v>
      </c>
    </row>
    <row r="153" ht="14.25" customHeight="1" s="28">
      <c r="A153" s="29" t="n">
        <v>1777548601</v>
      </c>
      <c r="B153" s="29" t="inlineStr">
        <is>
          <t>XAUUSD</t>
        </is>
      </c>
      <c r="C153" s="29" t="inlineStr">
        <is>
          <t>M15</t>
        </is>
      </c>
      <c r="D153" s="29" t="n">
        <v>4629.82</v>
      </c>
      <c r="E153" s="29" t="n">
        <v>4717.79398</v>
      </c>
      <c r="F153" s="29" t="n">
        <v>4695.2428</v>
      </c>
      <c r="G153" s="29" t="n">
        <v>4518.59282</v>
      </c>
      <c r="H153" s="29" t="n">
        <v>4596.05595</v>
      </c>
      <c r="I153" s="29" t="n">
        <v>4755.40355</v>
      </c>
      <c r="J153" s="29" t="n">
        <v>4792.76972</v>
      </c>
      <c r="K153" s="29" t="n">
        <v>4769.97694</v>
      </c>
      <c r="L153" s="29" t="n">
        <v>4716.33597</v>
      </c>
      <c r="M153" s="29" t="n">
        <v>4718.85043</v>
      </c>
      <c r="N153" s="29" t="n">
        <v>4531.36057</v>
      </c>
      <c r="O153" s="29" t="n">
        <v>4556.93783</v>
      </c>
      <c r="Q153" s="29" t="n">
        <v>4579.13367</v>
      </c>
      <c r="R153" s="29" t="n">
        <v>4627.15134</v>
      </c>
      <c r="S153" s="29" t="n">
        <v>4602.96772</v>
      </c>
      <c r="V153" s="29" t="n">
        <v>4546.48848</v>
      </c>
      <c r="AB153" s="29" t="n">
        <v>4635.23039</v>
      </c>
      <c r="AC153" s="29" t="n">
        <v>4635.4438</v>
      </c>
      <c r="AD153" s="29" t="n">
        <v>1</v>
      </c>
    </row>
    <row r="154" ht="14.25" customHeight="1" s="28">
      <c r="A154" s="29" t="n">
        <v>1777549501</v>
      </c>
      <c r="B154" s="29" t="inlineStr">
        <is>
          <t>XAUUSD</t>
        </is>
      </c>
      <c r="C154" s="29" t="inlineStr">
        <is>
          <t>M15</t>
        </is>
      </c>
      <c r="D154" s="29" t="n">
        <v>4630.21</v>
      </c>
      <c r="E154" s="29" t="n">
        <v>4717.79398</v>
      </c>
      <c r="F154" s="29" t="n">
        <v>4695.2428</v>
      </c>
      <c r="G154" s="29" t="n">
        <v>4518.59282</v>
      </c>
      <c r="H154" s="29" t="n">
        <v>4596.05595</v>
      </c>
      <c r="I154" s="29" t="n">
        <v>4755.40355</v>
      </c>
      <c r="J154" s="29" t="n">
        <v>4792.76972</v>
      </c>
      <c r="K154" s="29" t="n">
        <v>4769.97694</v>
      </c>
      <c r="L154" s="29" t="n">
        <v>4716.33597</v>
      </c>
      <c r="M154" s="29" t="n">
        <v>4718.85043</v>
      </c>
      <c r="N154" s="29" t="n">
        <v>4531.36057</v>
      </c>
      <c r="O154" s="29" t="n">
        <v>4556.93783</v>
      </c>
      <c r="Q154" s="29" t="n">
        <v>4579.33612</v>
      </c>
      <c r="R154" s="29" t="n">
        <v>4627.35378</v>
      </c>
      <c r="S154" s="29" t="n">
        <v>4603.17017</v>
      </c>
      <c r="V154" s="29" t="n">
        <v>4546.69093</v>
      </c>
      <c r="AB154" s="29" t="n">
        <v>4634.58541</v>
      </c>
      <c r="AC154" s="29" t="n">
        <v>4635.01461</v>
      </c>
      <c r="AD154" s="29" t="n">
        <v>0</v>
      </c>
    </row>
    <row r="155" ht="14.25" customHeight="1" s="28">
      <c r="A155" s="29" t="n">
        <v>1777550401</v>
      </c>
      <c r="B155" s="29" t="inlineStr">
        <is>
          <t>XAUUSD</t>
        </is>
      </c>
      <c r="C155" s="29" t="inlineStr">
        <is>
          <t>M15</t>
        </is>
      </c>
      <c r="D155" s="29" t="n">
        <v>4635.81</v>
      </c>
      <c r="E155" s="29" t="n">
        <v>4717.79398</v>
      </c>
      <c r="F155" s="29" t="n">
        <v>4695.2428</v>
      </c>
      <c r="G155" s="29" t="n">
        <v>4518.59282</v>
      </c>
      <c r="H155" s="29" t="n">
        <v>4596.05595</v>
      </c>
      <c r="I155" s="29" t="n">
        <v>4755.40355</v>
      </c>
      <c r="J155" s="29" t="n">
        <v>4792.76972</v>
      </c>
      <c r="K155" s="29" t="n">
        <v>4769.97694</v>
      </c>
      <c r="L155" s="29" t="n">
        <v>4716.33597</v>
      </c>
      <c r="M155" s="29" t="n">
        <v>4718.85043</v>
      </c>
      <c r="N155" s="29" t="n">
        <v>4531.36057</v>
      </c>
      <c r="O155" s="29" t="n">
        <v>4556.93783</v>
      </c>
      <c r="Q155" s="29" t="n">
        <v>4579.53856</v>
      </c>
      <c r="R155" s="29" t="n">
        <v>4627.55623</v>
      </c>
      <c r="S155" s="29" t="n">
        <v>4603.37261</v>
      </c>
      <c r="V155" s="29" t="n">
        <v>4546.89337</v>
      </c>
      <c r="AB155" s="29" t="n">
        <v>4634.04899</v>
      </c>
      <c r="AC155" s="29" t="n">
        <v>4634.5318</v>
      </c>
      <c r="AD155" s="29" t="n">
        <v>0</v>
      </c>
    </row>
    <row r="156" ht="14.25" customHeight="1" s="28">
      <c r="A156" s="29" t="n">
        <v>1777551301</v>
      </c>
      <c r="B156" s="29" t="inlineStr">
        <is>
          <t>XAUUSD</t>
        </is>
      </c>
      <c r="C156" s="29" t="inlineStr">
        <is>
          <t>M15</t>
        </is>
      </c>
      <c r="D156" s="29" t="n">
        <v>4630.51</v>
      </c>
      <c r="E156" s="29" t="n">
        <v>4717.79398</v>
      </c>
      <c r="F156" s="29" t="n">
        <v>4695.2428</v>
      </c>
      <c r="G156" s="29" t="n">
        <v>4518.59282</v>
      </c>
      <c r="H156" s="29" t="n">
        <v>4596.05595</v>
      </c>
      <c r="I156" s="29" t="n">
        <v>4755.40355</v>
      </c>
      <c r="J156" s="29" t="n">
        <v>4792.76972</v>
      </c>
      <c r="K156" s="29" t="n">
        <v>4769.97694</v>
      </c>
      <c r="L156" s="29" t="n">
        <v>4716.33597</v>
      </c>
      <c r="M156" s="29" t="n">
        <v>4718.85043</v>
      </c>
      <c r="N156" s="29" t="n">
        <v>4531.36057</v>
      </c>
      <c r="O156" s="29" t="n">
        <v>4556.93783</v>
      </c>
      <c r="Q156" s="29" t="n">
        <v>4579.74101</v>
      </c>
      <c r="R156" s="29" t="n">
        <v>4627.75867</v>
      </c>
      <c r="S156" s="29" t="n">
        <v>4603.57506</v>
      </c>
      <c r="V156" s="29" t="n">
        <v>4547.09582</v>
      </c>
      <c r="AB156" s="29" t="n">
        <v>4633.43639</v>
      </c>
      <c r="AC156" s="29" t="n">
        <v>4633.98409</v>
      </c>
      <c r="AD156" s="29" t="n">
        <v>0</v>
      </c>
    </row>
    <row r="157" ht="14.25" customHeight="1" s="28">
      <c r="A157" s="29" t="n">
        <v>1777552201</v>
      </c>
      <c r="B157" s="29" t="inlineStr">
        <is>
          <t>XAUUSD</t>
        </is>
      </c>
      <c r="C157" s="29" t="inlineStr">
        <is>
          <t>M15</t>
        </is>
      </c>
      <c r="D157" s="29" t="n">
        <v>4625.92</v>
      </c>
      <c r="E157" s="29" t="n">
        <v>4717.79398</v>
      </c>
      <c r="F157" s="29" t="n">
        <v>4695.2428</v>
      </c>
      <c r="G157" s="29" t="n">
        <v>4518.59282</v>
      </c>
      <c r="H157" s="29" t="n">
        <v>4596.05595</v>
      </c>
      <c r="I157" s="29" t="n">
        <v>4755.40355</v>
      </c>
      <c r="J157" s="29" t="n">
        <v>4792.76972</v>
      </c>
      <c r="K157" s="29" t="n">
        <v>4769.97694</v>
      </c>
      <c r="L157" s="29" t="n">
        <v>4716.33597</v>
      </c>
      <c r="M157" s="29" t="n">
        <v>4718.85043</v>
      </c>
      <c r="N157" s="29" t="n">
        <v>4531.36057</v>
      </c>
      <c r="O157" s="29" t="n">
        <v>4556.93783</v>
      </c>
      <c r="Q157" s="29" t="n">
        <v>4579.94345</v>
      </c>
      <c r="R157" s="29" t="n">
        <v>4627.96112</v>
      </c>
      <c r="S157" s="29" t="n">
        <v>4603.77751</v>
      </c>
      <c r="V157" s="29" t="n">
        <v>4547.29826</v>
      </c>
      <c r="AB157" s="29" t="n">
        <v>4632.80607</v>
      </c>
      <c r="AC157" s="29" t="n">
        <v>4633.39508</v>
      </c>
      <c r="AD157" s="29" t="n">
        <v>0</v>
      </c>
    </row>
    <row r="158" ht="14.25" customHeight="1" s="28">
      <c r="A158" s="29" t="n">
        <v>1777553101</v>
      </c>
      <c r="B158" s="29" t="inlineStr">
        <is>
          <t>XAUUSD</t>
        </is>
      </c>
      <c r="C158" s="29" t="inlineStr">
        <is>
          <t>M15</t>
        </is>
      </c>
      <c r="D158" s="29" t="n">
        <v>4639.57</v>
      </c>
      <c r="E158" s="29" t="n">
        <v>4717.79398</v>
      </c>
      <c r="F158" s="29" t="n">
        <v>4695.2428</v>
      </c>
      <c r="G158" s="29" t="n">
        <v>4518.59282</v>
      </c>
      <c r="H158" s="29" t="n">
        <v>4596.05595</v>
      </c>
      <c r="I158" s="29" t="n">
        <v>4755.40355</v>
      </c>
      <c r="J158" s="29" t="n">
        <v>4792.76972</v>
      </c>
      <c r="K158" s="29" t="n">
        <v>4769.97694</v>
      </c>
      <c r="L158" s="29" t="n">
        <v>4716.33597</v>
      </c>
      <c r="M158" s="29" t="n">
        <v>4718.85043</v>
      </c>
      <c r="N158" s="29" t="n">
        <v>4531.36057</v>
      </c>
      <c r="O158" s="29" t="n">
        <v>4556.93783</v>
      </c>
      <c r="Q158" s="29" t="n">
        <v>4580.1459</v>
      </c>
      <c r="R158" s="29" t="n">
        <v>4628.16356</v>
      </c>
      <c r="S158" s="29" t="n">
        <v>4603.97995</v>
      </c>
      <c r="V158" s="29" t="n">
        <v>4547.50071</v>
      </c>
      <c r="AB158" s="29" t="n">
        <v>4632.1084</v>
      </c>
      <c r="AC158" s="29" t="n">
        <v>4632.75174</v>
      </c>
      <c r="AD158" s="29" t="n">
        <v>0</v>
      </c>
    </row>
    <row r="159" ht="14.25" customHeight="1" s="28">
      <c r="A159" s="29" t="n">
        <v>1777554001</v>
      </c>
      <c r="B159" s="29" t="inlineStr">
        <is>
          <t>XAUUSD</t>
        </is>
      </c>
      <c r="C159" s="29" t="inlineStr">
        <is>
          <t>M15</t>
        </is>
      </c>
      <c r="D159" s="29" t="n">
        <v>4641.5</v>
      </c>
      <c r="E159" s="29" t="n">
        <v>4717.79398</v>
      </c>
      <c r="F159" s="29" t="n">
        <v>4695.2428</v>
      </c>
      <c r="G159" s="29" t="n">
        <v>4518.59282</v>
      </c>
      <c r="H159" s="29" t="n">
        <v>4596.05595</v>
      </c>
      <c r="I159" s="29" t="n">
        <v>4755.40355</v>
      </c>
      <c r="J159" s="29" t="n">
        <v>4792.76972</v>
      </c>
      <c r="K159" s="29" t="n">
        <v>4769.97694</v>
      </c>
      <c r="L159" s="29" t="n">
        <v>4716.33597</v>
      </c>
      <c r="M159" s="29" t="n">
        <v>4718.85043</v>
      </c>
      <c r="N159" s="29" t="n">
        <v>4531.36057</v>
      </c>
      <c r="O159" s="29" t="n">
        <v>4556.93783</v>
      </c>
      <c r="Q159" s="29" t="n">
        <v>4580.34835</v>
      </c>
      <c r="R159" s="29" t="n">
        <v>4628.36601</v>
      </c>
      <c r="S159" s="29" t="n">
        <v>4604.1824</v>
      </c>
      <c r="V159" s="29" t="n">
        <v>4547.70315</v>
      </c>
      <c r="AB159" s="29" t="n">
        <v>4630.81082</v>
      </c>
      <c r="AC159" s="29" t="n">
        <v>4631.78128</v>
      </c>
      <c r="AD159" s="29" t="n">
        <v>0</v>
      </c>
    </row>
    <row r="160" ht="14.25" customHeight="1" s="28">
      <c r="A160" s="29" t="n">
        <v>1777554901</v>
      </c>
      <c r="B160" s="29" t="inlineStr">
        <is>
          <t>XAUUSD</t>
        </is>
      </c>
      <c r="C160" s="29" t="inlineStr">
        <is>
          <t>M15</t>
        </is>
      </c>
      <c r="D160" s="29" t="n">
        <v>4633.5</v>
      </c>
      <c r="E160" s="29" t="n">
        <v>4717.79398</v>
      </c>
      <c r="F160" s="29" t="n">
        <v>4695.2428</v>
      </c>
      <c r="G160" s="29" t="n">
        <v>4518.59282</v>
      </c>
      <c r="H160" s="29" t="n">
        <v>4596.05595</v>
      </c>
      <c r="I160" s="29" t="n">
        <v>4755.40355</v>
      </c>
      <c r="J160" s="29" t="n">
        <v>4792.76972</v>
      </c>
      <c r="K160" s="29" t="n">
        <v>4769.97694</v>
      </c>
      <c r="L160" s="29" t="n">
        <v>4716.33597</v>
      </c>
      <c r="M160" s="29" t="n">
        <v>4718.85043</v>
      </c>
      <c r="N160" s="29" t="n">
        <v>4531.36057</v>
      </c>
      <c r="O160" s="29" t="n">
        <v>4556.93783</v>
      </c>
      <c r="Q160" s="29" t="n">
        <v>4580.55079</v>
      </c>
      <c r="R160" s="29" t="n">
        <v>4628.56846</v>
      </c>
      <c r="S160" s="29" t="n">
        <v>4604.38484</v>
      </c>
      <c r="V160" s="29" t="n">
        <v>4547.9056</v>
      </c>
      <c r="AB160" s="29" t="n">
        <v>4628.8019</v>
      </c>
      <c r="AC160" s="29" t="n">
        <v>4630.29159</v>
      </c>
      <c r="AD160" s="29" t="n">
        <v>0</v>
      </c>
    </row>
    <row r="161" ht="14.25" customHeight="1" s="28">
      <c r="A161" s="29" t="n">
        <v>1777555801</v>
      </c>
      <c r="B161" s="29" t="inlineStr">
        <is>
          <t>XAUUSD</t>
        </is>
      </c>
      <c r="C161" s="29" t="inlineStr">
        <is>
          <t>M15</t>
        </is>
      </c>
      <c r="D161" s="29" t="n">
        <v>4625.44</v>
      </c>
      <c r="E161" s="29" t="n">
        <v>4717.79398</v>
      </c>
      <c r="F161" s="29" t="n">
        <v>4695.2428</v>
      </c>
      <c r="G161" s="29" t="n">
        <v>4518.59282</v>
      </c>
      <c r="H161" s="29" t="n">
        <v>4596.05595</v>
      </c>
      <c r="I161" s="29" t="n">
        <v>4755.40355</v>
      </c>
      <c r="J161" s="29" t="n">
        <v>4792.76972</v>
      </c>
      <c r="K161" s="29" t="n">
        <v>4769.97694</v>
      </c>
      <c r="L161" s="29" t="n">
        <v>4716.33597</v>
      </c>
      <c r="M161" s="29" t="n">
        <v>4718.85043</v>
      </c>
      <c r="N161" s="29" t="n">
        <v>4531.36057</v>
      </c>
      <c r="O161" s="29" t="n">
        <v>4556.93783</v>
      </c>
      <c r="Q161" s="29" t="n">
        <v>4580.75324</v>
      </c>
      <c r="R161" s="29" t="n">
        <v>4628.7709</v>
      </c>
      <c r="S161" s="29" t="n">
        <v>4604.58729</v>
      </c>
      <c r="V161" s="29" t="n">
        <v>4548.10805</v>
      </c>
      <c r="AB161" s="29" t="n">
        <v>4626.40722</v>
      </c>
      <c r="AC161" s="29" t="n">
        <v>4628.3494</v>
      </c>
      <c r="AD161" s="29" t="n">
        <v>0</v>
      </c>
    </row>
    <row r="162" ht="14.25" customHeight="1" s="28">
      <c r="A162" s="29" t="n">
        <v>1777556701</v>
      </c>
      <c r="B162" s="29" t="inlineStr">
        <is>
          <t>XAUUSD</t>
        </is>
      </c>
      <c r="C162" s="29" t="inlineStr">
        <is>
          <t>M15</t>
        </is>
      </c>
      <c r="D162" s="29" t="n">
        <v>4610.99</v>
      </c>
      <c r="E162" s="29" t="n">
        <v>4717.79398</v>
      </c>
      <c r="F162" s="29" t="n">
        <v>4695.2428</v>
      </c>
      <c r="G162" s="29" t="n">
        <v>4518.59282</v>
      </c>
      <c r="H162" s="29" t="n">
        <v>4596.05595</v>
      </c>
      <c r="I162" s="29" t="n">
        <v>4755.40355</v>
      </c>
      <c r="J162" s="29" t="n">
        <v>4792.76972</v>
      </c>
      <c r="K162" s="29" t="n">
        <v>4769.97694</v>
      </c>
      <c r="L162" s="29" t="n">
        <v>4716.33597</v>
      </c>
      <c r="M162" s="29" t="n">
        <v>4718.85043</v>
      </c>
      <c r="N162" s="29" t="n">
        <v>4531.36057</v>
      </c>
      <c r="O162" s="29" t="n">
        <v>4556.93783</v>
      </c>
      <c r="Q162" s="29" t="n">
        <v>4580.95568</v>
      </c>
      <c r="R162" s="29" t="n">
        <v>4628.97335</v>
      </c>
      <c r="S162" s="29" t="n">
        <v>4604.78973</v>
      </c>
      <c r="V162" s="29" t="n">
        <v>4548.31049</v>
      </c>
      <c r="AB162" s="29" t="n">
        <v>4624.03612</v>
      </c>
      <c r="AC162" s="29" t="n">
        <v>4626.19276</v>
      </c>
      <c r="AD162" s="29" t="n">
        <v>0</v>
      </c>
    </row>
    <row r="163" ht="14.25" customHeight="1" s="28">
      <c r="A163" s="29" t="n">
        <v>1777557601</v>
      </c>
      <c r="B163" s="29" t="inlineStr">
        <is>
          <t>XAUUSD</t>
        </is>
      </c>
      <c r="C163" s="29" t="inlineStr">
        <is>
          <t>M15</t>
        </is>
      </c>
      <c r="D163" s="29" t="n">
        <v>4620.39</v>
      </c>
      <c r="E163" s="29" t="n">
        <v>4717.79398</v>
      </c>
      <c r="F163" s="29" t="n">
        <v>4695.2428</v>
      </c>
      <c r="G163" s="29" t="n">
        <v>4518.59282</v>
      </c>
      <c r="H163" s="29" t="n">
        <v>4596.05595</v>
      </c>
      <c r="I163" s="29" t="n">
        <v>4755.40355</v>
      </c>
      <c r="J163" s="29" t="n">
        <v>4792.76972</v>
      </c>
      <c r="K163" s="29" t="n">
        <v>4769.97694</v>
      </c>
      <c r="L163" s="29" t="n">
        <v>4716.33597</v>
      </c>
      <c r="M163" s="29" t="n">
        <v>4718.85043</v>
      </c>
      <c r="N163" s="29" t="n">
        <v>4531.36057</v>
      </c>
      <c r="O163" s="29" t="n">
        <v>4556.93783</v>
      </c>
      <c r="Q163" s="29" t="n">
        <v>4581.15813</v>
      </c>
      <c r="R163" s="29" t="n">
        <v>4629.17579</v>
      </c>
      <c r="S163" s="29" t="n">
        <v>4604.99218</v>
      </c>
      <c r="V163" s="29" t="n">
        <v>4548.51294</v>
      </c>
      <c r="AB163" s="29" t="n">
        <v>4622.27171</v>
      </c>
      <c r="AC163" s="29" t="n">
        <v>4624.23224</v>
      </c>
      <c r="AD163" s="29" t="n">
        <v>0</v>
      </c>
    </row>
    <row r="164" ht="14.25" customHeight="1" s="28">
      <c r="A164" s="29" t="n">
        <v>1777558501</v>
      </c>
      <c r="B164" s="29" t="inlineStr">
        <is>
          <t>XAUUSD</t>
        </is>
      </c>
      <c r="C164" s="29" t="inlineStr">
        <is>
          <t>M15</t>
        </is>
      </c>
      <c r="D164" s="29" t="n">
        <v>4622.81</v>
      </c>
      <c r="E164" s="29" t="n">
        <v>4717.79398</v>
      </c>
      <c r="F164" s="29" t="n">
        <v>4695.2428</v>
      </c>
      <c r="G164" s="29" t="n">
        <v>4518.59282</v>
      </c>
      <c r="H164" s="29" t="n">
        <v>4596.05595</v>
      </c>
      <c r="I164" s="29" t="n">
        <v>4755.40355</v>
      </c>
      <c r="J164" s="29" t="n">
        <v>4792.76972</v>
      </c>
      <c r="K164" s="29" t="n">
        <v>4769.97694</v>
      </c>
      <c r="L164" s="29" t="n">
        <v>4716.33597</v>
      </c>
      <c r="M164" s="29" t="n">
        <v>4718.85043</v>
      </c>
      <c r="N164" s="29" t="n">
        <v>4531.36057</v>
      </c>
      <c r="O164" s="29" t="n">
        <v>4556.93783</v>
      </c>
      <c r="Q164" s="29" t="n">
        <v>4581.36057</v>
      </c>
      <c r="R164" s="29" t="n">
        <v>4629.37824</v>
      </c>
      <c r="S164" s="29" t="n">
        <v>4605.19463</v>
      </c>
      <c r="V164" s="29" t="n">
        <v>4548.71538</v>
      </c>
      <c r="AB164" s="29" t="n">
        <v>4620.92027</v>
      </c>
      <c r="AC164" s="29" t="n">
        <v>4622.57625</v>
      </c>
      <c r="AD164" s="29" t="n">
        <v>0</v>
      </c>
    </row>
    <row r="165" ht="14.25" customHeight="1" s="28">
      <c r="A165" s="29" t="n">
        <v>1777559401</v>
      </c>
      <c r="B165" s="29" t="inlineStr">
        <is>
          <t>XAUUSD</t>
        </is>
      </c>
      <c r="C165" s="29" t="inlineStr">
        <is>
          <t>M15</t>
        </is>
      </c>
      <c r="D165" s="29" t="n">
        <v>4617.7</v>
      </c>
      <c r="E165" s="29" t="n">
        <v>4717.79398</v>
      </c>
      <c r="F165" s="29" t="n">
        <v>4695.2428</v>
      </c>
      <c r="G165" s="29" t="n">
        <v>4518.59282</v>
      </c>
      <c r="H165" s="29" t="n">
        <v>4596.05595</v>
      </c>
      <c r="I165" s="29" t="n">
        <v>4755.40355</v>
      </c>
      <c r="J165" s="29" t="n">
        <v>4792.76972</v>
      </c>
      <c r="K165" s="29" t="n">
        <v>4769.97694</v>
      </c>
      <c r="L165" s="29" t="n">
        <v>4716.33597</v>
      </c>
      <c r="M165" s="29" t="n">
        <v>4718.85043</v>
      </c>
      <c r="N165" s="29" t="n">
        <v>4531.36057</v>
      </c>
      <c r="O165" s="29" t="n">
        <v>4556.93783</v>
      </c>
      <c r="Q165" s="29" t="n">
        <v>4581.56302</v>
      </c>
      <c r="R165" s="29" t="n">
        <v>4629.58068</v>
      </c>
      <c r="S165" s="29" t="n">
        <v>4605.39707</v>
      </c>
      <c r="V165" s="29" t="n">
        <v>4548.91783</v>
      </c>
      <c r="AB165" s="29" t="n">
        <v>4619.83949</v>
      </c>
      <c r="AC165" s="29" t="n">
        <v>4621.20787</v>
      </c>
      <c r="AD165" s="29" t="n">
        <v>0</v>
      </c>
    </row>
    <row r="166" ht="14.25" customHeight="1" s="28">
      <c r="A166" s="29" t="n">
        <v>1777560301</v>
      </c>
      <c r="B166" s="29" t="inlineStr">
        <is>
          <t>XAUUSD</t>
        </is>
      </c>
      <c r="C166" s="29" t="inlineStr">
        <is>
          <t>M15</t>
        </is>
      </c>
      <c r="D166" s="29" t="n">
        <v>4619.59</v>
      </c>
      <c r="E166" s="29" t="n">
        <v>4717.79398</v>
      </c>
      <c r="F166" s="29" t="n">
        <v>4695.2428</v>
      </c>
      <c r="G166" s="29" t="n">
        <v>4518.59282</v>
      </c>
      <c r="H166" s="29" t="n">
        <v>4596.05595</v>
      </c>
      <c r="I166" s="29" t="n">
        <v>4755.40355</v>
      </c>
      <c r="J166" s="29" t="n">
        <v>4792.76972</v>
      </c>
      <c r="K166" s="29" t="n">
        <v>4769.97694</v>
      </c>
      <c r="L166" s="29" t="n">
        <v>4716.33597</v>
      </c>
      <c r="M166" s="29" t="n">
        <v>4718.85043</v>
      </c>
      <c r="N166" s="29" t="n">
        <v>4531.36057</v>
      </c>
      <c r="O166" s="29" t="n">
        <v>4556.93783</v>
      </c>
      <c r="Q166" s="29" t="n">
        <v>4581.76547</v>
      </c>
      <c r="R166" s="29" t="n">
        <v>4629.78313</v>
      </c>
      <c r="S166" s="29" t="n">
        <v>4605.59952</v>
      </c>
      <c r="V166" s="29" t="n">
        <v>4549.12027</v>
      </c>
      <c r="AB166" s="29" t="n">
        <v>4619.02569</v>
      </c>
      <c r="AC166" s="29" t="n">
        <v>4620.11678</v>
      </c>
      <c r="AD166" s="29" t="n">
        <v>0</v>
      </c>
    </row>
    <row r="167" ht="14.25" customHeight="1" s="28">
      <c r="A167" s="29" t="n">
        <v>1777561201</v>
      </c>
      <c r="B167" s="29" t="inlineStr">
        <is>
          <t>XAUUSD</t>
        </is>
      </c>
      <c r="C167" s="29" t="inlineStr">
        <is>
          <t>M15</t>
        </is>
      </c>
      <c r="D167" s="29" t="n">
        <v>4620.13</v>
      </c>
      <c r="E167" s="29" t="n">
        <v>4717.79398</v>
      </c>
      <c r="F167" s="29" t="n">
        <v>4695.2428</v>
      </c>
      <c r="G167" s="29" t="n">
        <v>4518.59282</v>
      </c>
      <c r="H167" s="29" t="n">
        <v>4596.05595</v>
      </c>
      <c r="I167" s="29" t="n">
        <v>4755.40355</v>
      </c>
      <c r="J167" s="29" t="n">
        <v>4792.76972</v>
      </c>
      <c r="K167" s="29" t="n">
        <v>4769.97694</v>
      </c>
      <c r="L167" s="29" t="n">
        <v>4716.33597</v>
      </c>
      <c r="M167" s="29" t="n">
        <v>4718.85043</v>
      </c>
      <c r="N167" s="29" t="n">
        <v>4531.36057</v>
      </c>
      <c r="O167" s="29" t="n">
        <v>4556.93783</v>
      </c>
      <c r="Q167" s="29" t="n">
        <v>4581.96791</v>
      </c>
      <c r="R167" s="29" t="n">
        <v>4629.98558</v>
      </c>
      <c r="S167" s="29" t="n">
        <v>4605.80196</v>
      </c>
      <c r="V167" s="29" t="n">
        <v>4549.32272</v>
      </c>
      <c r="AB167" s="29" t="n">
        <v>4618.23207</v>
      </c>
      <c r="AC167" s="29" t="n">
        <v>4619.17443</v>
      </c>
      <c r="AD167" s="29" t="n">
        <v>0</v>
      </c>
    </row>
    <row r="168" ht="14.25" customHeight="1" s="28">
      <c r="A168" s="29" t="n">
        <v>1777562101</v>
      </c>
      <c r="B168" s="29" t="inlineStr">
        <is>
          <t>XAUUSD</t>
        </is>
      </c>
      <c r="C168" s="29" t="inlineStr">
        <is>
          <t>M15</t>
        </is>
      </c>
      <c r="D168" s="29" t="n">
        <v>4623.09</v>
      </c>
      <c r="E168" s="29" t="n">
        <v>4717.79398</v>
      </c>
      <c r="F168" s="29" t="n">
        <v>4695.2428</v>
      </c>
      <c r="G168" s="29" t="n">
        <v>4518.59282</v>
      </c>
      <c r="H168" s="29" t="n">
        <v>4596.05595</v>
      </c>
      <c r="I168" s="29" t="n">
        <v>4755.40355</v>
      </c>
      <c r="J168" s="29" t="n">
        <v>4792.76972</v>
      </c>
      <c r="K168" s="29" t="n">
        <v>4769.97694</v>
      </c>
      <c r="L168" s="29" t="n">
        <v>4716.33597</v>
      </c>
      <c r="M168" s="29" t="n">
        <v>4718.85043</v>
      </c>
      <c r="N168" s="29" t="n">
        <v>4531.36057</v>
      </c>
      <c r="O168" s="29" t="n">
        <v>4556.93783</v>
      </c>
      <c r="Q168" s="29" t="n">
        <v>4582.17036</v>
      </c>
      <c r="R168" s="29" t="n">
        <v>4630.18802</v>
      </c>
      <c r="S168" s="29" t="n">
        <v>4606.00441</v>
      </c>
      <c r="V168" s="29" t="n">
        <v>4549.52516</v>
      </c>
      <c r="AB168" s="29" t="n">
        <v>4617.24817</v>
      </c>
      <c r="AC168" s="29" t="n">
        <v>4618.2113</v>
      </c>
      <c r="AD168" s="29" t="n">
        <v>0</v>
      </c>
    </row>
    <row r="169" ht="14.25" customHeight="1" s="28">
      <c r="A169" s="29" t="n">
        <v>1777563001</v>
      </c>
      <c r="B169" s="29" t="inlineStr">
        <is>
          <t>XAUUSD</t>
        </is>
      </c>
      <c r="C169" s="29" t="inlineStr">
        <is>
          <t>M15</t>
        </is>
      </c>
      <c r="D169" s="29" t="n">
        <v>4615.65</v>
      </c>
      <c r="E169" s="29" t="n">
        <v>4717.79398</v>
      </c>
      <c r="F169" s="29" t="n">
        <v>4695.2428</v>
      </c>
      <c r="G169" s="29" t="n">
        <v>4518.59282</v>
      </c>
      <c r="H169" s="29" t="n">
        <v>4596.05595</v>
      </c>
      <c r="I169" s="29" t="n">
        <v>4755.40355</v>
      </c>
      <c r="J169" s="29" t="n">
        <v>4792.76972</v>
      </c>
      <c r="K169" s="29" t="n">
        <v>4769.97694</v>
      </c>
      <c r="L169" s="29" t="n">
        <v>4716.33597</v>
      </c>
      <c r="M169" s="29" t="n">
        <v>4718.85043</v>
      </c>
      <c r="N169" s="29" t="n">
        <v>4531.36057</v>
      </c>
      <c r="O169" s="29" t="n">
        <v>4556.93783</v>
      </c>
      <c r="Q169" s="29" t="n">
        <v>4582.3728</v>
      </c>
      <c r="R169" s="29" t="n">
        <v>4630.39047</v>
      </c>
      <c r="S169" s="29" t="n">
        <v>4606.20685</v>
      </c>
      <c r="V169" s="29" t="n">
        <v>4549.72761</v>
      </c>
      <c r="AB169" s="29" t="n">
        <v>4615.89207</v>
      </c>
      <c r="AC169" s="29" t="n">
        <v>4617.05168</v>
      </c>
      <c r="AD169" s="29" t="n">
        <v>0</v>
      </c>
    </row>
    <row r="170" ht="14.25" customHeight="1" s="28">
      <c r="A170" s="29" t="n">
        <v>1777563901</v>
      </c>
      <c r="B170" s="29" t="inlineStr">
        <is>
          <t>XAUUSD</t>
        </is>
      </c>
      <c r="C170" s="29" t="inlineStr">
        <is>
          <t>M15</t>
        </is>
      </c>
      <c r="D170" s="29" t="n">
        <v>4615.35</v>
      </c>
      <c r="E170" s="29" t="n">
        <v>4717.79398</v>
      </c>
      <c r="F170" s="29" t="n">
        <v>4695.2428</v>
      </c>
      <c r="G170" s="29" t="n">
        <v>4518.59282</v>
      </c>
      <c r="H170" s="29" t="n">
        <v>4596.05595</v>
      </c>
      <c r="I170" s="29" t="n">
        <v>4755.40355</v>
      </c>
      <c r="J170" s="29" t="n">
        <v>4792.76972</v>
      </c>
      <c r="K170" s="29" t="n">
        <v>4769.97694</v>
      </c>
      <c r="L170" s="29" t="n">
        <v>4716.33597</v>
      </c>
      <c r="M170" s="29" t="n">
        <v>4718.85043</v>
      </c>
      <c r="N170" s="29" t="n">
        <v>4531.36057</v>
      </c>
      <c r="O170" s="29" t="n">
        <v>4556.93783</v>
      </c>
      <c r="Q170" s="29" t="n">
        <v>4582.57525</v>
      </c>
      <c r="R170" s="29" t="n">
        <v>4630.59291</v>
      </c>
      <c r="S170" s="29" t="n">
        <v>4606.4093</v>
      </c>
      <c r="V170" s="29" t="n">
        <v>4549.93006</v>
      </c>
      <c r="AB170" s="29" t="n">
        <v>4614.35706</v>
      </c>
      <c r="AC170" s="29" t="n">
        <v>4615.70437</v>
      </c>
      <c r="AD170" s="29" t="n">
        <v>0</v>
      </c>
    </row>
    <row r="171" ht="14.25" customHeight="1" s="28">
      <c r="A171" s="29" t="n">
        <v>1777564801</v>
      </c>
      <c r="B171" s="29" t="inlineStr">
        <is>
          <t>XAUUSD</t>
        </is>
      </c>
      <c r="C171" s="29" t="inlineStr">
        <is>
          <t>M15</t>
        </is>
      </c>
      <c r="D171" s="29" t="n">
        <v>4611.63</v>
      </c>
      <c r="E171" s="29" t="n">
        <v>4717.79398</v>
      </c>
      <c r="F171" s="29" t="n">
        <v>4695.2428</v>
      </c>
      <c r="G171" s="29" t="n">
        <v>4518.59282</v>
      </c>
      <c r="H171" s="29" t="n">
        <v>4596.05595</v>
      </c>
      <c r="I171" s="29" t="n">
        <v>4755.40355</v>
      </c>
      <c r="J171" s="29" t="n">
        <v>4792.76972</v>
      </c>
      <c r="K171" s="29" t="n">
        <v>4769.97694</v>
      </c>
      <c r="L171" s="29" t="n">
        <v>4716.33597</v>
      </c>
      <c r="M171" s="29" t="n">
        <v>4718.85043</v>
      </c>
      <c r="N171" s="29" t="n">
        <v>4531.36057</v>
      </c>
      <c r="O171" s="29" t="n">
        <v>4556.93783</v>
      </c>
      <c r="Q171" s="29" t="n">
        <v>4582.77769</v>
      </c>
      <c r="R171" s="29" t="n">
        <v>4630.79536</v>
      </c>
      <c r="S171" s="29" t="n">
        <v>4606.61175</v>
      </c>
      <c r="V171" s="29" t="n">
        <v>4550.1325</v>
      </c>
      <c r="AB171" s="29" t="n">
        <v>4612.79631</v>
      </c>
      <c r="AC171" s="29" t="n">
        <v>4614.25034</v>
      </c>
      <c r="AD171" s="29" t="n">
        <v>0</v>
      </c>
    </row>
    <row r="172" ht="14.25" customHeight="1" s="28">
      <c r="A172" s="29" t="n">
        <v>1777565701</v>
      </c>
      <c r="B172" s="29" t="inlineStr">
        <is>
          <t>XAUUSD</t>
        </is>
      </c>
      <c r="C172" s="29" t="inlineStr">
        <is>
          <t>M15</t>
        </is>
      </c>
      <c r="D172" s="29" t="n">
        <v>4608.08</v>
      </c>
      <c r="E172" s="29" t="n">
        <v>4717.79398</v>
      </c>
      <c r="F172" s="29" t="n">
        <v>4695.2428</v>
      </c>
      <c r="G172" s="29" t="n">
        <v>4518.59282</v>
      </c>
      <c r="H172" s="29" t="n">
        <v>4596.05595</v>
      </c>
      <c r="I172" s="29" t="n">
        <v>4755.40355</v>
      </c>
      <c r="J172" s="29" t="n">
        <v>4792.76972</v>
      </c>
      <c r="K172" s="29" t="n">
        <v>4769.97694</v>
      </c>
      <c r="L172" s="29" t="n">
        <v>4716.33597</v>
      </c>
      <c r="M172" s="29" t="n">
        <v>4718.85043</v>
      </c>
      <c r="N172" s="29" t="n">
        <v>4531.36057</v>
      </c>
      <c r="O172" s="29" t="n">
        <v>4556.93783</v>
      </c>
      <c r="Q172" s="29" t="n">
        <v>4582.98014</v>
      </c>
      <c r="R172" s="29" t="n">
        <v>4630.9978</v>
      </c>
      <c r="S172" s="29" t="n">
        <v>4606.81419</v>
      </c>
      <c r="V172" s="29" t="n">
        <v>4550.33495</v>
      </c>
      <c r="AB172" s="29" t="n">
        <v>4611.55884</v>
      </c>
      <c r="AC172" s="29" t="n">
        <v>4612.90459</v>
      </c>
      <c r="AD172" s="29" t="n">
        <v>0</v>
      </c>
    </row>
    <row r="173" ht="14.25" customHeight="1" s="28">
      <c r="A173" s="29" t="n">
        <v>1777566601</v>
      </c>
      <c r="B173" s="29" t="inlineStr">
        <is>
          <t>XAUUSD</t>
        </is>
      </c>
      <c r="C173" s="29" t="inlineStr">
        <is>
          <t>M15</t>
        </is>
      </c>
      <c r="D173" s="29" t="n">
        <v>4609.12</v>
      </c>
      <c r="E173" s="29" t="n">
        <v>4717.79398</v>
      </c>
      <c r="F173" s="29" t="n">
        <v>4695.2428</v>
      </c>
      <c r="G173" s="29" t="n">
        <v>4518.59282</v>
      </c>
      <c r="H173" s="29" t="n">
        <v>4596.05595</v>
      </c>
      <c r="I173" s="29" t="n">
        <v>4755.40355</v>
      </c>
      <c r="J173" s="29" t="n">
        <v>4792.76972</v>
      </c>
      <c r="K173" s="29" t="n">
        <v>4769.97694</v>
      </c>
      <c r="L173" s="29" t="n">
        <v>4716.33597</v>
      </c>
      <c r="M173" s="29" t="n">
        <v>4718.85043</v>
      </c>
      <c r="N173" s="29" t="n">
        <v>4531.36057</v>
      </c>
      <c r="O173" s="29" t="n">
        <v>4556.93783</v>
      </c>
      <c r="Q173" s="29" t="n">
        <v>4583.18259</v>
      </c>
      <c r="R173" s="29" t="n">
        <v>4631.20025</v>
      </c>
      <c r="S173" s="29" t="n">
        <v>4607.01664</v>
      </c>
      <c r="V173" s="29" t="n">
        <v>4550.53739</v>
      </c>
      <c r="AB173" s="29" t="n">
        <v>4610.99644</v>
      </c>
      <c r="AC173" s="29" t="n">
        <v>4611.95051</v>
      </c>
      <c r="AD173" s="29" t="n">
        <v>0</v>
      </c>
    </row>
    <row r="174" ht="14.25" customHeight="1" s="28">
      <c r="A174" s="29" t="n">
        <v>1777567501</v>
      </c>
      <c r="B174" s="29" t="inlineStr">
        <is>
          <t>XAUUSD</t>
        </is>
      </c>
      <c r="C174" s="29" t="inlineStr">
        <is>
          <t>M15</t>
        </is>
      </c>
      <c r="D174" s="29" t="n">
        <v>4607.62</v>
      </c>
      <c r="E174" s="29" t="n">
        <v>4717.79398</v>
      </c>
      <c r="F174" s="29" t="n">
        <v>4695.2428</v>
      </c>
      <c r="G174" s="29" t="n">
        <v>4518.59282</v>
      </c>
      <c r="H174" s="29" t="n">
        <v>4596.05595</v>
      </c>
      <c r="I174" s="29" t="n">
        <v>4755.40355</v>
      </c>
      <c r="J174" s="29" t="n">
        <v>4792.76972</v>
      </c>
      <c r="K174" s="29" t="n">
        <v>4769.97694</v>
      </c>
      <c r="L174" s="29" t="n">
        <v>4716.33597</v>
      </c>
      <c r="M174" s="29" t="n">
        <v>4718.85043</v>
      </c>
      <c r="N174" s="29" t="n">
        <v>4531.36057</v>
      </c>
      <c r="O174" s="29" t="n">
        <v>4556.93783</v>
      </c>
      <c r="Q174" s="29" t="n">
        <v>4583.38503</v>
      </c>
      <c r="R174" s="29" t="n">
        <v>4631.4027</v>
      </c>
      <c r="S174" s="29" t="n">
        <v>4607.21908</v>
      </c>
      <c r="V174" s="29" t="n">
        <v>4550.73984</v>
      </c>
      <c r="AA174" s="29" t="n">
        <v>4605.56</v>
      </c>
      <c r="AB174" s="29" t="n">
        <v>4611.26795</v>
      </c>
      <c r="AC174" s="29" t="n">
        <v>4611.60923</v>
      </c>
      <c r="AD174" s="29" t="n">
        <v>0</v>
      </c>
    </row>
    <row r="175" ht="14.25" customHeight="1" s="28">
      <c r="A175" s="29" t="n">
        <v>1777568401</v>
      </c>
      <c r="B175" s="29" t="inlineStr">
        <is>
          <t>XAUUSD</t>
        </is>
      </c>
      <c r="C175" s="29" t="inlineStr">
        <is>
          <t>M15</t>
        </is>
      </c>
      <c r="D175" s="29" t="n">
        <v>4615.95</v>
      </c>
      <c r="E175" s="29" t="n">
        <v>4717.79398</v>
      </c>
      <c r="F175" s="29" t="n">
        <v>4695.2428</v>
      </c>
      <c r="G175" s="29" t="n">
        <v>4518.59282</v>
      </c>
      <c r="H175" s="29" t="n">
        <v>4596.05595</v>
      </c>
      <c r="I175" s="29" t="n">
        <v>4755.40355</v>
      </c>
      <c r="J175" s="29" t="n">
        <v>4792.76972</v>
      </c>
      <c r="K175" s="29" t="n">
        <v>4769.97694</v>
      </c>
      <c r="L175" s="29" t="n">
        <v>4716.33597</v>
      </c>
      <c r="M175" s="29" t="n">
        <v>4718.85043</v>
      </c>
      <c r="N175" s="29" t="n">
        <v>4531.36057</v>
      </c>
      <c r="O175" s="29" t="n">
        <v>4556.93783</v>
      </c>
      <c r="Q175" s="29" t="n">
        <v>4583.58748</v>
      </c>
      <c r="R175" s="29" t="n">
        <v>4631.60514</v>
      </c>
      <c r="S175" s="29" t="n">
        <v>4607.42153</v>
      </c>
      <c r="V175" s="29" t="n">
        <v>4550.94228</v>
      </c>
      <c r="AB175" s="29" t="n">
        <v>4612.47026</v>
      </c>
      <c r="AC175" s="29" t="n">
        <v>4612.03975</v>
      </c>
      <c r="AD175" s="29" t="n">
        <v>1</v>
      </c>
    </row>
    <row r="176" ht="14.25" customHeight="1" s="28">
      <c r="A176" s="29" t="n">
        <v>1777569301</v>
      </c>
      <c r="B176" s="29" t="inlineStr">
        <is>
          <t>XAUUSD</t>
        </is>
      </c>
      <c r="C176" s="29" t="inlineStr">
        <is>
          <t>M15</t>
        </is>
      </c>
      <c r="D176" s="29" t="n">
        <v>4618</v>
      </c>
      <c r="E176" s="29" t="n">
        <v>4717.79398</v>
      </c>
      <c r="F176" s="29" t="n">
        <v>4695.2428</v>
      </c>
      <c r="G176" s="29" t="n">
        <v>4518.59282</v>
      </c>
      <c r="H176" s="29" t="n">
        <v>4596.05595</v>
      </c>
      <c r="I176" s="29" t="n">
        <v>4755.40355</v>
      </c>
      <c r="J176" s="29" t="n">
        <v>4792.76972</v>
      </c>
      <c r="K176" s="29" t="n">
        <v>4769.97694</v>
      </c>
      <c r="L176" s="29" t="n">
        <v>4716.33597</v>
      </c>
      <c r="M176" s="29" t="n">
        <v>4718.85043</v>
      </c>
      <c r="N176" s="29" t="n">
        <v>4531.36057</v>
      </c>
      <c r="O176" s="29" t="n">
        <v>4556.93783</v>
      </c>
      <c r="Q176" s="29" t="n">
        <v>4583.78992</v>
      </c>
      <c r="R176" s="29" t="n">
        <v>4631.80759</v>
      </c>
      <c r="S176" s="29" t="n">
        <v>4607.62397</v>
      </c>
      <c r="V176" s="29" t="n">
        <v>4551.14473</v>
      </c>
      <c r="AB176" s="29" t="n">
        <v>4614.29549</v>
      </c>
      <c r="AC176" s="29" t="n">
        <v>4613.16762</v>
      </c>
      <c r="AD176" s="29" t="n">
        <v>0</v>
      </c>
    </row>
    <row r="177" ht="14.25" customHeight="1" s="28">
      <c r="A177" s="29" t="n">
        <v>1777570201</v>
      </c>
      <c r="B177" s="29" t="inlineStr">
        <is>
          <t>XAUUSD</t>
        </is>
      </c>
      <c r="C177" s="29" t="inlineStr">
        <is>
          <t>M15</t>
        </is>
      </c>
      <c r="D177" s="29" t="n">
        <v>4617.86</v>
      </c>
      <c r="E177" s="29" t="n">
        <v>4717.79398</v>
      </c>
      <c r="F177" s="29" t="n">
        <v>4695.2428</v>
      </c>
      <c r="G177" s="29" t="n">
        <v>4518.59282</v>
      </c>
      <c r="H177" s="29" t="n">
        <v>4596.05595</v>
      </c>
      <c r="I177" s="29" t="n">
        <v>4755.40355</v>
      </c>
      <c r="J177" s="29" t="n">
        <v>4792.76972</v>
      </c>
      <c r="K177" s="29" t="n">
        <v>4769.97694</v>
      </c>
      <c r="L177" s="29" t="n">
        <v>4716.33597</v>
      </c>
      <c r="M177" s="29" t="n">
        <v>4718.85043</v>
      </c>
      <c r="N177" s="29" t="n">
        <v>4531.36057</v>
      </c>
      <c r="O177" s="29" t="n">
        <v>4556.93783</v>
      </c>
      <c r="Q177" s="29" t="n">
        <v>4583.99237</v>
      </c>
      <c r="R177" s="29" t="n">
        <v>4632.01003</v>
      </c>
      <c r="S177" s="29" t="n">
        <v>4607.82642</v>
      </c>
      <c r="V177" s="29" t="n">
        <v>4551.34718</v>
      </c>
      <c r="AB177" s="29" t="n">
        <v>4616.46912</v>
      </c>
      <c r="AC177" s="29" t="n">
        <v>4614.81837</v>
      </c>
      <c r="AD177" s="29" t="n">
        <v>0</v>
      </c>
    </row>
    <row r="178" ht="14.25" customHeight="1" s="28">
      <c r="A178" s="29" t="n">
        <v>1777571101</v>
      </c>
      <c r="B178" s="29" t="inlineStr">
        <is>
          <t>XAUUSD</t>
        </is>
      </c>
      <c r="C178" s="29" t="inlineStr">
        <is>
          <t>M15</t>
        </is>
      </c>
      <c r="D178" s="29" t="n">
        <v>4616.86</v>
      </c>
      <c r="E178" s="29" t="n">
        <v>4717.79398</v>
      </c>
      <c r="F178" s="29" t="n">
        <v>4695.2428</v>
      </c>
      <c r="G178" s="29" t="n">
        <v>4518.59282</v>
      </c>
      <c r="H178" s="29" t="n">
        <v>4596.05595</v>
      </c>
      <c r="I178" s="29" t="n">
        <v>4755.40355</v>
      </c>
      <c r="J178" s="29" t="n">
        <v>4792.76972</v>
      </c>
      <c r="K178" s="29" t="n">
        <v>4769.97694</v>
      </c>
      <c r="L178" s="29" t="n">
        <v>4716.33597</v>
      </c>
      <c r="M178" s="29" t="n">
        <v>4718.85043</v>
      </c>
      <c r="N178" s="29" t="n">
        <v>4531.36057</v>
      </c>
      <c r="O178" s="29" t="n">
        <v>4556.93783</v>
      </c>
      <c r="Q178" s="29" t="n">
        <v>4584.19481</v>
      </c>
      <c r="R178" s="29" t="n">
        <v>4632.21248</v>
      </c>
      <c r="S178" s="29" t="n">
        <v>4608.02887</v>
      </c>
      <c r="V178" s="29" t="n">
        <v>4551.54962</v>
      </c>
      <c r="AB178" s="29" t="n">
        <v>4618.69063</v>
      </c>
      <c r="AC178" s="29" t="n">
        <v>4616.7545</v>
      </c>
      <c r="AD178" s="29" t="n">
        <v>0</v>
      </c>
    </row>
    <row r="179" ht="14.25" customHeight="1" s="28">
      <c r="A179" s="29" t="n">
        <v>1777572001</v>
      </c>
      <c r="B179" s="29" t="inlineStr">
        <is>
          <t>XAUUSD</t>
        </is>
      </c>
      <c r="C179" s="29" t="inlineStr">
        <is>
          <t>M15</t>
        </is>
      </c>
      <c r="D179" s="29" t="n">
        <v>4620.57</v>
      </c>
      <c r="E179" s="29" t="n">
        <v>4717.79398</v>
      </c>
      <c r="F179" s="29" t="n">
        <v>4695.2428</v>
      </c>
      <c r="G179" s="29" t="n">
        <v>4518.59282</v>
      </c>
      <c r="H179" s="29" t="n">
        <v>4596.05595</v>
      </c>
      <c r="I179" s="29" t="n">
        <v>4755.40355</v>
      </c>
      <c r="J179" s="29" t="n">
        <v>4792.76972</v>
      </c>
      <c r="K179" s="29" t="n">
        <v>4769.97694</v>
      </c>
      <c r="L179" s="29" t="n">
        <v>4716.33597</v>
      </c>
      <c r="M179" s="29" t="n">
        <v>4718.85043</v>
      </c>
      <c r="N179" s="29" t="n">
        <v>4531.36057</v>
      </c>
      <c r="O179" s="29" t="n">
        <v>4556.93783</v>
      </c>
      <c r="Q179" s="29" t="n">
        <v>4584.39726</v>
      </c>
      <c r="R179" s="29" t="n">
        <v>4632.41492</v>
      </c>
      <c r="S179" s="29" t="n">
        <v>4608.23131</v>
      </c>
      <c r="V179" s="29" t="n">
        <v>4551.75207</v>
      </c>
      <c r="AB179" s="29" t="n">
        <v>4620.65316</v>
      </c>
      <c r="AC179" s="29" t="n">
        <v>4618.70383</v>
      </c>
      <c r="AD179" s="29" t="n">
        <v>0</v>
      </c>
    </row>
    <row r="180" ht="14.25" customHeight="1" s="28">
      <c r="A180" s="29" t="n">
        <v>1777572901</v>
      </c>
      <c r="B180" s="29" t="inlineStr">
        <is>
          <t>XAUUSD</t>
        </is>
      </c>
      <c r="C180" s="29" t="inlineStr">
        <is>
          <t>M15</t>
        </is>
      </c>
      <c r="D180" s="29" t="n">
        <v>4620.79</v>
      </c>
      <c r="E180" s="29" t="n">
        <v>4717.79398</v>
      </c>
      <c r="F180" s="29" t="n">
        <v>4695.2428</v>
      </c>
      <c r="G180" s="29" t="n">
        <v>4518.59282</v>
      </c>
      <c r="H180" s="29" t="n">
        <v>4596.05595</v>
      </c>
      <c r="I180" s="29" t="n">
        <v>4755.40355</v>
      </c>
      <c r="J180" s="29" t="n">
        <v>4792.76972</v>
      </c>
      <c r="K180" s="29" t="n">
        <v>4769.97694</v>
      </c>
      <c r="L180" s="29" t="n">
        <v>4716.33597</v>
      </c>
      <c r="M180" s="29" t="n">
        <v>4718.85043</v>
      </c>
      <c r="N180" s="29" t="n">
        <v>4531.36057</v>
      </c>
      <c r="O180" s="29" t="n">
        <v>4556.93783</v>
      </c>
      <c r="Q180" s="29" t="n">
        <v>4584.5997</v>
      </c>
      <c r="R180" s="29" t="n">
        <v>4632.61737</v>
      </c>
      <c r="S180" s="29" t="n">
        <v>4608.43376</v>
      </c>
      <c r="V180" s="29" t="n">
        <v>4551.95451</v>
      </c>
      <c r="AB180" s="29" t="n">
        <v>4622.00271</v>
      </c>
      <c r="AC180" s="29" t="n">
        <v>4620.35327</v>
      </c>
      <c r="AD180" s="29" t="n">
        <v>0</v>
      </c>
    </row>
    <row r="181" ht="14.25" customHeight="1" s="28">
      <c r="A181" s="29" t="n">
        <v>1777573801</v>
      </c>
      <c r="B181" s="29" t="inlineStr">
        <is>
          <t>XAUUSD</t>
        </is>
      </c>
      <c r="C181" s="29" t="inlineStr">
        <is>
          <t>M15</t>
        </is>
      </c>
      <c r="D181" s="29" t="n">
        <v>4620.7</v>
      </c>
      <c r="E181" s="29" t="n">
        <v>4717.79398</v>
      </c>
      <c r="F181" s="29" t="n">
        <v>4695.2428</v>
      </c>
      <c r="G181" s="29" t="n">
        <v>4518.59282</v>
      </c>
      <c r="H181" s="29" t="n">
        <v>4596.05595</v>
      </c>
      <c r="I181" s="29" t="n">
        <v>4755.40355</v>
      </c>
      <c r="J181" s="29" t="n">
        <v>4792.76972</v>
      </c>
      <c r="K181" s="29" t="n">
        <v>4769.97694</v>
      </c>
      <c r="L181" s="29" t="n">
        <v>4716.33597</v>
      </c>
      <c r="M181" s="29" t="n">
        <v>4718.85043</v>
      </c>
      <c r="N181" s="29" t="n">
        <v>4531.36057</v>
      </c>
      <c r="O181" s="29" t="n">
        <v>4556.93783</v>
      </c>
      <c r="Q181" s="29" t="n">
        <v>4584.80215</v>
      </c>
      <c r="R181" s="29" t="n">
        <v>4632.81981</v>
      </c>
      <c r="S181" s="29" t="n">
        <v>4608.6362</v>
      </c>
      <c r="V181" s="29" t="n">
        <v>4552.15696</v>
      </c>
      <c r="AB181" s="29" t="n">
        <v>4622.56406</v>
      </c>
      <c r="AC181" s="29" t="n">
        <v>4621.45866</v>
      </c>
      <c r="AD181" s="29" t="n">
        <v>0</v>
      </c>
    </row>
    <row r="182" ht="14.25" customHeight="1" s="28">
      <c r="A182" s="29" t="n">
        <v>1777574701</v>
      </c>
      <c r="B182" s="29" t="inlineStr">
        <is>
          <t>XAUUSD</t>
        </is>
      </c>
      <c r="C182" s="29" t="inlineStr">
        <is>
          <t>M15</t>
        </is>
      </c>
      <c r="D182" s="29" t="n">
        <v>4622.48</v>
      </c>
      <c r="E182" s="29" t="n">
        <v>4717.79398</v>
      </c>
      <c r="F182" s="29" t="n">
        <v>4695.2428</v>
      </c>
      <c r="G182" s="29" t="n">
        <v>4518.59282</v>
      </c>
      <c r="H182" s="29" t="n">
        <v>4596.05595</v>
      </c>
      <c r="I182" s="29" t="n">
        <v>4755.40355</v>
      </c>
      <c r="J182" s="29" t="n">
        <v>4792.76972</v>
      </c>
      <c r="K182" s="29" t="n">
        <v>4769.97694</v>
      </c>
      <c r="L182" s="29" t="n">
        <v>4716.33597</v>
      </c>
      <c r="M182" s="29" t="n">
        <v>4718.85043</v>
      </c>
      <c r="N182" s="29" t="n">
        <v>4531.36057</v>
      </c>
      <c r="O182" s="29" t="n">
        <v>4556.93783</v>
      </c>
      <c r="Q182" s="29" t="n">
        <v>4585.0046</v>
      </c>
      <c r="R182" s="29" t="n">
        <v>4633.02226</v>
      </c>
      <c r="S182" s="29" t="n">
        <v>4608.83865</v>
      </c>
      <c r="V182" s="29" t="n">
        <v>4552.3594</v>
      </c>
      <c r="AB182" s="29" t="n">
        <v>4622.31167</v>
      </c>
      <c r="AC182" s="29" t="n">
        <v>4621.88517</v>
      </c>
      <c r="AD182" s="29" t="n">
        <v>0</v>
      </c>
    </row>
    <row r="183" ht="14.25" customHeight="1" s="28">
      <c r="A183" s="29" t="n">
        <v>1777575601</v>
      </c>
      <c r="B183" s="29" t="inlineStr">
        <is>
          <t>XAUUSD</t>
        </is>
      </c>
      <c r="C183" s="29" t="inlineStr">
        <is>
          <t>M15</t>
        </is>
      </c>
      <c r="D183" s="29" t="n">
        <v>4624.33</v>
      </c>
      <c r="E183" s="29" t="n">
        <v>4717.79398</v>
      </c>
      <c r="F183" s="29" t="n">
        <v>4695.2428</v>
      </c>
      <c r="G183" s="29" t="n">
        <v>4518.59282</v>
      </c>
      <c r="H183" s="29" t="n">
        <v>4596.05595</v>
      </c>
      <c r="I183" s="29" t="n">
        <v>4755.40355</v>
      </c>
      <c r="J183" s="29" t="n">
        <v>4792.76972</v>
      </c>
      <c r="K183" s="29" t="n">
        <v>4769.97694</v>
      </c>
      <c r="L183" s="29" t="n">
        <v>4716.33597</v>
      </c>
      <c r="M183" s="29" t="n">
        <v>4718.85043</v>
      </c>
      <c r="N183" s="29" t="n">
        <v>4531.36057</v>
      </c>
      <c r="O183" s="29" t="n">
        <v>4556.93783</v>
      </c>
      <c r="Q183" s="29" t="n">
        <v>4585.20704</v>
      </c>
      <c r="R183" s="29" t="n">
        <v>4633.22471</v>
      </c>
      <c r="S183" s="29" t="n">
        <v>4609.04109</v>
      </c>
      <c r="V183" s="29" t="n">
        <v>4552.56185</v>
      </c>
      <c r="AB183" s="29" t="n">
        <v>4621.3179</v>
      </c>
      <c r="AC183" s="29" t="n">
        <v>4621.60153</v>
      </c>
      <c r="AD183" s="29" t="n">
        <v>1</v>
      </c>
    </row>
    <row r="184" ht="14.25" customHeight="1" s="28">
      <c r="A184" s="29" t="n">
        <v>1777576501</v>
      </c>
      <c r="B184" s="29" t="inlineStr">
        <is>
          <t>XAUUSD</t>
        </is>
      </c>
      <c r="C184" s="29" t="inlineStr">
        <is>
          <t>M15</t>
        </is>
      </c>
      <c r="D184" s="29" t="n">
        <v>4617.77</v>
      </c>
      <c r="E184" s="29" t="n">
        <v>4717.79398</v>
      </c>
      <c r="F184" s="29" t="n">
        <v>4695.2428</v>
      </c>
      <c r="G184" s="29" t="n">
        <v>4518.59282</v>
      </c>
      <c r="H184" s="29" t="n">
        <v>4596.05595</v>
      </c>
      <c r="I184" s="29" t="n">
        <v>4755.40355</v>
      </c>
      <c r="J184" s="29" t="n">
        <v>4792.76972</v>
      </c>
      <c r="K184" s="29" t="n">
        <v>4769.97694</v>
      </c>
      <c r="L184" s="29" t="n">
        <v>4716.33597</v>
      </c>
      <c r="M184" s="29" t="n">
        <v>4718.85043</v>
      </c>
      <c r="N184" s="29" t="n">
        <v>4531.36057</v>
      </c>
      <c r="O184" s="29" t="n">
        <v>4556.93783</v>
      </c>
      <c r="Q184" s="29" t="n">
        <v>4585.40949</v>
      </c>
      <c r="R184" s="29" t="n">
        <v>4633.42715</v>
      </c>
      <c r="S184" s="29" t="n">
        <v>4609.24354</v>
      </c>
      <c r="V184" s="29" t="n">
        <v>4552.7643</v>
      </c>
      <c r="AB184" s="29" t="n">
        <v>4619.84251</v>
      </c>
      <c r="AC184" s="29" t="n">
        <v>4620.72202</v>
      </c>
      <c r="AD184" s="29" t="n">
        <v>0</v>
      </c>
    </row>
    <row r="185" ht="14.25" customHeight="1" s="28">
      <c r="A185" s="29" t="n">
        <v>1777577401</v>
      </c>
      <c r="B185" s="29" t="inlineStr">
        <is>
          <t>XAUUSD</t>
        </is>
      </c>
      <c r="C185" s="29" t="inlineStr">
        <is>
          <t>M15</t>
        </is>
      </c>
      <c r="D185" s="29" t="n">
        <v>4622.49</v>
      </c>
      <c r="E185" s="29" t="n">
        <v>4717.79398</v>
      </c>
      <c r="F185" s="29" t="n">
        <v>4695.2428</v>
      </c>
      <c r="G185" s="29" t="n">
        <v>4518.59282</v>
      </c>
      <c r="H185" s="29" t="n">
        <v>4596.05595</v>
      </c>
      <c r="I185" s="29" t="n">
        <v>4755.40355</v>
      </c>
      <c r="J185" s="29" t="n">
        <v>4792.76972</v>
      </c>
      <c r="K185" s="29" t="n">
        <v>4769.97694</v>
      </c>
      <c r="L185" s="29" t="n">
        <v>4716.33597</v>
      </c>
      <c r="M185" s="29" t="n">
        <v>4718.85043</v>
      </c>
      <c r="N185" s="29" t="n">
        <v>4531.36057</v>
      </c>
      <c r="O185" s="29" t="n">
        <v>4556.93783</v>
      </c>
      <c r="Q185" s="29" t="n">
        <v>4585.61193</v>
      </c>
      <c r="R185" s="29" t="n">
        <v>4633.6296</v>
      </c>
      <c r="S185" s="29" t="n">
        <v>4609.44599</v>
      </c>
      <c r="V185" s="29" t="n">
        <v>4552.96674</v>
      </c>
      <c r="AB185" s="29" t="n">
        <v>4618.46841</v>
      </c>
      <c r="AC185" s="29" t="n">
        <v>4619.59522</v>
      </c>
      <c r="AD185" s="29" t="n">
        <v>0</v>
      </c>
    </row>
    <row r="186" ht="14.25" customHeight="1" s="28">
      <c r="A186" s="29" t="n">
        <v>1777578301</v>
      </c>
      <c r="B186" s="29" t="inlineStr">
        <is>
          <t>XAUUSD</t>
        </is>
      </c>
      <c r="C186" s="29" t="inlineStr">
        <is>
          <t>M15</t>
        </is>
      </c>
      <c r="D186" s="29" t="n">
        <v>4617.07</v>
      </c>
      <c r="E186" s="29" t="n">
        <v>4717.79398</v>
      </c>
      <c r="F186" s="29" t="n">
        <v>4695.2428</v>
      </c>
      <c r="G186" s="29" t="n">
        <v>4518.59282</v>
      </c>
      <c r="H186" s="29" t="n">
        <v>4596.05595</v>
      </c>
      <c r="I186" s="29" t="n">
        <v>4755.40355</v>
      </c>
      <c r="J186" s="29" t="n">
        <v>4792.76972</v>
      </c>
      <c r="K186" s="29" t="n">
        <v>4769.97694</v>
      </c>
      <c r="L186" s="29" t="n">
        <v>4716.33597</v>
      </c>
      <c r="M186" s="29" t="n">
        <v>4718.85043</v>
      </c>
      <c r="N186" s="29" t="n">
        <v>4531.36057</v>
      </c>
      <c r="O186" s="29" t="n">
        <v>4556.93783</v>
      </c>
      <c r="Q186" s="29" t="n">
        <v>4585.81438</v>
      </c>
      <c r="R186" s="29" t="n">
        <v>4633.83204</v>
      </c>
      <c r="S186" s="29" t="n">
        <v>4609.64843</v>
      </c>
      <c r="V186" s="29" t="n">
        <v>4553.16919</v>
      </c>
      <c r="AB186" s="29" t="n">
        <v>4617.48319</v>
      </c>
      <c r="AC186" s="29" t="n">
        <v>4618.5392</v>
      </c>
      <c r="AD186" s="29" t="n">
        <v>0</v>
      </c>
    </row>
    <row r="187" ht="14.25" customHeight="1" s="28">
      <c r="A187" s="29" t="n">
        <v>1777579201</v>
      </c>
      <c r="B187" s="29" t="inlineStr">
        <is>
          <t>XAUUSD</t>
        </is>
      </c>
      <c r="C187" s="29" t="inlineStr">
        <is>
          <t>M15</t>
        </is>
      </c>
      <c r="D187" s="29" t="n">
        <v>4616.16</v>
      </c>
      <c r="E187" s="29" t="n">
        <v>4717.79398</v>
      </c>
      <c r="F187" s="29" t="n">
        <v>4695.2428</v>
      </c>
      <c r="G187" s="29" t="n">
        <v>4518.59282</v>
      </c>
      <c r="H187" s="29" t="n">
        <v>4596.05595</v>
      </c>
      <c r="I187" s="29" t="n">
        <v>4755.40355</v>
      </c>
      <c r="J187" s="29" t="n">
        <v>4792.76972</v>
      </c>
      <c r="K187" s="29" t="n">
        <v>4769.97694</v>
      </c>
      <c r="L187" s="29" t="n">
        <v>4716.33597</v>
      </c>
      <c r="M187" s="29" t="n">
        <v>4718.85043</v>
      </c>
      <c r="N187" s="29" t="n">
        <v>4531.36057</v>
      </c>
      <c r="O187" s="29" t="n">
        <v>4556.93783</v>
      </c>
      <c r="Q187" s="29" t="n">
        <v>4586.01682</v>
      </c>
      <c r="R187" s="29" t="n">
        <v>4634.03449</v>
      </c>
      <c r="S187" s="29" t="n">
        <v>4609.85088</v>
      </c>
      <c r="V187" s="29" t="n">
        <v>4553.37163</v>
      </c>
      <c r="AB187" s="29" t="n">
        <v>4617.39455</v>
      </c>
      <c r="AC187" s="29" t="n">
        <v>4617.96688</v>
      </c>
      <c r="AD187" s="29" t="n">
        <v>0</v>
      </c>
    </row>
    <row r="188" ht="14.25" customHeight="1" s="28">
      <c r="A188" s="29" t="n">
        <v>1777580101</v>
      </c>
      <c r="B188" s="29" t="inlineStr">
        <is>
          <t>XAUUSD</t>
        </is>
      </c>
      <c r="C188" s="29" t="inlineStr">
        <is>
          <t>M15</t>
        </is>
      </c>
      <c r="D188" s="29" t="n">
        <v>4616.72</v>
      </c>
      <c r="E188" s="29" t="n">
        <v>4717.79398</v>
      </c>
      <c r="F188" s="29" t="n">
        <v>4695.2428</v>
      </c>
      <c r="G188" s="29" t="n">
        <v>4518.59282</v>
      </c>
      <c r="H188" s="29" t="n">
        <v>4596.05595</v>
      </c>
      <c r="I188" s="29" t="n">
        <v>4755.40355</v>
      </c>
      <c r="J188" s="29" t="n">
        <v>4792.76972</v>
      </c>
      <c r="K188" s="29" t="n">
        <v>4769.97694</v>
      </c>
      <c r="L188" s="29" t="n">
        <v>4716.33597</v>
      </c>
      <c r="M188" s="29" t="n">
        <v>4718.85043</v>
      </c>
      <c r="N188" s="29" t="n">
        <v>4531.36057</v>
      </c>
      <c r="O188" s="29" t="n">
        <v>4556.93783</v>
      </c>
      <c r="Q188" s="29" t="n">
        <v>4586.21927</v>
      </c>
      <c r="R188" s="29" t="n">
        <v>4634.23693</v>
      </c>
      <c r="S188" s="29" t="n">
        <v>4610.05332</v>
      </c>
      <c r="V188" s="29" t="n">
        <v>4553.57408</v>
      </c>
      <c r="AB188" s="29" t="n">
        <v>4618.42066</v>
      </c>
      <c r="AC188" s="29" t="n">
        <v>4618.19377</v>
      </c>
      <c r="AD188" s="29" t="n">
        <v>1</v>
      </c>
    </row>
    <row r="189" ht="14.25" customHeight="1" s="28">
      <c r="A189" s="29" t="n">
        <v>1777581001</v>
      </c>
      <c r="B189" s="29" t="inlineStr">
        <is>
          <t>XAUUSD</t>
        </is>
      </c>
      <c r="C189" s="29" t="inlineStr">
        <is>
          <t>M15</t>
        </is>
      </c>
      <c r="D189" s="29" t="n">
        <v>4617.33</v>
      </c>
      <c r="E189" s="29" t="n">
        <v>4717.79398</v>
      </c>
      <c r="F189" s="29" t="n">
        <v>4695.2428</v>
      </c>
      <c r="G189" s="29" t="n">
        <v>4518.59282</v>
      </c>
      <c r="H189" s="29" t="n">
        <v>4596.05595</v>
      </c>
      <c r="I189" s="29" t="n">
        <v>4755.40355</v>
      </c>
      <c r="J189" s="29" t="n">
        <v>4792.76972</v>
      </c>
      <c r="K189" s="29" t="n">
        <v>4769.97694</v>
      </c>
      <c r="L189" s="29" t="n">
        <v>4716.33597</v>
      </c>
      <c r="M189" s="29" t="n">
        <v>4718.85043</v>
      </c>
      <c r="N189" s="29" t="n">
        <v>4531.36057</v>
      </c>
      <c r="O189" s="29" t="n">
        <v>4556.93783</v>
      </c>
      <c r="Q189" s="29" t="n">
        <v>4586.42172</v>
      </c>
      <c r="R189" s="29" t="n">
        <v>4634.43938</v>
      </c>
      <c r="S189" s="29" t="n">
        <v>4610.25577</v>
      </c>
      <c r="V189" s="29" t="n">
        <v>4553.77652</v>
      </c>
      <c r="AB189" s="29" t="n">
        <v>4620.48777</v>
      </c>
      <c r="AC189" s="29" t="n">
        <v>4619.34077</v>
      </c>
      <c r="AD189" s="29" t="n">
        <v>0</v>
      </c>
    </row>
    <row r="190" ht="14.25" customHeight="1" s="28">
      <c r="A190" s="29" t="n">
        <v>1777581901</v>
      </c>
      <c r="B190" s="29" t="inlineStr">
        <is>
          <t>XAUUSD</t>
        </is>
      </c>
      <c r="C190" s="29" t="inlineStr">
        <is>
          <t>M15</t>
        </is>
      </c>
      <c r="D190" s="29" t="n">
        <v>4621.81</v>
      </c>
      <c r="E190" s="29" t="n">
        <v>4717.79398</v>
      </c>
      <c r="F190" s="29" t="n">
        <v>4695.2428</v>
      </c>
      <c r="G190" s="29" t="n">
        <v>4518.59282</v>
      </c>
      <c r="H190" s="29" t="n">
        <v>4596.05595</v>
      </c>
      <c r="I190" s="29" t="n">
        <v>4755.40355</v>
      </c>
      <c r="J190" s="29" t="n">
        <v>4792.76972</v>
      </c>
      <c r="K190" s="29" t="n">
        <v>4769.97694</v>
      </c>
      <c r="L190" s="29" t="n">
        <v>4716.33597</v>
      </c>
      <c r="M190" s="29" t="n">
        <v>4718.85043</v>
      </c>
      <c r="N190" s="29" t="n">
        <v>4531.36057</v>
      </c>
      <c r="O190" s="29" t="n">
        <v>4556.93783</v>
      </c>
      <c r="Q190" s="29" t="n">
        <v>4586.62416</v>
      </c>
      <c r="R190" s="29" t="n">
        <v>4634.64183</v>
      </c>
      <c r="S190" s="29" t="n">
        <v>4610.45821</v>
      </c>
      <c r="V190" s="29" t="n">
        <v>4553.97897</v>
      </c>
      <c r="AB190" s="29" t="n">
        <v>4623.32065</v>
      </c>
      <c r="AC190" s="29" t="n">
        <v>4621.33071</v>
      </c>
      <c r="AD190" s="29" t="n">
        <v>0</v>
      </c>
    </row>
    <row r="191" ht="14.25" customHeight="1" s="28">
      <c r="A191" s="29" t="n">
        <v>1777586401</v>
      </c>
      <c r="B191" s="29" t="inlineStr">
        <is>
          <t>XAUUSD</t>
        </is>
      </c>
      <c r="C191" s="29" t="inlineStr">
        <is>
          <t>M15</t>
        </is>
      </c>
      <c r="D191" s="29" t="n">
        <v>4631.38</v>
      </c>
      <c r="E191" s="29" t="n">
        <v>4717.79398</v>
      </c>
      <c r="F191" s="29" t="n">
        <v>4695.2428</v>
      </c>
      <c r="G191" s="29" t="n">
        <v>4518.59282</v>
      </c>
      <c r="H191" s="29" t="n">
        <v>4596.05595</v>
      </c>
      <c r="I191" s="29" t="n">
        <v>4755.40355</v>
      </c>
      <c r="J191" s="29" t="n">
        <v>4792.76972</v>
      </c>
      <c r="K191" s="29" t="n">
        <v>4769.97694</v>
      </c>
      <c r="L191" s="29" t="n">
        <v>4716.33597</v>
      </c>
      <c r="M191" s="29" t="n">
        <v>4718.85043</v>
      </c>
      <c r="N191" s="29" t="n">
        <v>4531.36057</v>
      </c>
      <c r="O191" s="29" t="n">
        <v>4556.93783</v>
      </c>
      <c r="Q191" s="29" t="n">
        <v>4586.82661</v>
      </c>
      <c r="R191" s="29" t="n">
        <v>4634.84427</v>
      </c>
      <c r="S191" s="29" t="n">
        <v>4610.66066</v>
      </c>
      <c r="V191" s="29" t="n">
        <v>4554.18142</v>
      </c>
      <c r="AB191" s="29" t="n">
        <v>4626.42762</v>
      </c>
      <c r="AC191" s="29" t="n">
        <v>4623.87917</v>
      </c>
      <c r="AD191" s="29" t="n">
        <v>0</v>
      </c>
    </row>
    <row r="192" ht="14.25" customHeight="1" s="28">
      <c r="A192" s="29" t="n">
        <v>1777587301</v>
      </c>
      <c r="B192" s="29" t="inlineStr">
        <is>
          <t>XAUUSD</t>
        </is>
      </c>
      <c r="C192" s="29" t="inlineStr">
        <is>
          <t>M15</t>
        </is>
      </c>
      <c r="D192" s="29" t="n">
        <v>4631.38</v>
      </c>
      <c r="E192" s="29" t="n">
        <v>4717.79398</v>
      </c>
      <c r="F192" s="29" t="n">
        <v>4695.2428</v>
      </c>
      <c r="G192" s="29" t="n">
        <v>4518.59282</v>
      </c>
      <c r="H192" s="29" t="n">
        <v>4596.05595</v>
      </c>
      <c r="I192" s="29" t="n">
        <v>4755.40355</v>
      </c>
      <c r="J192" s="29" t="n">
        <v>4792.76972</v>
      </c>
      <c r="K192" s="29" t="n">
        <v>4769.97694</v>
      </c>
      <c r="L192" s="29" t="n">
        <v>4716.33597</v>
      </c>
      <c r="M192" s="29" t="n">
        <v>4718.85043</v>
      </c>
      <c r="N192" s="29" t="n">
        <v>4531.36057</v>
      </c>
      <c r="O192" s="29" t="n">
        <v>4556.93783</v>
      </c>
      <c r="Q192" s="29" t="n">
        <v>4587.02905</v>
      </c>
      <c r="R192" s="29" t="n">
        <v>4635.04672</v>
      </c>
      <c r="S192" s="29" t="n">
        <v>4610.86311</v>
      </c>
      <c r="V192" s="29" t="n">
        <v>4554.38386</v>
      </c>
      <c r="AB192" s="29" t="n">
        <v>4629.1488</v>
      </c>
      <c r="AC192" s="29" t="n">
        <v>4626.51398</v>
      </c>
      <c r="AD192" s="29" t="n">
        <v>0</v>
      </c>
    </row>
    <row r="193" ht="14.25" customHeight="1" s="28">
      <c r="A193" s="29" t="n">
        <v>1777588201</v>
      </c>
      <c r="B193" s="29" t="inlineStr">
        <is>
          <t>XAUUSD</t>
        </is>
      </c>
      <c r="C193" s="29" t="inlineStr">
        <is>
          <t>M15</t>
        </is>
      </c>
      <c r="D193" s="29" t="n">
        <v>4631.75</v>
      </c>
      <c r="E193" s="29" t="n">
        <v>4717.79398</v>
      </c>
      <c r="F193" s="29" t="n">
        <v>4695.2428</v>
      </c>
      <c r="G193" s="29" t="n">
        <v>4518.59282</v>
      </c>
      <c r="H193" s="29" t="n">
        <v>4596.05595</v>
      </c>
      <c r="I193" s="29" t="n">
        <v>4755.40355</v>
      </c>
      <c r="J193" s="29" t="n">
        <v>4792.76972</v>
      </c>
      <c r="K193" s="29" t="n">
        <v>4769.97694</v>
      </c>
      <c r="L193" s="29" t="n">
        <v>4716.33597</v>
      </c>
      <c r="M193" s="29" t="n">
        <v>4718.85043</v>
      </c>
      <c r="N193" s="29" t="n">
        <v>4531.36057</v>
      </c>
      <c r="O193" s="29" t="n">
        <v>4556.93783</v>
      </c>
      <c r="Q193" s="29" t="n">
        <v>4587.2315</v>
      </c>
      <c r="R193" s="29" t="n">
        <v>4635.24916</v>
      </c>
      <c r="S193" s="29" t="n">
        <v>4611.06555</v>
      </c>
      <c r="V193" s="29" t="n">
        <v>4554.58631</v>
      </c>
      <c r="AB193" s="29" t="n">
        <v>4631.15873</v>
      </c>
      <c r="AC193" s="29" t="n">
        <v>4628.83636</v>
      </c>
      <c r="AD193" s="29" t="n">
        <v>0</v>
      </c>
    </row>
    <row r="194" ht="14.25" customHeight="1" s="28">
      <c r="A194" s="29" t="n">
        <v>1777589101</v>
      </c>
      <c r="B194" s="29" t="inlineStr">
        <is>
          <t>XAUUSD</t>
        </is>
      </c>
      <c r="C194" s="29" t="inlineStr">
        <is>
          <t>M15</t>
        </is>
      </c>
      <c r="D194" s="29" t="n">
        <v>4630.51</v>
      </c>
      <c r="E194" s="29" t="n">
        <v>4717.79398</v>
      </c>
      <c r="F194" s="29" t="n">
        <v>4695.2428</v>
      </c>
      <c r="G194" s="29" t="n">
        <v>4518.59282</v>
      </c>
      <c r="H194" s="29" t="n">
        <v>4596.05595</v>
      </c>
      <c r="I194" s="29" t="n">
        <v>4755.40355</v>
      </c>
      <c r="J194" s="29" t="n">
        <v>4792.76972</v>
      </c>
      <c r="K194" s="29" t="n">
        <v>4769.97694</v>
      </c>
      <c r="L194" s="29" t="n">
        <v>4716.33597</v>
      </c>
      <c r="M194" s="29" t="n">
        <v>4718.85043</v>
      </c>
      <c r="N194" s="29" t="n">
        <v>4531.36057</v>
      </c>
      <c r="O194" s="29" t="n">
        <v>4556.93783</v>
      </c>
      <c r="Q194" s="29" t="n">
        <v>4587.43394</v>
      </c>
      <c r="R194" s="29" t="n">
        <v>4635.45161</v>
      </c>
      <c r="S194" s="29" t="n">
        <v>4611.268</v>
      </c>
      <c r="V194" s="29" t="n">
        <v>4554.78875</v>
      </c>
      <c r="AB194" s="29" t="n">
        <v>4632.1927</v>
      </c>
      <c r="AC194" s="29" t="n">
        <v>4630.51453</v>
      </c>
      <c r="AD194" s="29" t="n">
        <v>0</v>
      </c>
    </row>
    <row r="195" ht="14.25" customHeight="1" s="28">
      <c r="A195" s="29" t="n">
        <v>1777590001</v>
      </c>
      <c r="B195" s="29" t="inlineStr">
        <is>
          <t>XAUUSD</t>
        </is>
      </c>
      <c r="C195" s="29" t="inlineStr">
        <is>
          <t>M15</t>
        </is>
      </c>
      <c r="D195" s="29" t="n">
        <v>4630.26</v>
      </c>
      <c r="E195" s="29" t="n">
        <v>4717.79398</v>
      </c>
      <c r="F195" s="29" t="n">
        <v>4695.2428</v>
      </c>
      <c r="G195" s="29" t="n">
        <v>4518.59282</v>
      </c>
      <c r="H195" s="29" t="n">
        <v>4596.05595</v>
      </c>
      <c r="I195" s="29" t="n">
        <v>4755.40355</v>
      </c>
      <c r="J195" s="29" t="n">
        <v>4792.76972</v>
      </c>
      <c r="K195" s="29" t="n">
        <v>4769.97694</v>
      </c>
      <c r="L195" s="29" t="n">
        <v>4716.33597</v>
      </c>
      <c r="M195" s="29" t="n">
        <v>4718.85043</v>
      </c>
      <c r="N195" s="29" t="n">
        <v>4531.36057</v>
      </c>
      <c r="O195" s="29" t="n">
        <v>4556.93783</v>
      </c>
      <c r="Q195" s="29" t="n">
        <v>4587.63639</v>
      </c>
      <c r="R195" s="29" t="n">
        <v>4635.65405</v>
      </c>
      <c r="S195" s="29" t="n">
        <v>4611.47044</v>
      </c>
      <c r="V195" s="29" t="n">
        <v>4554.9912</v>
      </c>
      <c r="AB195" s="29" t="n">
        <v>4632.18551</v>
      </c>
      <c r="AC195" s="29" t="n">
        <v>4631.35002</v>
      </c>
      <c r="AD195" s="29" t="n">
        <v>0</v>
      </c>
    </row>
    <row r="196" ht="14.25" customHeight="1" s="28">
      <c r="A196" s="29" t="n">
        <v>1777590901</v>
      </c>
      <c r="B196" s="29" t="inlineStr">
        <is>
          <t>XAUUSD</t>
        </is>
      </c>
      <c r="C196" s="29" t="inlineStr">
        <is>
          <t>M15</t>
        </is>
      </c>
      <c r="D196" s="29" t="n">
        <v>4630.75</v>
      </c>
      <c r="E196" s="29" t="n">
        <v>4717.79398</v>
      </c>
      <c r="F196" s="29" t="n">
        <v>4695.2428</v>
      </c>
      <c r="G196" s="29" t="n">
        <v>4518.59282</v>
      </c>
      <c r="H196" s="29" t="n">
        <v>4596.05595</v>
      </c>
      <c r="I196" s="29" t="n">
        <v>4755.40355</v>
      </c>
      <c r="J196" s="29" t="n">
        <v>4792.76972</v>
      </c>
      <c r="K196" s="29" t="n">
        <v>4769.97694</v>
      </c>
      <c r="L196" s="29" t="n">
        <v>4716.33597</v>
      </c>
      <c r="M196" s="29" t="n">
        <v>4718.85043</v>
      </c>
      <c r="N196" s="29" t="n">
        <v>4531.36057</v>
      </c>
      <c r="O196" s="29" t="n">
        <v>4556.93783</v>
      </c>
      <c r="Q196" s="29" t="n">
        <v>4587.83884</v>
      </c>
      <c r="R196" s="29" t="n">
        <v>4635.8565</v>
      </c>
      <c r="S196" s="29" t="n">
        <v>4611.67289</v>
      </c>
      <c r="V196" s="29" t="n">
        <v>4555.19364</v>
      </c>
      <c r="AB196" s="29" t="n">
        <v>4631.18623</v>
      </c>
      <c r="AC196" s="29" t="n">
        <v>4631.26813</v>
      </c>
      <c r="AD196" s="29" t="n">
        <v>1</v>
      </c>
    </row>
    <row r="197" ht="14.25" customHeight="1" s="28">
      <c r="A197" s="29" t="n">
        <v>1777591801</v>
      </c>
      <c r="B197" s="29" t="inlineStr">
        <is>
          <t>XAUUSD</t>
        </is>
      </c>
      <c r="C197" s="29" t="inlineStr">
        <is>
          <t>M15</t>
        </is>
      </c>
      <c r="D197" s="29" t="n">
        <v>4631.31</v>
      </c>
      <c r="E197" s="29" t="n">
        <v>4717.79398</v>
      </c>
      <c r="F197" s="29" t="n">
        <v>4695.2428</v>
      </c>
      <c r="G197" s="29" t="n">
        <v>4518.59282</v>
      </c>
      <c r="H197" s="29" t="n">
        <v>4596.05595</v>
      </c>
      <c r="I197" s="29" t="n">
        <v>4755.40355</v>
      </c>
      <c r="J197" s="29" t="n">
        <v>4792.76972</v>
      </c>
      <c r="K197" s="29" t="n">
        <v>4769.97694</v>
      </c>
      <c r="L197" s="29" t="n">
        <v>4716.33597</v>
      </c>
      <c r="M197" s="29" t="n">
        <v>4718.85043</v>
      </c>
      <c r="N197" s="29" t="n">
        <v>4531.36057</v>
      </c>
      <c r="O197" s="29" t="n">
        <v>4556.93783</v>
      </c>
      <c r="Q197" s="29" t="n">
        <v>4588.04128</v>
      </c>
      <c r="R197" s="29" t="n">
        <v>4636.05895</v>
      </c>
      <c r="S197" s="29" t="n">
        <v>4611.87533</v>
      </c>
      <c r="V197" s="29" t="n">
        <v>4555.39609</v>
      </c>
      <c r="AB197" s="29" t="n">
        <v>4629.33694</v>
      </c>
      <c r="AC197" s="29" t="n">
        <v>4630.30253</v>
      </c>
      <c r="AD197" s="29" t="n">
        <v>0</v>
      </c>
    </row>
    <row r="198" ht="14.25" customHeight="1" s="28">
      <c r="A198" s="29" t="n">
        <v>1777592701</v>
      </c>
      <c r="B198" s="29" t="inlineStr">
        <is>
          <t>XAUUSD</t>
        </is>
      </c>
      <c r="C198" s="29" t="inlineStr">
        <is>
          <t>M15</t>
        </is>
      </c>
      <c r="D198" s="29" t="n">
        <v>4626.71</v>
      </c>
      <c r="E198" s="29" t="n">
        <v>4717.79398</v>
      </c>
      <c r="F198" s="29" t="n">
        <v>4695.2428</v>
      </c>
      <c r="G198" s="29" t="n">
        <v>4518.59282</v>
      </c>
      <c r="H198" s="29" t="n">
        <v>4596.05595</v>
      </c>
      <c r="I198" s="29" t="n">
        <v>4755.40355</v>
      </c>
      <c r="J198" s="29" t="n">
        <v>4792.76972</v>
      </c>
      <c r="K198" s="29" t="n">
        <v>4769.97694</v>
      </c>
      <c r="L198" s="29" t="n">
        <v>4716.33597</v>
      </c>
      <c r="M198" s="29" t="n">
        <v>4718.85043</v>
      </c>
      <c r="N198" s="29" t="n">
        <v>4531.36057</v>
      </c>
      <c r="O198" s="29" t="n">
        <v>4556.93783</v>
      </c>
      <c r="Q198" s="29" t="n">
        <v>4588.24373</v>
      </c>
      <c r="R198" s="29" t="n">
        <v>4636.26139</v>
      </c>
      <c r="S198" s="29" t="n">
        <v>4612.07778</v>
      </c>
      <c r="V198" s="29" t="n">
        <v>4555.59854</v>
      </c>
      <c r="AB198" s="29" t="n">
        <v>4626.8861</v>
      </c>
      <c r="AC198" s="29" t="n">
        <v>4628.59431</v>
      </c>
      <c r="AD198" s="29" t="n">
        <v>0</v>
      </c>
    </row>
    <row r="199" ht="14.25" customHeight="1" s="28">
      <c r="A199" s="29" t="n">
        <v>1777593601</v>
      </c>
      <c r="B199" s="29" t="inlineStr">
        <is>
          <t>XAUUSD</t>
        </is>
      </c>
      <c r="C199" s="29" t="inlineStr">
        <is>
          <t>M15</t>
        </is>
      </c>
      <c r="D199" s="29" t="n">
        <v>4622.55</v>
      </c>
      <c r="E199" s="29" t="n">
        <v>4717.79398</v>
      </c>
      <c r="F199" s="29" t="n">
        <v>4695.2428</v>
      </c>
      <c r="G199" s="29" t="n">
        <v>4518.59282</v>
      </c>
      <c r="H199" s="29" t="n">
        <v>4596.05595</v>
      </c>
      <c r="I199" s="29" t="n">
        <v>4755.40355</v>
      </c>
      <c r="J199" s="29" t="n">
        <v>4792.76972</v>
      </c>
      <c r="K199" s="29" t="n">
        <v>4769.97694</v>
      </c>
      <c r="L199" s="29" t="n">
        <v>4716.33597</v>
      </c>
      <c r="M199" s="29" t="n">
        <v>4718.85043</v>
      </c>
      <c r="N199" s="29" t="n">
        <v>4531.36057</v>
      </c>
      <c r="O199" s="29" t="n">
        <v>4556.93783</v>
      </c>
      <c r="Q199" s="29" t="n">
        <v>4588.44617</v>
      </c>
      <c r="R199" s="29" t="n">
        <v>4636.46384</v>
      </c>
      <c r="S199" s="29" t="n">
        <v>4612.28023</v>
      </c>
      <c r="V199" s="29" t="n">
        <v>4555.80098</v>
      </c>
      <c r="AB199" s="29" t="n">
        <v>4624.29223</v>
      </c>
      <c r="AC199" s="29" t="n">
        <v>4626.44327</v>
      </c>
      <c r="AD199" s="29" t="n">
        <v>0</v>
      </c>
    </row>
    <row r="200" ht="14.25" customHeight="1" s="28">
      <c r="A200" s="29" t="n">
        <v>1777594501</v>
      </c>
      <c r="B200" s="29" t="inlineStr">
        <is>
          <t>XAUUSD</t>
        </is>
      </c>
      <c r="C200" s="29" t="inlineStr">
        <is>
          <t>M15</t>
        </is>
      </c>
      <c r="D200" s="29" t="n">
        <v>4623.65</v>
      </c>
      <c r="E200" s="29" t="n">
        <v>4717.79398</v>
      </c>
      <c r="F200" s="29" t="n">
        <v>4695.2428</v>
      </c>
      <c r="G200" s="29" t="n">
        <v>4518.59282</v>
      </c>
      <c r="H200" s="29" t="n">
        <v>4596.05595</v>
      </c>
      <c r="I200" s="29" t="n">
        <v>4755.40355</v>
      </c>
      <c r="J200" s="29" t="n">
        <v>4792.76972</v>
      </c>
      <c r="K200" s="29" t="n">
        <v>4769.97694</v>
      </c>
      <c r="L200" s="29" t="n">
        <v>4716.33597</v>
      </c>
      <c r="M200" s="29" t="n">
        <v>4718.85043</v>
      </c>
      <c r="N200" s="29" t="n">
        <v>4531.36057</v>
      </c>
      <c r="O200" s="29" t="n">
        <v>4556.93783</v>
      </c>
      <c r="Q200" s="29" t="n">
        <v>4588.64862</v>
      </c>
      <c r="R200" s="29" t="n">
        <v>4636.66628</v>
      </c>
      <c r="S200" s="29" t="n">
        <v>4612.48267</v>
      </c>
      <c r="V200" s="29" t="n">
        <v>4556.00343</v>
      </c>
      <c r="AB200" s="29" t="n">
        <v>4622.01892</v>
      </c>
      <c r="AC200" s="29" t="n">
        <v>4624.2311</v>
      </c>
      <c r="AD200" s="29" t="n">
        <v>0</v>
      </c>
    </row>
    <row r="201" ht="14.25" customHeight="1" s="28">
      <c r="A201" s="29" t="n">
        <v>1777595401</v>
      </c>
      <c r="B201" s="29" t="inlineStr">
        <is>
          <t>XAUUSD</t>
        </is>
      </c>
      <c r="C201" s="29" t="inlineStr">
        <is>
          <t>M15</t>
        </is>
      </c>
      <c r="D201" s="29" t="n">
        <v>4620.9</v>
      </c>
      <c r="E201" s="29" t="n">
        <v>4717.79398</v>
      </c>
      <c r="F201" s="29" t="n">
        <v>4695.2428</v>
      </c>
      <c r="G201" s="29" t="n">
        <v>4518.59282</v>
      </c>
      <c r="H201" s="29" t="n">
        <v>4596.05595</v>
      </c>
      <c r="I201" s="29" t="n">
        <v>4755.40355</v>
      </c>
      <c r="J201" s="29" t="n">
        <v>4792.76972</v>
      </c>
      <c r="K201" s="29" t="n">
        <v>4769.97694</v>
      </c>
      <c r="L201" s="29" t="n">
        <v>4716.33597</v>
      </c>
      <c r="M201" s="29" t="n">
        <v>4718.85043</v>
      </c>
      <c r="N201" s="29" t="n">
        <v>4531.36057</v>
      </c>
      <c r="O201" s="29" t="n">
        <v>4556.93783</v>
      </c>
      <c r="Q201" s="29" t="n">
        <v>4588.85106</v>
      </c>
      <c r="R201" s="29" t="n">
        <v>4636.86873</v>
      </c>
      <c r="S201" s="29" t="n">
        <v>4612.68512</v>
      </c>
      <c r="V201" s="29" t="n">
        <v>4556.20587</v>
      </c>
      <c r="AB201" s="29" t="n">
        <v>4620.30067</v>
      </c>
      <c r="AC201" s="29" t="n">
        <v>4622.26588</v>
      </c>
      <c r="AD201" s="29" t="n">
        <v>0</v>
      </c>
    </row>
    <row r="202" ht="14.25" customHeight="1" s="28">
      <c r="A202" s="29" t="n">
        <v>1777596301</v>
      </c>
      <c r="B202" s="29" t="inlineStr">
        <is>
          <t>XAUUSD</t>
        </is>
      </c>
      <c r="C202" s="29" t="inlineStr">
        <is>
          <t>M15</t>
        </is>
      </c>
      <c r="D202" s="29" t="n">
        <v>4620.02</v>
      </c>
      <c r="E202" s="29" t="n">
        <v>4717.79398</v>
      </c>
      <c r="F202" s="29" t="n">
        <v>4695.2428</v>
      </c>
      <c r="G202" s="29" t="n">
        <v>4518.59282</v>
      </c>
      <c r="H202" s="29" t="n">
        <v>4596.05595</v>
      </c>
      <c r="I202" s="29" t="n">
        <v>4755.40355</v>
      </c>
      <c r="J202" s="29" t="n">
        <v>4792.76972</v>
      </c>
      <c r="K202" s="29" t="n">
        <v>4769.97694</v>
      </c>
      <c r="L202" s="29" t="n">
        <v>4716.33597</v>
      </c>
      <c r="M202" s="29" t="n">
        <v>4718.85043</v>
      </c>
      <c r="N202" s="29" t="n">
        <v>4531.36057</v>
      </c>
      <c r="O202" s="29" t="n">
        <v>4556.93783</v>
      </c>
      <c r="Q202" s="29" t="n">
        <v>4589.05351</v>
      </c>
      <c r="R202" s="29" t="n">
        <v>4637.07117</v>
      </c>
      <c r="S202" s="29" t="n">
        <v>4612.88756</v>
      </c>
      <c r="V202" s="29" t="n">
        <v>4556.40832</v>
      </c>
      <c r="AB202" s="29" t="n">
        <v>4619.3652</v>
      </c>
      <c r="AC202" s="29" t="n">
        <v>4620.81554</v>
      </c>
      <c r="AD202" s="29" t="n">
        <v>0</v>
      </c>
    </row>
    <row r="203" ht="14.25" customHeight="1" s="28">
      <c r="A203" s="29" t="n">
        <v>1777597201</v>
      </c>
      <c r="B203" s="29" t="inlineStr">
        <is>
          <t>XAUUSD</t>
        </is>
      </c>
      <c r="C203" s="29" t="inlineStr">
        <is>
          <t>M15</t>
        </is>
      </c>
      <c r="D203" s="29" t="n">
        <v>4618.7</v>
      </c>
      <c r="E203" s="29" t="n">
        <v>4717.79398</v>
      </c>
      <c r="F203" s="29" t="n">
        <v>4695.2428</v>
      </c>
      <c r="G203" s="29" t="n">
        <v>4518.59282</v>
      </c>
      <c r="H203" s="29" t="n">
        <v>4596.05595</v>
      </c>
      <c r="I203" s="29" t="n">
        <v>4755.40355</v>
      </c>
      <c r="J203" s="29" t="n">
        <v>4792.76972</v>
      </c>
      <c r="K203" s="29" t="n">
        <v>4769.97694</v>
      </c>
      <c r="L203" s="29" t="n">
        <v>4716.33597</v>
      </c>
      <c r="M203" s="29" t="n">
        <v>4718.85043</v>
      </c>
      <c r="N203" s="29" t="n">
        <v>4531.36057</v>
      </c>
      <c r="O203" s="29" t="n">
        <v>4556.93783</v>
      </c>
      <c r="Q203" s="29" t="n">
        <v>4589.25596</v>
      </c>
      <c r="R203" s="29" t="n">
        <v>4637.27362</v>
      </c>
      <c r="S203" s="29" t="n">
        <v>4613.09001</v>
      </c>
      <c r="V203" s="29" t="n">
        <v>4556.61076</v>
      </c>
      <c r="AB203" s="29" t="n">
        <v>4619.26545</v>
      </c>
      <c r="AC203" s="29" t="n">
        <v>4620.04049</v>
      </c>
      <c r="AD203" s="29" t="n">
        <v>0</v>
      </c>
    </row>
    <row r="204" ht="14.25" customHeight="1" s="28">
      <c r="A204" s="29" t="n">
        <v>1777598101</v>
      </c>
      <c r="B204" s="29" t="inlineStr">
        <is>
          <t>XAUUSD</t>
        </is>
      </c>
      <c r="C204" s="29" t="inlineStr">
        <is>
          <t>M15</t>
        </is>
      </c>
      <c r="D204" s="29" t="n">
        <v>4616.68</v>
      </c>
      <c r="E204" s="29" t="n">
        <v>4717.79398</v>
      </c>
      <c r="F204" s="29" t="n">
        <v>4695.2428</v>
      </c>
      <c r="G204" s="29" t="n">
        <v>4518.59282</v>
      </c>
      <c r="H204" s="29" t="n">
        <v>4596.05595</v>
      </c>
      <c r="I204" s="29" t="n">
        <v>4755.40355</v>
      </c>
      <c r="J204" s="29" t="n">
        <v>4792.76972</v>
      </c>
      <c r="K204" s="29" t="n">
        <v>4769.97694</v>
      </c>
      <c r="L204" s="29" t="n">
        <v>4716.33597</v>
      </c>
      <c r="M204" s="29" t="n">
        <v>4718.85043</v>
      </c>
      <c r="N204" s="29" t="n">
        <v>4531.36057</v>
      </c>
      <c r="O204" s="29" t="n">
        <v>4556.93783</v>
      </c>
      <c r="Q204" s="29" t="n">
        <v>4589.4584</v>
      </c>
      <c r="R204" s="29" t="n">
        <v>4637.47607</v>
      </c>
      <c r="S204" s="29" t="n">
        <v>4613.29245</v>
      </c>
      <c r="V204" s="29" t="n">
        <v>4556.81321</v>
      </c>
      <c r="AB204" s="29" t="n">
        <v>4619.91773</v>
      </c>
      <c r="AC204" s="29" t="n">
        <v>4619.97911</v>
      </c>
      <c r="AD204" s="29" t="n">
        <v>0</v>
      </c>
    </row>
    <row r="205" ht="14.25" customHeight="1" s="28">
      <c r="A205" s="29" t="n">
        <v>1777599001</v>
      </c>
      <c r="B205" s="29" t="inlineStr">
        <is>
          <t>XAUUSD</t>
        </is>
      </c>
      <c r="C205" s="29" t="inlineStr">
        <is>
          <t>M15</t>
        </is>
      </c>
      <c r="D205" s="29" t="n">
        <v>4620.2</v>
      </c>
      <c r="E205" s="29" t="n">
        <v>4717.79398</v>
      </c>
      <c r="F205" s="29" t="n">
        <v>4695.2428</v>
      </c>
      <c r="G205" s="29" t="n">
        <v>4518.59282</v>
      </c>
      <c r="H205" s="29" t="n">
        <v>4596.05595</v>
      </c>
      <c r="I205" s="29" t="n">
        <v>4755.40355</v>
      </c>
      <c r="J205" s="29" t="n">
        <v>4792.76972</v>
      </c>
      <c r="K205" s="29" t="n">
        <v>4769.97694</v>
      </c>
      <c r="L205" s="29" t="n">
        <v>4716.33597</v>
      </c>
      <c r="M205" s="29" t="n">
        <v>4718.85043</v>
      </c>
      <c r="N205" s="29" t="n">
        <v>4531.36057</v>
      </c>
      <c r="O205" s="29" t="n">
        <v>4556.93783</v>
      </c>
      <c r="Q205" s="29" t="n">
        <v>4589.66085</v>
      </c>
      <c r="R205" s="29" t="n">
        <v>4637.67851</v>
      </c>
      <c r="S205" s="29" t="n">
        <v>4613.4949</v>
      </c>
      <c r="V205" s="29" t="n">
        <v>4557.01566</v>
      </c>
      <c r="AB205" s="29" t="n">
        <v>4621.17664</v>
      </c>
      <c r="AC205" s="29" t="n">
        <v>4620.57787</v>
      </c>
      <c r="AD205" s="29" t="n">
        <v>1</v>
      </c>
    </row>
    <row r="206" ht="14.25" customHeight="1" s="28">
      <c r="A206" s="29" t="n">
        <v>1777599901</v>
      </c>
      <c r="B206" s="29" t="inlineStr">
        <is>
          <t>XAUUSD</t>
        </is>
      </c>
      <c r="C206" s="29" t="inlineStr">
        <is>
          <t>M15</t>
        </is>
      </c>
      <c r="D206" s="29" t="n">
        <v>4621.05</v>
      </c>
      <c r="E206" s="29" t="n">
        <v>4717.79398</v>
      </c>
      <c r="F206" s="29" t="n">
        <v>4695.2428</v>
      </c>
      <c r="G206" s="29" t="n">
        <v>4518.59282</v>
      </c>
      <c r="H206" s="29" t="n">
        <v>4596.05595</v>
      </c>
      <c r="I206" s="29" t="n">
        <v>4755.40355</v>
      </c>
      <c r="J206" s="29" t="n">
        <v>4792.76972</v>
      </c>
      <c r="K206" s="29" t="n">
        <v>4769.97694</v>
      </c>
      <c r="L206" s="29" t="n">
        <v>4716.33597</v>
      </c>
      <c r="M206" s="29" t="n">
        <v>4718.85043</v>
      </c>
      <c r="N206" s="29" t="n">
        <v>4531.36057</v>
      </c>
      <c r="O206" s="29" t="n">
        <v>4556.93783</v>
      </c>
      <c r="Q206" s="29" t="n">
        <v>4589.86329</v>
      </c>
      <c r="R206" s="29" t="n">
        <v>4637.88096</v>
      </c>
      <c r="S206" s="29" t="n">
        <v>4613.69735</v>
      </c>
      <c r="V206" s="29" t="n">
        <v>4557.2181</v>
      </c>
      <c r="AB206" s="29" t="n">
        <v>4622.67109</v>
      </c>
      <c r="AC206" s="29" t="n">
        <v>4621.62448</v>
      </c>
      <c r="AD206" s="29" t="n">
        <v>0</v>
      </c>
    </row>
    <row r="207" ht="14.25" customHeight="1" s="28">
      <c r="A207" s="29" t="n">
        <v>1777600801</v>
      </c>
      <c r="B207" s="29" t="inlineStr">
        <is>
          <t>XAUUSD</t>
        </is>
      </c>
      <c r="C207" s="29" t="inlineStr">
        <is>
          <t>M15</t>
        </is>
      </c>
      <c r="D207" s="29" t="n">
        <v>4630.89</v>
      </c>
      <c r="E207" s="29" t="n">
        <v>4717.79398</v>
      </c>
      <c r="F207" s="29" t="n">
        <v>4695.2428</v>
      </c>
      <c r="G207" s="29" t="n">
        <v>4518.59282</v>
      </c>
      <c r="H207" s="29" t="n">
        <v>4596.05595</v>
      </c>
      <c r="I207" s="29" t="n">
        <v>4755.40355</v>
      </c>
      <c r="J207" s="29" t="n">
        <v>4792.76972</v>
      </c>
      <c r="K207" s="29" t="n">
        <v>4769.97694</v>
      </c>
      <c r="L207" s="29" t="n">
        <v>4716.33597</v>
      </c>
      <c r="M207" s="29" t="n">
        <v>4718.85043</v>
      </c>
      <c r="N207" s="29" t="n">
        <v>4531.36057</v>
      </c>
      <c r="O207" s="29" t="n">
        <v>4556.93783</v>
      </c>
      <c r="Q207" s="29" t="n">
        <v>4590.06574</v>
      </c>
      <c r="R207" s="29" t="n">
        <v>4638.0834</v>
      </c>
      <c r="S207" s="29" t="n">
        <v>4613.89979</v>
      </c>
      <c r="V207" s="29" t="n">
        <v>4557.42055</v>
      </c>
      <c r="AB207" s="29" t="n">
        <v>4624.1071</v>
      </c>
      <c r="AC207" s="29" t="n">
        <v>4622.86579</v>
      </c>
      <c r="AD207" s="29" t="n">
        <v>0</v>
      </c>
    </row>
    <row r="208" ht="14.25" customHeight="1" s="28">
      <c r="A208" s="29" t="n">
        <v>1777601701</v>
      </c>
      <c r="B208" s="29" t="inlineStr">
        <is>
          <t>XAUUSD</t>
        </is>
      </c>
      <c r="C208" s="29" t="inlineStr">
        <is>
          <t>M15</t>
        </is>
      </c>
      <c r="D208" s="29" t="n">
        <v>4629.39</v>
      </c>
      <c r="E208" s="29" t="n">
        <v>4717.79398</v>
      </c>
      <c r="F208" s="29" t="n">
        <v>4695.2428</v>
      </c>
      <c r="G208" s="29" t="n">
        <v>4518.59282</v>
      </c>
      <c r="H208" s="29" t="n">
        <v>4596.05595</v>
      </c>
      <c r="I208" s="29" t="n">
        <v>4755.40355</v>
      </c>
      <c r="J208" s="29" t="n">
        <v>4792.76972</v>
      </c>
      <c r="K208" s="29" t="n">
        <v>4769.97694</v>
      </c>
      <c r="L208" s="29" t="n">
        <v>4716.33597</v>
      </c>
      <c r="M208" s="29" t="n">
        <v>4718.85043</v>
      </c>
      <c r="N208" s="29" t="n">
        <v>4531.36057</v>
      </c>
      <c r="O208" s="29" t="n">
        <v>4556.93783</v>
      </c>
      <c r="Q208" s="29" t="n">
        <v>4590.26818</v>
      </c>
      <c r="R208" s="29" t="n">
        <v>4638.28585</v>
      </c>
      <c r="S208" s="29" t="n">
        <v>4614.10224</v>
      </c>
      <c r="V208" s="29" t="n">
        <v>4557.62299</v>
      </c>
      <c r="Z208" s="29" t="n">
        <v>4635.83</v>
      </c>
      <c r="AB208" s="29" t="n">
        <v>4625.02416</v>
      </c>
      <c r="AC208" s="29" t="n">
        <v>4623.94497</v>
      </c>
      <c r="AD208" s="29" t="n">
        <v>0</v>
      </c>
    </row>
    <row r="209" ht="14.25" customHeight="1" s="28">
      <c r="A209" s="29" t="n">
        <v>1777602601</v>
      </c>
      <c r="B209" s="29" t="inlineStr">
        <is>
          <t>XAUUSD</t>
        </is>
      </c>
      <c r="C209" s="29" t="inlineStr">
        <is>
          <t>M15</t>
        </is>
      </c>
      <c r="D209" s="29" t="n">
        <v>4624.38</v>
      </c>
      <c r="E209" s="29" t="n">
        <v>4717.79398</v>
      </c>
      <c r="F209" s="29" t="n">
        <v>4695.2428</v>
      </c>
      <c r="G209" s="29" t="n">
        <v>4518.59282</v>
      </c>
      <c r="H209" s="29" t="n">
        <v>4596.05595</v>
      </c>
      <c r="I209" s="29" t="n">
        <v>4755.40355</v>
      </c>
      <c r="J209" s="29" t="n">
        <v>4792.76972</v>
      </c>
      <c r="K209" s="29" t="n">
        <v>4769.97694</v>
      </c>
      <c r="L209" s="29" t="n">
        <v>4716.33597</v>
      </c>
      <c r="M209" s="29" t="n">
        <v>4718.85043</v>
      </c>
      <c r="N209" s="29" t="n">
        <v>4531.36057</v>
      </c>
      <c r="O209" s="29" t="n">
        <v>4556.93783</v>
      </c>
      <c r="Q209" s="29" t="n">
        <v>4590.47063</v>
      </c>
      <c r="R209" s="29" t="n">
        <v>4638.48829</v>
      </c>
      <c r="S209" s="29" t="n">
        <v>4614.30468</v>
      </c>
      <c r="V209" s="29" t="n">
        <v>4557.82544</v>
      </c>
      <c r="AB209" s="29" t="n">
        <v>4625.40267</v>
      </c>
      <c r="AC209" s="29" t="n">
        <v>4624.67382</v>
      </c>
      <c r="AD209" s="29" t="n">
        <v>0</v>
      </c>
    </row>
    <row r="210" ht="14.25" customHeight="1" s="28">
      <c r="A210" s="29" t="n">
        <v>1777603501</v>
      </c>
      <c r="B210" s="29" t="inlineStr">
        <is>
          <t>XAUUSD</t>
        </is>
      </c>
      <c r="C210" s="29" t="inlineStr">
        <is>
          <t>M15</t>
        </is>
      </c>
      <c r="D210" s="29" t="n">
        <v>4619.15</v>
      </c>
      <c r="E210" s="29" t="n">
        <v>4717.79398</v>
      </c>
      <c r="F210" s="29" t="n">
        <v>4695.2428</v>
      </c>
      <c r="G210" s="29" t="n">
        <v>4518.59282</v>
      </c>
      <c r="H210" s="29" t="n">
        <v>4596.05595</v>
      </c>
      <c r="I210" s="29" t="n">
        <v>4755.40355</v>
      </c>
      <c r="J210" s="29" t="n">
        <v>4792.76972</v>
      </c>
      <c r="K210" s="29" t="n">
        <v>4769.97694</v>
      </c>
      <c r="L210" s="29" t="n">
        <v>4716.33597</v>
      </c>
      <c r="M210" s="29" t="n">
        <v>4718.85043</v>
      </c>
      <c r="N210" s="29" t="n">
        <v>4531.36057</v>
      </c>
      <c r="O210" s="29" t="n">
        <v>4556.93783</v>
      </c>
      <c r="Q210" s="29" t="n">
        <v>4590.67308</v>
      </c>
      <c r="R210" s="29" t="n">
        <v>4638.69074</v>
      </c>
      <c r="S210" s="29" t="n">
        <v>4614.50713</v>
      </c>
      <c r="V210" s="29" t="n">
        <v>4558.02788</v>
      </c>
      <c r="AB210" s="29" t="n">
        <v>4625.38626</v>
      </c>
      <c r="AC210" s="29" t="n">
        <v>4625.03004</v>
      </c>
      <c r="AD210" s="29" t="n">
        <v>0</v>
      </c>
    </row>
    <row r="211" ht="14.25" customHeight="1" s="28">
      <c r="A211" s="29" t="n">
        <v>1777604401</v>
      </c>
      <c r="B211" s="29" t="inlineStr">
        <is>
          <t>XAUUSD</t>
        </is>
      </c>
      <c r="C211" s="29" t="inlineStr">
        <is>
          <t>M15</t>
        </is>
      </c>
      <c r="D211" s="29" t="n">
        <v>4620.85</v>
      </c>
      <c r="E211" s="29" t="n">
        <v>4717.79398</v>
      </c>
      <c r="F211" s="29" t="n">
        <v>4695.2428</v>
      </c>
      <c r="G211" s="29" t="n">
        <v>4518.59282</v>
      </c>
      <c r="H211" s="29" t="n">
        <v>4596.05595</v>
      </c>
      <c r="I211" s="29" t="n">
        <v>4755.40355</v>
      </c>
      <c r="J211" s="29" t="n">
        <v>4792.76972</v>
      </c>
      <c r="K211" s="29" t="n">
        <v>4769.97694</v>
      </c>
      <c r="L211" s="29" t="n">
        <v>4716.33597</v>
      </c>
      <c r="M211" s="29" t="n">
        <v>4718.85043</v>
      </c>
      <c r="N211" s="29" t="n">
        <v>4531.36057</v>
      </c>
      <c r="O211" s="29" t="n">
        <v>4556.93783</v>
      </c>
      <c r="Q211" s="29" t="n">
        <v>4590.87552</v>
      </c>
      <c r="R211" s="29" t="n">
        <v>4638.89319</v>
      </c>
      <c r="S211" s="29" t="n">
        <v>4614.70957</v>
      </c>
      <c r="V211" s="29" t="n">
        <v>4558.23033</v>
      </c>
      <c r="AB211" s="29" t="n">
        <v>4625.15934</v>
      </c>
      <c r="AC211" s="29" t="n">
        <v>4625.09469</v>
      </c>
      <c r="AD211" s="29" t="n">
        <v>0</v>
      </c>
    </row>
    <row r="212" ht="14.25" customHeight="1" s="28">
      <c r="A212" s="29" t="n">
        <v>1777605301</v>
      </c>
      <c r="B212" s="29" t="inlineStr">
        <is>
          <t>XAUUSD</t>
        </is>
      </c>
      <c r="C212" s="29" t="inlineStr">
        <is>
          <t>M15</t>
        </is>
      </c>
      <c r="D212" s="29" t="n">
        <v>4626.13</v>
      </c>
      <c r="E212" s="29" t="n">
        <v>4717.79398</v>
      </c>
      <c r="F212" s="29" t="n">
        <v>4695.2428</v>
      </c>
      <c r="G212" s="29" t="n">
        <v>4518.59282</v>
      </c>
      <c r="H212" s="29" t="n">
        <v>4596.05595</v>
      </c>
      <c r="I212" s="29" t="n">
        <v>4755.40355</v>
      </c>
      <c r="J212" s="29" t="n">
        <v>4792.76972</v>
      </c>
      <c r="K212" s="29" t="n">
        <v>4769.97694</v>
      </c>
      <c r="L212" s="29" t="n">
        <v>4716.33597</v>
      </c>
      <c r="M212" s="29" t="n">
        <v>4718.85043</v>
      </c>
      <c r="N212" s="29" t="n">
        <v>4531.36057</v>
      </c>
      <c r="O212" s="29" t="n">
        <v>4556.93783</v>
      </c>
      <c r="Q212" s="29" t="n">
        <v>4591.07797</v>
      </c>
      <c r="R212" s="29" t="n">
        <v>4639.09563</v>
      </c>
      <c r="S212" s="29" t="n">
        <v>4614.91202</v>
      </c>
      <c r="V212" s="29" t="n">
        <v>4558.43278</v>
      </c>
      <c r="AB212" s="29" t="n">
        <v>4624.70187</v>
      </c>
      <c r="AC212" s="29" t="n">
        <v>4624.89828</v>
      </c>
      <c r="AD212" s="29" t="n">
        <v>1</v>
      </c>
    </row>
    <row r="213" ht="14.25" customHeight="1" s="28">
      <c r="A213" s="29" t="n">
        <v>1777606201</v>
      </c>
      <c r="B213" s="29" t="inlineStr">
        <is>
          <t>XAUUSD</t>
        </is>
      </c>
      <c r="C213" s="29" t="inlineStr">
        <is>
          <t>M15</t>
        </is>
      </c>
      <c r="D213" s="29" t="n">
        <v>4626.21</v>
      </c>
      <c r="E213" s="29" t="n">
        <v>4717.79398</v>
      </c>
      <c r="F213" s="29" t="n">
        <v>4695.2428</v>
      </c>
      <c r="G213" s="29" t="n">
        <v>4518.59282</v>
      </c>
      <c r="H213" s="29" t="n">
        <v>4596.05595</v>
      </c>
      <c r="I213" s="29" t="n">
        <v>4755.40355</v>
      </c>
      <c r="J213" s="29" t="n">
        <v>4792.76972</v>
      </c>
      <c r="K213" s="29" t="n">
        <v>4769.97694</v>
      </c>
      <c r="L213" s="29" t="n">
        <v>4716.33597</v>
      </c>
      <c r="M213" s="29" t="n">
        <v>4718.85043</v>
      </c>
      <c r="N213" s="29" t="n">
        <v>4531.36057</v>
      </c>
      <c r="O213" s="29" t="n">
        <v>4556.93783</v>
      </c>
      <c r="Q213" s="29" t="n">
        <v>4591.28041</v>
      </c>
      <c r="R213" s="29" t="n">
        <v>4639.29808</v>
      </c>
      <c r="S213" s="29" t="n">
        <v>4615.11447</v>
      </c>
      <c r="V213" s="29" t="n">
        <v>4558.63522</v>
      </c>
      <c r="AB213" s="29" t="n">
        <v>4623.85411</v>
      </c>
      <c r="AC213" s="29" t="n">
        <v>4624.37619</v>
      </c>
      <c r="AD213" s="29" t="n">
        <v>0</v>
      </c>
    </row>
    <row r="214" ht="14.25" customHeight="1" s="28">
      <c r="A214" s="29" t="n">
        <v>1777607101</v>
      </c>
      <c r="B214" s="29" t="inlineStr">
        <is>
          <t>XAUUSD</t>
        </is>
      </c>
      <c r="C214" s="29" t="inlineStr">
        <is>
          <t>M15</t>
        </is>
      </c>
      <c r="D214" s="29" t="n">
        <v>4626.67</v>
      </c>
      <c r="E214" s="29" t="n">
        <v>4717.79398</v>
      </c>
      <c r="F214" s="29" t="n">
        <v>4695.2428</v>
      </c>
      <c r="G214" s="29" t="n">
        <v>4518.59282</v>
      </c>
      <c r="H214" s="29" t="n">
        <v>4596.05595</v>
      </c>
      <c r="I214" s="29" t="n">
        <v>4755.40355</v>
      </c>
      <c r="J214" s="29" t="n">
        <v>4792.76972</v>
      </c>
      <c r="K214" s="29" t="n">
        <v>4769.97694</v>
      </c>
      <c r="L214" s="29" t="n">
        <v>4716.33597</v>
      </c>
      <c r="M214" s="29" t="n">
        <v>4718.85043</v>
      </c>
      <c r="N214" s="29" t="n">
        <v>4531.36057</v>
      </c>
      <c r="O214" s="29" t="n">
        <v>4556.93783</v>
      </c>
      <c r="Q214" s="29" t="n">
        <v>4591.48286</v>
      </c>
      <c r="R214" s="29" t="n">
        <v>4639.50052</v>
      </c>
      <c r="S214" s="29" t="n">
        <v>4615.31691</v>
      </c>
      <c r="V214" s="29" t="n">
        <v>4558.83767</v>
      </c>
      <c r="AB214" s="29" t="n">
        <v>4622.57556</v>
      </c>
      <c r="AC214" s="29" t="n">
        <v>4623.47588</v>
      </c>
      <c r="AD214" s="29" t="n">
        <v>0</v>
      </c>
    </row>
    <row r="215" ht="14.25" customHeight="1" s="28">
      <c r="A215" s="29" t="n">
        <v>1777608001</v>
      </c>
      <c r="B215" s="29" t="inlineStr">
        <is>
          <t>XAUUSD</t>
        </is>
      </c>
      <c r="C215" s="29" t="inlineStr">
        <is>
          <t>M15</t>
        </is>
      </c>
      <c r="D215" s="29" t="n">
        <v>4621.93</v>
      </c>
      <c r="E215" s="29" t="n">
        <v>4717.79398</v>
      </c>
      <c r="F215" s="29" t="n">
        <v>4695.2428</v>
      </c>
      <c r="G215" s="29" t="n">
        <v>4518.59282</v>
      </c>
      <c r="H215" s="29" t="n">
        <v>4596.05595</v>
      </c>
      <c r="I215" s="29" t="n">
        <v>4755.40355</v>
      </c>
      <c r="J215" s="29" t="n">
        <v>4792.76972</v>
      </c>
      <c r="K215" s="29" t="n">
        <v>4769.97694</v>
      </c>
      <c r="L215" s="29" t="n">
        <v>4716.33597</v>
      </c>
      <c r="M215" s="29" t="n">
        <v>4718.85043</v>
      </c>
      <c r="N215" s="29" t="n">
        <v>4531.36057</v>
      </c>
      <c r="O215" s="29" t="n">
        <v>4556.93783</v>
      </c>
      <c r="Q215" s="29" t="n">
        <v>4591.6853</v>
      </c>
      <c r="R215" s="29" t="n">
        <v>4639.70297</v>
      </c>
      <c r="S215" s="29" t="n">
        <v>4615.51936</v>
      </c>
      <c r="V215" s="29" t="n">
        <v>4559.04011</v>
      </c>
      <c r="AB215" s="29" t="n">
        <v>4620.83276</v>
      </c>
      <c r="AC215" s="29" t="n">
        <v>4622.15432</v>
      </c>
      <c r="AD215" s="29" t="n">
        <v>0</v>
      </c>
    </row>
    <row r="216" ht="14.25" customHeight="1" s="28">
      <c r="A216" s="29" t="n">
        <v>1777608901</v>
      </c>
      <c r="B216" s="29" t="inlineStr">
        <is>
          <t>XAUUSD</t>
        </is>
      </c>
      <c r="C216" s="29" t="inlineStr">
        <is>
          <t>M15</t>
        </is>
      </c>
      <c r="D216" s="29" t="n">
        <v>4617.53</v>
      </c>
      <c r="E216" s="29" t="n">
        <v>4717.79398</v>
      </c>
      <c r="F216" s="29" t="n">
        <v>4695.2428</v>
      </c>
      <c r="G216" s="29" t="n">
        <v>4518.59282</v>
      </c>
      <c r="H216" s="29" t="n">
        <v>4596.05595</v>
      </c>
      <c r="I216" s="29" t="n">
        <v>4755.40355</v>
      </c>
      <c r="J216" s="29" t="n">
        <v>4792.76972</v>
      </c>
      <c r="K216" s="29" t="n">
        <v>4769.97694</v>
      </c>
      <c r="L216" s="29" t="n">
        <v>4716.33597</v>
      </c>
      <c r="M216" s="29" t="n">
        <v>4718.85043</v>
      </c>
      <c r="N216" s="29" t="n">
        <v>4531.36057</v>
      </c>
      <c r="O216" s="29" t="n">
        <v>4556.93783</v>
      </c>
      <c r="Q216" s="29" t="n">
        <v>4591.88775</v>
      </c>
      <c r="R216" s="29" t="n">
        <v>4639.90541</v>
      </c>
      <c r="S216" s="29" t="n">
        <v>4615.7218</v>
      </c>
      <c r="V216" s="29" t="n">
        <v>4559.24256</v>
      </c>
      <c r="AB216" s="29" t="n">
        <v>4618.75149</v>
      </c>
      <c r="AC216" s="29" t="n">
        <v>4620.4529</v>
      </c>
      <c r="AD216" s="29" t="n">
        <v>0</v>
      </c>
    </row>
    <row r="217" ht="14.25" customHeight="1" s="28">
      <c r="A217" s="29" t="n">
        <v>1777609801</v>
      </c>
      <c r="B217" s="29" t="inlineStr">
        <is>
          <t>XAUUSD</t>
        </is>
      </c>
      <c r="C217" s="29" t="inlineStr">
        <is>
          <t>M15</t>
        </is>
      </c>
      <c r="D217" s="29" t="n">
        <v>4613.51</v>
      </c>
      <c r="E217" s="29" t="n">
        <v>4717.79398</v>
      </c>
      <c r="F217" s="29" t="n">
        <v>4695.2428</v>
      </c>
      <c r="G217" s="29" t="n">
        <v>4518.59282</v>
      </c>
      <c r="H217" s="29" t="n">
        <v>4596.05595</v>
      </c>
      <c r="I217" s="29" t="n">
        <v>4755.40355</v>
      </c>
      <c r="J217" s="29" t="n">
        <v>4792.76972</v>
      </c>
      <c r="K217" s="29" t="n">
        <v>4769.97694</v>
      </c>
      <c r="L217" s="29" t="n">
        <v>4716.33597</v>
      </c>
      <c r="M217" s="29" t="n">
        <v>4718.85043</v>
      </c>
      <c r="N217" s="29" t="n">
        <v>4531.36057</v>
      </c>
      <c r="O217" s="29" t="n">
        <v>4556.93783</v>
      </c>
      <c r="Q217" s="29" t="n">
        <v>4592.0902</v>
      </c>
      <c r="R217" s="29" t="n">
        <v>4640.10786</v>
      </c>
      <c r="S217" s="29" t="n">
        <v>4615.92425</v>
      </c>
      <c r="V217" s="29" t="n">
        <v>4559.445</v>
      </c>
      <c r="AB217" s="29" t="n">
        <v>4616.49328</v>
      </c>
      <c r="AC217" s="29" t="n">
        <v>4618.47309</v>
      </c>
      <c r="AD217" s="29" t="n">
        <v>0</v>
      </c>
    </row>
    <row r="218" ht="14.25" customHeight="1" s="28">
      <c r="A218" s="29" t="n">
        <v>1777610701</v>
      </c>
      <c r="B218" s="29" t="inlineStr">
        <is>
          <t>XAUUSD</t>
        </is>
      </c>
      <c r="C218" s="29" t="inlineStr">
        <is>
          <t>M15</t>
        </is>
      </c>
      <c r="D218" s="29" t="n">
        <v>4609.18</v>
      </c>
      <c r="E218" s="29" t="n">
        <v>4717.79398</v>
      </c>
      <c r="F218" s="29" t="n">
        <v>4695.2428</v>
      </c>
      <c r="G218" s="29" t="n">
        <v>4518.59282</v>
      </c>
      <c r="H218" s="29" t="n">
        <v>4596.05595</v>
      </c>
      <c r="I218" s="29" t="n">
        <v>4755.40355</v>
      </c>
      <c r="J218" s="29" t="n">
        <v>4792.76972</v>
      </c>
      <c r="K218" s="29" t="n">
        <v>4769.97694</v>
      </c>
      <c r="L218" s="29" t="n">
        <v>4716.33597</v>
      </c>
      <c r="M218" s="29" t="n">
        <v>4718.85043</v>
      </c>
      <c r="N218" s="29" t="n">
        <v>4531.36057</v>
      </c>
      <c r="O218" s="29" t="n">
        <v>4556.93783</v>
      </c>
      <c r="Q218" s="29" t="n">
        <v>4592.29264</v>
      </c>
      <c r="R218" s="29" t="n">
        <v>4640.31031</v>
      </c>
      <c r="S218" s="29" t="n">
        <v>4616.12669</v>
      </c>
      <c r="V218" s="29" t="n">
        <v>4559.64745</v>
      </c>
      <c r="AB218" s="29" t="n">
        <v>4614.20071</v>
      </c>
      <c r="AC218" s="29" t="n">
        <v>4616.3369</v>
      </c>
      <c r="AD218" s="29" t="n">
        <v>0</v>
      </c>
    </row>
    <row r="219" ht="14.25" customHeight="1" s="28">
      <c r="A219" s="29" t="n">
        <v>1777611601</v>
      </c>
      <c r="B219" s="29" t="inlineStr">
        <is>
          <t>XAUUSD</t>
        </is>
      </c>
      <c r="C219" s="29" t="inlineStr">
        <is>
          <t>M15</t>
        </is>
      </c>
      <c r="D219" s="29" t="n">
        <v>4614.29</v>
      </c>
      <c r="E219" s="29" t="n">
        <v>4717.79398</v>
      </c>
      <c r="F219" s="29" t="n">
        <v>4695.2428</v>
      </c>
      <c r="G219" s="29" t="n">
        <v>4518.59282</v>
      </c>
      <c r="H219" s="29" t="n">
        <v>4596.05595</v>
      </c>
      <c r="I219" s="29" t="n">
        <v>4755.40355</v>
      </c>
      <c r="J219" s="29" t="n">
        <v>4792.76972</v>
      </c>
      <c r="K219" s="29" t="n">
        <v>4769.97694</v>
      </c>
      <c r="L219" s="29" t="n">
        <v>4716.33597</v>
      </c>
      <c r="M219" s="29" t="n">
        <v>4718.85043</v>
      </c>
      <c r="N219" s="29" t="n">
        <v>4531.36057</v>
      </c>
      <c r="O219" s="29" t="n">
        <v>4556.93783</v>
      </c>
      <c r="Q219" s="29" t="n">
        <v>4592.49509</v>
      </c>
      <c r="R219" s="29" t="n">
        <v>4640.51275</v>
      </c>
      <c r="S219" s="29" t="n">
        <v>4616.32914</v>
      </c>
      <c r="V219" s="29" t="n">
        <v>4559.8499</v>
      </c>
      <c r="AB219" s="29" t="n">
        <v>4611.98192</v>
      </c>
      <c r="AC219" s="29" t="n">
        <v>4614.15941</v>
      </c>
      <c r="AD219" s="29" t="n">
        <v>0</v>
      </c>
    </row>
    <row r="220" ht="14.25" customHeight="1" s="28">
      <c r="A220" s="29" t="n">
        <v>1777612501</v>
      </c>
      <c r="B220" s="29" t="inlineStr">
        <is>
          <t>XAUUSD</t>
        </is>
      </c>
      <c r="C220" s="29" t="inlineStr">
        <is>
          <t>M15</t>
        </is>
      </c>
      <c r="D220" s="29" t="n">
        <v>4614.64</v>
      </c>
      <c r="E220" s="29" t="n">
        <v>4717.79398</v>
      </c>
      <c r="F220" s="29" t="n">
        <v>4695.2428</v>
      </c>
      <c r="G220" s="29" t="n">
        <v>4518.59282</v>
      </c>
      <c r="H220" s="29" t="n">
        <v>4596.05595</v>
      </c>
      <c r="I220" s="29" t="n">
        <v>4755.40355</v>
      </c>
      <c r="J220" s="29" t="n">
        <v>4792.76972</v>
      </c>
      <c r="K220" s="29" t="n">
        <v>4769.97694</v>
      </c>
      <c r="L220" s="29" t="n">
        <v>4716.33597</v>
      </c>
      <c r="M220" s="29" t="n">
        <v>4718.85043</v>
      </c>
      <c r="N220" s="29" t="n">
        <v>4531.36057</v>
      </c>
      <c r="O220" s="29" t="n">
        <v>4556.93783</v>
      </c>
      <c r="Q220" s="29" t="n">
        <v>4592.69753</v>
      </c>
      <c r="R220" s="29" t="n">
        <v>4640.7152</v>
      </c>
      <c r="S220" s="29" t="n">
        <v>4616.53158</v>
      </c>
      <c r="V220" s="29" t="n">
        <v>4560.05234</v>
      </c>
      <c r="AB220" s="29" t="n">
        <v>4609.70218</v>
      </c>
      <c r="AC220" s="29" t="n">
        <v>4611.9308</v>
      </c>
      <c r="AD220" s="29" t="n">
        <v>0</v>
      </c>
    </row>
    <row r="221" ht="14.25" customHeight="1" s="28">
      <c r="A221" s="29" t="n">
        <v>1777613401</v>
      </c>
      <c r="B221" s="29" t="inlineStr">
        <is>
          <t>XAUUSD</t>
        </is>
      </c>
      <c r="C221" s="29" t="inlineStr">
        <is>
          <t>M15</t>
        </is>
      </c>
      <c r="D221" s="29" t="n">
        <v>4610</v>
      </c>
      <c r="E221" s="29" t="n">
        <v>4717.79398</v>
      </c>
      <c r="F221" s="29" t="n">
        <v>4695.2428</v>
      </c>
      <c r="G221" s="29" t="n">
        <v>4518.59282</v>
      </c>
      <c r="H221" s="29" t="n">
        <v>4596.05595</v>
      </c>
      <c r="I221" s="29" t="n">
        <v>4755.40355</v>
      </c>
      <c r="J221" s="29" t="n">
        <v>4792.76972</v>
      </c>
      <c r="K221" s="29" t="n">
        <v>4769.97694</v>
      </c>
      <c r="L221" s="29" t="n">
        <v>4716.33597</v>
      </c>
      <c r="M221" s="29" t="n">
        <v>4718.85043</v>
      </c>
      <c r="N221" s="29" t="n">
        <v>4531.36057</v>
      </c>
      <c r="O221" s="29" t="n">
        <v>4556.93783</v>
      </c>
      <c r="Q221" s="29" t="n">
        <v>4592.89998</v>
      </c>
      <c r="R221" s="29" t="n">
        <v>4640.91764</v>
      </c>
      <c r="S221" s="29" t="n">
        <v>4616.73403</v>
      </c>
      <c r="V221" s="29" t="n">
        <v>4560.25479</v>
      </c>
      <c r="AB221" s="29" t="n">
        <v>4607.30397</v>
      </c>
      <c r="AC221" s="29" t="n">
        <v>4609.61738</v>
      </c>
      <c r="AD221" s="29" t="n">
        <v>0</v>
      </c>
    </row>
    <row r="222" ht="14.25" customHeight="1" s="28">
      <c r="A222" s="29" t="n">
        <v>1777614301</v>
      </c>
      <c r="B222" s="29" t="inlineStr">
        <is>
          <t>XAUUSD</t>
        </is>
      </c>
      <c r="C222" s="29" t="inlineStr">
        <is>
          <t>M15</t>
        </is>
      </c>
      <c r="D222" s="29" t="n">
        <v>4605.03</v>
      </c>
      <c r="E222" s="29" t="n">
        <v>4717.79398</v>
      </c>
      <c r="F222" s="29" t="n">
        <v>4695.2428</v>
      </c>
      <c r="G222" s="29" t="n">
        <v>4518.59282</v>
      </c>
      <c r="H222" s="29" t="n">
        <v>4596.05595</v>
      </c>
      <c r="I222" s="29" t="n">
        <v>4755.40355</v>
      </c>
      <c r="J222" s="29" t="n">
        <v>4792.76972</v>
      </c>
      <c r="K222" s="29" t="n">
        <v>4769.97694</v>
      </c>
      <c r="L222" s="29" t="n">
        <v>4716.33597</v>
      </c>
      <c r="M222" s="29" t="n">
        <v>4718.85043</v>
      </c>
      <c r="N222" s="29" t="n">
        <v>4531.36057</v>
      </c>
      <c r="O222" s="29" t="n">
        <v>4556.93783</v>
      </c>
      <c r="Q222" s="29" t="n">
        <v>4593.10242</v>
      </c>
      <c r="R222" s="29" t="n">
        <v>4641.12009</v>
      </c>
      <c r="S222" s="29" t="n">
        <v>4616.93648</v>
      </c>
      <c r="V222" s="29" t="n">
        <v>4560.45723</v>
      </c>
      <c r="AB222" s="29" t="n">
        <v>4604.83316</v>
      </c>
      <c r="AC222" s="29" t="n">
        <v>4607.22527</v>
      </c>
      <c r="AD222" s="29" t="n">
        <v>0</v>
      </c>
    </row>
    <row r="223" ht="14.25" customHeight="1" s="28">
      <c r="A223" s="29" t="n">
        <v>1777615201</v>
      </c>
      <c r="B223" s="29" t="inlineStr">
        <is>
          <t>XAUUSD</t>
        </is>
      </c>
      <c r="C223" s="29" t="inlineStr">
        <is>
          <t>M15</t>
        </is>
      </c>
      <c r="D223" s="29" t="n">
        <v>4601.49</v>
      </c>
      <c r="E223" s="29" t="n">
        <v>4717.79398</v>
      </c>
      <c r="F223" s="29" t="n">
        <v>4695.2428</v>
      </c>
      <c r="G223" s="29" t="n">
        <v>4518.59282</v>
      </c>
      <c r="H223" s="29" t="n">
        <v>4596.05595</v>
      </c>
      <c r="I223" s="29" t="n">
        <v>4755.40355</v>
      </c>
      <c r="J223" s="29" t="n">
        <v>4792.76972</v>
      </c>
      <c r="K223" s="29" t="n">
        <v>4769.97694</v>
      </c>
      <c r="L223" s="29" t="n">
        <v>4716.33597</v>
      </c>
      <c r="M223" s="29" t="n">
        <v>4718.85043</v>
      </c>
      <c r="N223" s="29" t="n">
        <v>4531.36057</v>
      </c>
      <c r="O223" s="29" t="n">
        <v>4556.93783</v>
      </c>
      <c r="Q223" s="29" t="n">
        <v>4593.30487</v>
      </c>
      <c r="R223" s="29" t="n">
        <v>4641.32253</v>
      </c>
      <c r="S223" s="29" t="n">
        <v>4617.13892</v>
      </c>
      <c r="V223" s="29" t="n">
        <v>4560.65968</v>
      </c>
      <c r="AB223" s="29" t="n">
        <v>4602.33592</v>
      </c>
      <c r="AC223" s="29" t="n">
        <v>4604.7806</v>
      </c>
      <c r="AD223" s="29" t="n">
        <v>0</v>
      </c>
    </row>
    <row r="224" ht="14.25" customHeight="1" s="28">
      <c r="A224" s="29" t="n">
        <v>1777616101</v>
      </c>
      <c r="B224" s="29" t="inlineStr">
        <is>
          <t>XAUUSD</t>
        </is>
      </c>
      <c r="C224" s="29" t="inlineStr">
        <is>
          <t>M15</t>
        </is>
      </c>
      <c r="D224" s="29" t="n">
        <v>4593.44</v>
      </c>
      <c r="E224" s="29" t="n">
        <v>4717.79398</v>
      </c>
      <c r="F224" s="29" t="n">
        <v>4695.2428</v>
      </c>
      <c r="G224" s="29" t="n">
        <v>4518.59282</v>
      </c>
      <c r="H224" s="29" t="n">
        <v>4596.05595</v>
      </c>
      <c r="I224" s="29" t="n">
        <v>4755.40355</v>
      </c>
      <c r="J224" s="29" t="n">
        <v>4792.76972</v>
      </c>
      <c r="K224" s="29" t="n">
        <v>4769.97694</v>
      </c>
      <c r="L224" s="29" t="n">
        <v>4716.33597</v>
      </c>
      <c r="M224" s="29" t="n">
        <v>4718.85043</v>
      </c>
      <c r="N224" s="29" t="n">
        <v>4531.36057</v>
      </c>
      <c r="O224" s="29" t="n">
        <v>4556.93783</v>
      </c>
      <c r="Q224" s="29" t="n">
        <v>4593.50732</v>
      </c>
      <c r="R224" s="29" t="n">
        <v>4641.52498</v>
      </c>
      <c r="S224" s="29" t="n">
        <v>4617.34137</v>
      </c>
      <c r="V224" s="29" t="n">
        <v>4560.86212</v>
      </c>
      <c r="AB224" s="29" t="n">
        <v>4599.75347</v>
      </c>
      <c r="AC224" s="29" t="n">
        <v>4602.26703</v>
      </c>
      <c r="AD224" s="29" t="n">
        <v>0</v>
      </c>
    </row>
    <row r="225" ht="14.25" customHeight="1" s="28">
      <c r="A225" s="29" t="n">
        <v>1777617001</v>
      </c>
      <c r="B225" s="29" t="inlineStr">
        <is>
          <t>XAUUSD</t>
        </is>
      </c>
      <c r="C225" s="29" t="inlineStr">
        <is>
          <t>M15</t>
        </is>
      </c>
      <c r="D225" s="29" t="n">
        <v>4593.36</v>
      </c>
      <c r="E225" s="29" t="n">
        <v>4717.79398</v>
      </c>
      <c r="F225" s="29" t="n">
        <v>4695.2428</v>
      </c>
      <c r="G225" s="29" t="n">
        <v>4518.59282</v>
      </c>
      <c r="H225" s="29" t="n">
        <v>4596.05595</v>
      </c>
      <c r="I225" s="29" t="n">
        <v>4755.40355</v>
      </c>
      <c r="J225" s="29" t="n">
        <v>4792.76972</v>
      </c>
      <c r="K225" s="29" t="n">
        <v>4769.97694</v>
      </c>
      <c r="L225" s="29" t="n">
        <v>4716.33597</v>
      </c>
      <c r="M225" s="29" t="n">
        <v>4718.85043</v>
      </c>
      <c r="N225" s="29" t="n">
        <v>4531.36057</v>
      </c>
      <c r="O225" s="29" t="n">
        <v>4556.93783</v>
      </c>
      <c r="Q225" s="29" t="n">
        <v>4593.70976</v>
      </c>
      <c r="R225" s="29" t="n">
        <v>4641.72743</v>
      </c>
      <c r="S225" s="29" t="n">
        <v>4617.54381</v>
      </c>
      <c r="V225" s="29" t="n">
        <v>4561.06457</v>
      </c>
      <c r="AB225" s="29" t="n">
        <v>4597.13603</v>
      </c>
      <c r="AC225" s="29" t="n">
        <v>4599.70153</v>
      </c>
      <c r="AD225" s="29" t="n">
        <v>0</v>
      </c>
    </row>
    <row r="226" ht="14.25" customHeight="1" s="28">
      <c r="A226" s="29" t="n">
        <v>1777617901</v>
      </c>
      <c r="B226" s="29" t="inlineStr">
        <is>
          <t>XAUUSD</t>
        </is>
      </c>
      <c r="C226" s="29" t="inlineStr">
        <is>
          <t>M15</t>
        </is>
      </c>
      <c r="D226" s="29" t="n">
        <v>4594.77</v>
      </c>
      <c r="E226" s="29" t="n">
        <v>4717.79398</v>
      </c>
      <c r="F226" s="29" t="n">
        <v>4695.2428</v>
      </c>
      <c r="G226" s="29" t="n">
        <v>4518.59282</v>
      </c>
      <c r="H226" s="29" t="n">
        <v>4596.05595</v>
      </c>
      <c r="I226" s="29" t="n">
        <v>4755.40355</v>
      </c>
      <c r="J226" s="29" t="n">
        <v>4792.76972</v>
      </c>
      <c r="K226" s="29" t="n">
        <v>4769.97694</v>
      </c>
      <c r="L226" s="29" t="n">
        <v>4716.33597</v>
      </c>
      <c r="M226" s="29" t="n">
        <v>4718.85043</v>
      </c>
      <c r="N226" s="29" t="n">
        <v>4531.36057</v>
      </c>
      <c r="O226" s="29" t="n">
        <v>4556.93783</v>
      </c>
      <c r="Q226" s="29" t="n">
        <v>4593.91221</v>
      </c>
      <c r="R226" s="29" t="n">
        <v>4641.92987</v>
      </c>
      <c r="S226" s="29" t="n">
        <v>4617.74626</v>
      </c>
      <c r="V226" s="29" t="n">
        <v>4561.26702</v>
      </c>
      <c r="AB226" s="29" t="n">
        <v>4594.29338</v>
      </c>
      <c r="AC226" s="29" t="n">
        <v>4596.99745</v>
      </c>
      <c r="AD226" s="29" t="n">
        <v>0</v>
      </c>
    </row>
    <row r="227" ht="14.25" customHeight="1" s="28">
      <c r="A227" s="29" t="n">
        <v>1777618801</v>
      </c>
      <c r="B227" s="29" t="inlineStr">
        <is>
          <t>XAUUSD</t>
        </is>
      </c>
      <c r="C227" s="29" t="inlineStr">
        <is>
          <t>M15</t>
        </is>
      </c>
      <c r="D227" s="29" t="n">
        <v>4595.97</v>
      </c>
      <c r="E227" s="29" t="n">
        <v>4717.79398</v>
      </c>
      <c r="F227" s="29" t="n">
        <v>4695.2428</v>
      </c>
      <c r="G227" s="29" t="n">
        <v>4518.59282</v>
      </c>
      <c r="H227" s="29" t="n">
        <v>4596.05595</v>
      </c>
      <c r="I227" s="29" t="n">
        <v>4755.40355</v>
      </c>
      <c r="J227" s="29" t="n">
        <v>4792.76972</v>
      </c>
      <c r="K227" s="29" t="n">
        <v>4769.97694</v>
      </c>
      <c r="L227" s="29" t="n">
        <v>4716.33597</v>
      </c>
      <c r="M227" s="29" t="n">
        <v>4718.85043</v>
      </c>
      <c r="N227" s="29" t="n">
        <v>4531.36057</v>
      </c>
      <c r="O227" s="29" t="n">
        <v>4556.93783</v>
      </c>
      <c r="Q227" s="29" t="n">
        <v>4594.11465</v>
      </c>
      <c r="R227" s="29" t="n">
        <v>4642.13232</v>
      </c>
      <c r="S227" s="29" t="n">
        <v>4617.9487</v>
      </c>
      <c r="V227" s="29" t="n">
        <v>4561.46946</v>
      </c>
      <c r="AB227" s="29" t="n">
        <v>4591.09649</v>
      </c>
      <c r="AC227" s="29" t="n">
        <v>4594.04697</v>
      </c>
      <c r="AD227" s="29" t="n">
        <v>0</v>
      </c>
    </row>
    <row r="228" ht="14.25" customHeight="1" s="28">
      <c r="A228" s="29" t="n">
        <v>1777619701</v>
      </c>
      <c r="B228" s="29" t="inlineStr">
        <is>
          <t>XAUUSD</t>
        </is>
      </c>
      <c r="C228" s="29" t="inlineStr">
        <is>
          <t>M15</t>
        </is>
      </c>
      <c r="D228" s="29" t="n">
        <v>4592.32</v>
      </c>
      <c r="E228" s="29" t="n">
        <v>4717.79398</v>
      </c>
      <c r="F228" s="29" t="n">
        <v>4695.2428</v>
      </c>
      <c r="G228" s="29" t="n">
        <v>4518.59282</v>
      </c>
      <c r="H228" s="29" t="n">
        <v>4596.05595</v>
      </c>
      <c r="I228" s="29" t="n">
        <v>4755.40355</v>
      </c>
      <c r="J228" s="29" t="n">
        <v>4792.76972</v>
      </c>
      <c r="K228" s="29" t="n">
        <v>4769.97694</v>
      </c>
      <c r="L228" s="29" t="n">
        <v>4716.33597</v>
      </c>
      <c r="M228" s="29" t="n">
        <v>4718.85043</v>
      </c>
      <c r="N228" s="29" t="n">
        <v>4531.36057</v>
      </c>
      <c r="O228" s="29" t="n">
        <v>4556.93783</v>
      </c>
      <c r="Q228" s="29" t="n">
        <v>4594.3171</v>
      </c>
      <c r="R228" s="29" t="n">
        <v>4642.33476</v>
      </c>
      <c r="S228" s="29" t="n">
        <v>4618.15115</v>
      </c>
      <c r="V228" s="29" t="n">
        <v>4561.67191</v>
      </c>
      <c r="AB228" s="29" t="n">
        <v>4587.48142</v>
      </c>
      <c r="AC228" s="29" t="n">
        <v>4590.7642</v>
      </c>
      <c r="AD228" s="29" t="n">
        <v>0</v>
      </c>
    </row>
    <row r="229" ht="14.25" customHeight="1" s="28">
      <c r="A229" s="29" t="n">
        <v>1777620601</v>
      </c>
      <c r="B229" s="29" t="inlineStr">
        <is>
          <t>XAUUSD</t>
        </is>
      </c>
      <c r="C229" s="29" t="inlineStr">
        <is>
          <t>M15</t>
        </is>
      </c>
      <c r="D229" s="29" t="n">
        <v>4585.41</v>
      </c>
      <c r="E229" s="29" t="n">
        <v>4717.79398</v>
      </c>
      <c r="F229" s="29" t="n">
        <v>4695.2428</v>
      </c>
      <c r="G229" s="29" t="n">
        <v>4518.59282</v>
      </c>
      <c r="H229" s="29" t="n">
        <v>4596.05595</v>
      </c>
      <c r="I229" s="29" t="n">
        <v>4755.40355</v>
      </c>
      <c r="J229" s="29" t="n">
        <v>4792.76972</v>
      </c>
      <c r="K229" s="29" t="n">
        <v>4769.97694</v>
      </c>
      <c r="L229" s="29" t="n">
        <v>4716.33597</v>
      </c>
      <c r="M229" s="29" t="n">
        <v>4718.85043</v>
      </c>
      <c r="N229" s="29" t="n">
        <v>4531.36057</v>
      </c>
      <c r="O229" s="29" t="n">
        <v>4556.93783</v>
      </c>
      <c r="Q229" s="29" t="n">
        <v>4594.51954</v>
      </c>
      <c r="R229" s="29" t="n">
        <v>4642.53721</v>
      </c>
      <c r="S229" s="29" t="n">
        <v>4618.3536</v>
      </c>
      <c r="V229" s="29" t="n">
        <v>4561.87435</v>
      </c>
      <c r="AB229" s="29" t="n">
        <v>4583.57847</v>
      </c>
      <c r="AC229" s="29" t="n">
        <v>4587.17133</v>
      </c>
      <c r="AD229" s="29" t="n">
        <v>0</v>
      </c>
    </row>
    <row r="230" ht="14.25" customHeight="1" s="28">
      <c r="A230" s="29" t="n">
        <v>1777621501</v>
      </c>
      <c r="B230" s="29" t="inlineStr">
        <is>
          <t>XAUUSD</t>
        </is>
      </c>
      <c r="C230" s="29" t="inlineStr">
        <is>
          <t>M15</t>
        </is>
      </c>
      <c r="D230" s="29" t="n">
        <v>4578.16</v>
      </c>
      <c r="E230" s="29" t="n">
        <v>4717.79398</v>
      </c>
      <c r="F230" s="29" t="n">
        <v>4695.2428</v>
      </c>
      <c r="G230" s="29" t="n">
        <v>4518.59282</v>
      </c>
      <c r="H230" s="29" t="n">
        <v>4596.05595</v>
      </c>
      <c r="I230" s="29" t="n">
        <v>4755.40355</v>
      </c>
      <c r="J230" s="29" t="n">
        <v>4792.76972</v>
      </c>
      <c r="K230" s="29" t="n">
        <v>4769.97694</v>
      </c>
      <c r="L230" s="29" t="n">
        <v>4716.33597</v>
      </c>
      <c r="M230" s="29" t="n">
        <v>4718.85043</v>
      </c>
      <c r="N230" s="29" t="n">
        <v>4531.36057</v>
      </c>
      <c r="O230" s="29" t="n">
        <v>4556.93783</v>
      </c>
      <c r="Q230" s="29" t="n">
        <v>4594.72199</v>
      </c>
      <c r="R230" s="29" t="n">
        <v>4642.73965</v>
      </c>
      <c r="S230" s="29" t="n">
        <v>4618.55604</v>
      </c>
      <c r="V230" s="29" t="n">
        <v>4562.0768</v>
      </c>
      <c r="AB230" s="29" t="n">
        <v>4579.65779</v>
      </c>
      <c r="AC230" s="29" t="n">
        <v>4583.41456</v>
      </c>
      <c r="AD230" s="29" t="n">
        <v>0</v>
      </c>
    </row>
    <row r="231" ht="14.25" customHeight="1" s="28">
      <c r="A231" s="29" t="n">
        <v>1777622401</v>
      </c>
      <c r="B231" s="29" t="inlineStr">
        <is>
          <t>XAUUSD</t>
        </is>
      </c>
      <c r="C231" s="29" t="inlineStr">
        <is>
          <t>M15</t>
        </is>
      </c>
      <c r="D231" s="29" t="n">
        <v>4574.06</v>
      </c>
      <c r="E231" s="29" t="n">
        <v>4717.79398</v>
      </c>
      <c r="F231" s="29" t="n">
        <v>4695.2428</v>
      </c>
      <c r="G231" s="29" t="n">
        <v>4518.59282</v>
      </c>
      <c r="H231" s="29" t="n">
        <v>4596.05595</v>
      </c>
      <c r="I231" s="29" t="n">
        <v>4755.40355</v>
      </c>
      <c r="J231" s="29" t="n">
        <v>4792.76972</v>
      </c>
      <c r="K231" s="29" t="n">
        <v>4769.97694</v>
      </c>
      <c r="L231" s="29" t="n">
        <v>4716.33597</v>
      </c>
      <c r="M231" s="29" t="n">
        <v>4718.85043</v>
      </c>
      <c r="N231" s="29" t="n">
        <v>4531.36057</v>
      </c>
      <c r="O231" s="29" t="n">
        <v>4556.93783</v>
      </c>
      <c r="Q231" s="29" t="n">
        <v>4594.92444</v>
      </c>
      <c r="R231" s="29" t="n">
        <v>4642.9421</v>
      </c>
      <c r="S231" s="29" t="n">
        <v>4618.75849</v>
      </c>
      <c r="V231" s="29" t="n">
        <v>4562.27924</v>
      </c>
      <c r="AB231" s="29" t="n">
        <v>4576.01848</v>
      </c>
      <c r="AC231" s="29" t="n">
        <v>4579.71652</v>
      </c>
      <c r="AD231" s="29" t="n">
        <v>0</v>
      </c>
    </row>
    <row r="232" ht="14.25" customHeight="1" s="28">
      <c r="A232" s="29" t="n">
        <v>1777623301</v>
      </c>
      <c r="B232" s="29" t="inlineStr">
        <is>
          <t>XAUUSD</t>
        </is>
      </c>
      <c r="C232" s="29" t="inlineStr">
        <is>
          <t>M15</t>
        </is>
      </c>
      <c r="D232" s="29" t="n">
        <v>4567.37</v>
      </c>
      <c r="E232" s="29" t="n">
        <v>4717.79398</v>
      </c>
      <c r="F232" s="29" t="n">
        <v>4695.2428</v>
      </c>
      <c r="G232" s="29" t="n">
        <v>4518.59282</v>
      </c>
      <c r="H232" s="29" t="n">
        <v>4596.05595</v>
      </c>
      <c r="I232" s="29" t="n">
        <v>4755.40355</v>
      </c>
      <c r="J232" s="29" t="n">
        <v>4792.76972</v>
      </c>
      <c r="K232" s="29" t="n">
        <v>4769.97694</v>
      </c>
      <c r="L232" s="29" t="n">
        <v>4716.33597</v>
      </c>
      <c r="M232" s="29" t="n">
        <v>4718.85043</v>
      </c>
      <c r="N232" s="29" t="n">
        <v>4531.36057</v>
      </c>
      <c r="O232" s="29" t="n">
        <v>4556.93783</v>
      </c>
      <c r="Q232" s="29" t="n">
        <v>4595.12688</v>
      </c>
      <c r="R232" s="29" t="n">
        <v>4643.14455</v>
      </c>
      <c r="S232" s="29" t="n">
        <v>4618.96093</v>
      </c>
      <c r="V232" s="29" t="n">
        <v>4562.48169</v>
      </c>
      <c r="AB232" s="29" t="n">
        <v>4572.85269</v>
      </c>
      <c r="AC232" s="29" t="n">
        <v>4576.2846</v>
      </c>
      <c r="AD232" s="29" t="n">
        <v>0</v>
      </c>
    </row>
    <row r="233" ht="14.25" customHeight="1" s="28">
      <c r="A233" s="29" t="n">
        <v>1777624201</v>
      </c>
      <c r="B233" s="29" t="inlineStr">
        <is>
          <t>XAUUSD</t>
        </is>
      </c>
      <c r="C233" s="29" t="inlineStr">
        <is>
          <t>M15</t>
        </is>
      </c>
      <c r="D233" s="29" t="n">
        <v>4571.29</v>
      </c>
      <c r="E233" s="29" t="n">
        <v>4717.79398</v>
      </c>
      <c r="F233" s="29" t="n">
        <v>4695.2428</v>
      </c>
      <c r="G233" s="29" t="n">
        <v>4518.59282</v>
      </c>
      <c r="H233" s="29" t="n">
        <v>4596.05595</v>
      </c>
      <c r="I233" s="29" t="n">
        <v>4755.40355</v>
      </c>
      <c r="J233" s="29" t="n">
        <v>4792.76972</v>
      </c>
      <c r="K233" s="29" t="n">
        <v>4769.97694</v>
      </c>
      <c r="L233" s="29" t="n">
        <v>4716.33597</v>
      </c>
      <c r="M233" s="29" t="n">
        <v>4718.85043</v>
      </c>
      <c r="N233" s="29" t="n">
        <v>4531.36057</v>
      </c>
      <c r="O233" s="29" t="n">
        <v>4556.93783</v>
      </c>
      <c r="Q233" s="29" t="n">
        <v>4595.32933</v>
      </c>
      <c r="R233" s="29" t="n">
        <v>4643.34699</v>
      </c>
      <c r="S233" s="29" t="n">
        <v>4619.16338</v>
      </c>
      <c r="V233" s="29" t="n">
        <v>4562.68414</v>
      </c>
      <c r="AB233" s="29" t="n">
        <v>4570.38966</v>
      </c>
      <c r="AC233" s="29" t="n">
        <v>4573.33713</v>
      </c>
      <c r="AD233" s="29" t="n">
        <v>0</v>
      </c>
    </row>
    <row r="234" ht="14.25" customHeight="1" s="28">
      <c r="A234" s="29" t="n">
        <v>1777625101</v>
      </c>
      <c r="B234" s="29" t="inlineStr">
        <is>
          <t>XAUUSD</t>
        </is>
      </c>
      <c r="C234" s="29" t="inlineStr">
        <is>
          <t>M15</t>
        </is>
      </c>
      <c r="D234" s="29" t="n">
        <v>4568.51</v>
      </c>
      <c r="E234" s="29" t="n">
        <v>4717.79398</v>
      </c>
      <c r="F234" s="29" t="n">
        <v>4695.2428</v>
      </c>
      <c r="G234" s="29" t="n">
        <v>4518.59282</v>
      </c>
      <c r="H234" s="29" t="n">
        <v>4596.05595</v>
      </c>
      <c r="I234" s="29" t="n">
        <v>4755.40355</v>
      </c>
      <c r="J234" s="29" t="n">
        <v>4792.76972</v>
      </c>
      <c r="K234" s="29" t="n">
        <v>4769.97694</v>
      </c>
      <c r="L234" s="29" t="n">
        <v>4716.33597</v>
      </c>
      <c r="M234" s="29" t="n">
        <v>4718.85043</v>
      </c>
      <c r="N234" s="29" t="n">
        <v>4531.36057</v>
      </c>
      <c r="O234" s="29" t="n">
        <v>4556.93783</v>
      </c>
      <c r="Q234" s="29" t="n">
        <v>4595.53177</v>
      </c>
      <c r="R234" s="29" t="n">
        <v>4643.54944</v>
      </c>
      <c r="S234" s="29" t="n">
        <v>4619.36582</v>
      </c>
      <c r="V234" s="29" t="n">
        <v>4562.88658</v>
      </c>
      <c r="AB234" s="29" t="n">
        <v>4568.51331</v>
      </c>
      <c r="AC234" s="29" t="n">
        <v>4570.92522</v>
      </c>
      <c r="AD234" s="29" t="n">
        <v>0</v>
      </c>
    </row>
    <row r="235" ht="14.25" customHeight="1" s="28">
      <c r="A235" s="29" t="n">
        <v>1777626001</v>
      </c>
      <c r="B235" s="29" t="inlineStr">
        <is>
          <t>XAUUSD</t>
        </is>
      </c>
      <c r="C235" s="29" t="inlineStr">
        <is>
          <t>M15</t>
        </is>
      </c>
      <c r="D235" s="29" t="n">
        <v>4565.87</v>
      </c>
      <c r="E235" s="29" t="n">
        <v>4717.79398</v>
      </c>
      <c r="F235" s="29" t="n">
        <v>4695.2428</v>
      </c>
      <c r="G235" s="29" t="n">
        <v>4518.59282</v>
      </c>
      <c r="H235" s="29" t="n">
        <v>4596.05595</v>
      </c>
      <c r="I235" s="29" t="n">
        <v>4755.40355</v>
      </c>
      <c r="J235" s="29" t="n">
        <v>4792.76972</v>
      </c>
      <c r="K235" s="29" t="n">
        <v>4769.97694</v>
      </c>
      <c r="L235" s="29" t="n">
        <v>4716.33597</v>
      </c>
      <c r="M235" s="29" t="n">
        <v>4718.85043</v>
      </c>
      <c r="N235" s="29" t="n">
        <v>4531.36057</v>
      </c>
      <c r="O235" s="29" t="n">
        <v>4556.93783</v>
      </c>
      <c r="Q235" s="29" t="n">
        <v>4595.73422</v>
      </c>
      <c r="R235" s="29" t="n">
        <v>4643.75188</v>
      </c>
      <c r="S235" s="29" t="n">
        <v>4619.56827</v>
      </c>
      <c r="V235" s="29" t="n">
        <v>4563.08903</v>
      </c>
      <c r="AB235" s="29" t="n">
        <v>4567.25655</v>
      </c>
      <c r="AC235" s="29" t="n">
        <v>4569.09088</v>
      </c>
      <c r="AD235" s="29" t="n">
        <v>0</v>
      </c>
    </row>
    <row r="236" ht="14.25" customHeight="1" s="28">
      <c r="A236" s="29" t="n">
        <v>1777626901</v>
      </c>
      <c r="B236" s="29" t="inlineStr">
        <is>
          <t>XAUUSD</t>
        </is>
      </c>
      <c r="C236" s="29" t="inlineStr">
        <is>
          <t>M15</t>
        </is>
      </c>
      <c r="D236" s="29" t="n">
        <v>4569.29</v>
      </c>
      <c r="E236" s="29" t="n">
        <v>4717.79398</v>
      </c>
      <c r="F236" s="29" t="n">
        <v>4695.2428</v>
      </c>
      <c r="G236" s="29" t="n">
        <v>4518.59282</v>
      </c>
      <c r="H236" s="29" t="n">
        <v>4596.05595</v>
      </c>
      <c r="I236" s="29" t="n">
        <v>4755.40355</v>
      </c>
      <c r="J236" s="29" t="n">
        <v>4792.76972</v>
      </c>
      <c r="K236" s="29" t="n">
        <v>4769.97694</v>
      </c>
      <c r="L236" s="29" t="n">
        <v>4716.33597</v>
      </c>
      <c r="M236" s="29" t="n">
        <v>4718.85043</v>
      </c>
      <c r="N236" s="29" t="n">
        <v>4531.36057</v>
      </c>
      <c r="O236" s="29" t="n">
        <v>4556.93783</v>
      </c>
      <c r="Q236" s="29" t="n">
        <v>4595.93666</v>
      </c>
      <c r="R236" s="29" t="n">
        <v>4643.95433</v>
      </c>
      <c r="S236" s="29" t="n">
        <v>4619.77072</v>
      </c>
      <c r="V236" s="29" t="n">
        <v>4563.29147</v>
      </c>
      <c r="AB236" s="29" t="n">
        <v>4566.60201</v>
      </c>
      <c r="AC236" s="29" t="n">
        <v>4567.84645</v>
      </c>
      <c r="AD236" s="29" t="n">
        <v>0</v>
      </c>
    </row>
    <row r="237" ht="14.25" customHeight="1" s="28">
      <c r="A237" s="29" t="n">
        <v>1777627801</v>
      </c>
      <c r="B237" s="29" t="inlineStr">
        <is>
          <t>XAUUSD</t>
        </is>
      </c>
      <c r="C237" s="29" t="inlineStr">
        <is>
          <t>M15</t>
        </is>
      </c>
      <c r="D237" s="29" t="n">
        <v>4570.62</v>
      </c>
      <c r="E237" s="29" t="n">
        <v>4717.79398</v>
      </c>
      <c r="F237" s="29" t="n">
        <v>4695.2428</v>
      </c>
      <c r="G237" s="29" t="n">
        <v>4518.59282</v>
      </c>
      <c r="H237" s="29" t="n">
        <v>4596.05595</v>
      </c>
      <c r="I237" s="29" t="n">
        <v>4755.40355</v>
      </c>
      <c r="J237" s="29" t="n">
        <v>4792.76972</v>
      </c>
      <c r="K237" s="29" t="n">
        <v>4769.97694</v>
      </c>
      <c r="L237" s="29" t="n">
        <v>4716.33597</v>
      </c>
      <c r="M237" s="29" t="n">
        <v>4718.85043</v>
      </c>
      <c r="N237" s="29" t="n">
        <v>4531.36057</v>
      </c>
      <c r="O237" s="29" t="n">
        <v>4556.93783</v>
      </c>
      <c r="Q237" s="29" t="n">
        <v>4596.13911</v>
      </c>
      <c r="R237" s="29" t="n">
        <v>4644.15677</v>
      </c>
      <c r="S237" s="29" t="n">
        <v>4619.97316</v>
      </c>
      <c r="V237" s="29" t="n">
        <v>4563.49392</v>
      </c>
      <c r="AB237" s="29" t="n">
        <v>4566.36135</v>
      </c>
      <c r="AC237" s="29" t="n">
        <v>4567.1039</v>
      </c>
      <c r="AD237" s="29" t="n">
        <v>0</v>
      </c>
    </row>
    <row r="238" ht="14.25" customHeight="1" s="28">
      <c r="A238" s="29" t="n">
        <v>1777628701</v>
      </c>
      <c r="B238" s="29" t="inlineStr">
        <is>
          <t>XAUUSD</t>
        </is>
      </c>
      <c r="C238" s="29" t="inlineStr">
        <is>
          <t>M15</t>
        </is>
      </c>
      <c r="D238" s="29" t="n">
        <v>4563.12</v>
      </c>
      <c r="E238" s="29" t="n">
        <v>4717.79398</v>
      </c>
      <c r="F238" s="29" t="n">
        <v>4695.2428</v>
      </c>
      <c r="G238" s="29" t="n">
        <v>4518.59282</v>
      </c>
      <c r="H238" s="29" t="n">
        <v>4596.05595</v>
      </c>
      <c r="I238" s="29" t="n">
        <v>4755.40355</v>
      </c>
      <c r="J238" s="29" t="n">
        <v>4792.76972</v>
      </c>
      <c r="K238" s="29" t="n">
        <v>4769.97694</v>
      </c>
      <c r="L238" s="29" t="n">
        <v>4716.33597</v>
      </c>
      <c r="M238" s="29" t="n">
        <v>4718.85043</v>
      </c>
      <c r="N238" s="29" t="n">
        <v>4531.36057</v>
      </c>
      <c r="O238" s="29" t="n">
        <v>4556.93783</v>
      </c>
      <c r="Q238" s="29" t="n">
        <v>4596.34156</v>
      </c>
      <c r="R238" s="29" t="n">
        <v>4644.35922</v>
      </c>
      <c r="S238" s="29" t="n">
        <v>4620.17561</v>
      </c>
      <c r="V238" s="29" t="n">
        <v>4563.69636</v>
      </c>
      <c r="AA238" s="29" t="n">
        <v>4560.44</v>
      </c>
      <c r="AB238" s="29" t="n">
        <v>4566.40961</v>
      </c>
      <c r="AC238" s="29" t="n">
        <v>4566.75676</v>
      </c>
      <c r="AD238" s="29" t="n">
        <v>0</v>
      </c>
    </row>
    <row r="239" ht="14.25" customHeight="1" s="28">
      <c r="A239" s="29" t="n">
        <v>1777629601</v>
      </c>
      <c r="B239" s="29" t="inlineStr">
        <is>
          <t>XAUUSD</t>
        </is>
      </c>
      <c r="C239" s="29" t="inlineStr">
        <is>
          <t>M15</t>
        </is>
      </c>
      <c r="D239" s="29" t="n">
        <v>4566.78</v>
      </c>
      <c r="E239" s="29" t="n">
        <v>4717.79398</v>
      </c>
      <c r="F239" s="29" t="n">
        <v>4695.2428</v>
      </c>
      <c r="G239" s="29" t="n">
        <v>4518.59282</v>
      </c>
      <c r="H239" s="29" t="n">
        <v>4596.05595</v>
      </c>
      <c r="I239" s="29" t="n">
        <v>4755.40355</v>
      </c>
      <c r="J239" s="29" t="n">
        <v>4792.76972</v>
      </c>
      <c r="K239" s="29" t="n">
        <v>4769.97694</v>
      </c>
      <c r="L239" s="29" t="n">
        <v>4716.33597</v>
      </c>
      <c r="M239" s="29" t="n">
        <v>4718.85043</v>
      </c>
      <c r="N239" s="29" t="n">
        <v>4531.36057</v>
      </c>
      <c r="O239" s="29" t="n">
        <v>4556.93783</v>
      </c>
      <c r="Q239" s="29" t="n">
        <v>4596.544</v>
      </c>
      <c r="R239" s="29" t="n">
        <v>4644.56167</v>
      </c>
      <c r="S239" s="29" t="n">
        <v>4620.37805</v>
      </c>
      <c r="V239" s="29" t="n">
        <v>4563.89881</v>
      </c>
      <c r="AB239" s="29" t="n">
        <v>4566.93363</v>
      </c>
      <c r="AC239" s="29" t="n">
        <v>4566.84519</v>
      </c>
      <c r="AD239" s="29" t="n">
        <v>1</v>
      </c>
    </row>
    <row r="240" ht="14.25" customHeight="1" s="28">
      <c r="A240" s="29" t="n">
        <v>1777630501</v>
      </c>
      <c r="B240" s="29" t="inlineStr">
        <is>
          <t>XAUUSD</t>
        </is>
      </c>
      <c r="C240" s="29" t="inlineStr">
        <is>
          <t>M15</t>
        </is>
      </c>
      <c r="D240" s="29" t="n">
        <v>4572.18</v>
      </c>
      <c r="E240" s="29" t="n">
        <v>4717.79398</v>
      </c>
      <c r="F240" s="29" t="n">
        <v>4695.2428</v>
      </c>
      <c r="G240" s="29" t="n">
        <v>4518.59282</v>
      </c>
      <c r="H240" s="29" t="n">
        <v>4596.05595</v>
      </c>
      <c r="I240" s="29" t="n">
        <v>4755.40355</v>
      </c>
      <c r="J240" s="29" t="n">
        <v>4792.76972</v>
      </c>
      <c r="K240" s="29" t="n">
        <v>4769.97694</v>
      </c>
      <c r="L240" s="29" t="n">
        <v>4716.33597</v>
      </c>
      <c r="M240" s="29" t="n">
        <v>4718.85043</v>
      </c>
      <c r="N240" s="29" t="n">
        <v>4531.36057</v>
      </c>
      <c r="O240" s="29" t="n">
        <v>4556.93783</v>
      </c>
      <c r="Q240" s="29" t="n">
        <v>4596.74645</v>
      </c>
      <c r="R240" s="29" t="n">
        <v>4644.76411</v>
      </c>
      <c r="S240" s="29" t="n">
        <v>4620.5805</v>
      </c>
      <c r="V240" s="29" t="n">
        <v>4564.10126</v>
      </c>
      <c r="AB240" s="29" t="n">
        <v>4567.82184</v>
      </c>
      <c r="AC240" s="29" t="n">
        <v>4567.33352</v>
      </c>
      <c r="AD240" s="29" t="n">
        <v>0</v>
      </c>
    </row>
    <row r="241" ht="14.25" customHeight="1" s="28">
      <c r="A241" s="29" t="n">
        <v>1777631401</v>
      </c>
      <c r="B241" s="29" t="inlineStr">
        <is>
          <t>XAUUSD</t>
        </is>
      </c>
      <c r="C241" s="29" t="inlineStr">
        <is>
          <t>M15</t>
        </is>
      </c>
      <c r="D241" s="29" t="n">
        <v>4570.49</v>
      </c>
      <c r="E241" s="29" t="n">
        <v>4717.79398</v>
      </c>
      <c r="F241" s="29" t="n">
        <v>4695.2428</v>
      </c>
      <c r="G241" s="29" t="n">
        <v>4518.59282</v>
      </c>
      <c r="H241" s="29" t="n">
        <v>4596.05595</v>
      </c>
      <c r="I241" s="29" t="n">
        <v>4755.40355</v>
      </c>
      <c r="J241" s="29" t="n">
        <v>4792.76972</v>
      </c>
      <c r="K241" s="29" t="n">
        <v>4769.97694</v>
      </c>
      <c r="L241" s="29" t="n">
        <v>4716.33597</v>
      </c>
      <c r="M241" s="29" t="n">
        <v>4718.85043</v>
      </c>
      <c r="N241" s="29" t="n">
        <v>4531.36057</v>
      </c>
      <c r="O241" s="29" t="n">
        <v>4556.93783</v>
      </c>
      <c r="Q241" s="29" t="n">
        <v>4596.94889</v>
      </c>
      <c r="R241" s="29" t="n">
        <v>4644.96656</v>
      </c>
      <c r="S241" s="29" t="n">
        <v>4620.78294</v>
      </c>
      <c r="V241" s="29" t="n">
        <v>4564.3037</v>
      </c>
      <c r="AB241" s="29" t="n">
        <v>4568.91827</v>
      </c>
      <c r="AC241" s="29" t="n">
        <v>4568.12589</v>
      </c>
      <c r="AD241" s="29" t="n">
        <v>0</v>
      </c>
    </row>
    <row r="242" ht="14.25" customHeight="1" s="28">
      <c r="A242" s="29" t="n">
        <v>1777632301</v>
      </c>
      <c r="B242" s="29" t="inlineStr">
        <is>
          <t>XAUUSD</t>
        </is>
      </c>
      <c r="C242" s="29" t="inlineStr">
        <is>
          <t>M15</t>
        </is>
      </c>
      <c r="D242" s="29" t="n">
        <v>4566.67</v>
      </c>
      <c r="E242" s="29" t="n">
        <v>4717.79398</v>
      </c>
      <c r="F242" s="29" t="n">
        <v>4695.2428</v>
      </c>
      <c r="G242" s="29" t="n">
        <v>4518.59282</v>
      </c>
      <c r="H242" s="29" t="n">
        <v>4596.05595</v>
      </c>
      <c r="I242" s="29" t="n">
        <v>4755.40355</v>
      </c>
      <c r="J242" s="29" t="n">
        <v>4792.76972</v>
      </c>
      <c r="K242" s="29" t="n">
        <v>4769.97694</v>
      </c>
      <c r="L242" s="29" t="n">
        <v>4716.33597</v>
      </c>
      <c r="M242" s="29" t="n">
        <v>4718.85043</v>
      </c>
      <c r="N242" s="29" t="n">
        <v>4531.36057</v>
      </c>
      <c r="O242" s="29" t="n">
        <v>4556.93783</v>
      </c>
      <c r="Q242" s="29" t="n">
        <v>4597.15134</v>
      </c>
      <c r="R242" s="29" t="n">
        <v>4645.169</v>
      </c>
      <c r="S242" s="29" t="n">
        <v>4620.98539</v>
      </c>
      <c r="V242" s="29" t="n">
        <v>4564.50615</v>
      </c>
      <c r="AB242" s="29" t="n">
        <v>4570.29255</v>
      </c>
      <c r="AC242" s="29" t="n">
        <v>4569.20922</v>
      </c>
      <c r="AD242" s="29" t="n">
        <v>0</v>
      </c>
    </row>
    <row r="243" ht="14.25" customHeight="1" s="28">
      <c r="A243" s="29" t="n">
        <v>1777633201</v>
      </c>
      <c r="B243" s="29" t="inlineStr">
        <is>
          <t>XAUUSD</t>
        </is>
      </c>
      <c r="C243" s="29" t="inlineStr">
        <is>
          <t>M15</t>
        </is>
      </c>
      <c r="D243" s="29" t="n">
        <v>4565.94</v>
      </c>
      <c r="E243" s="29" t="n">
        <v>4717.79398</v>
      </c>
      <c r="F243" s="29" t="n">
        <v>4695.2428</v>
      </c>
      <c r="G243" s="29" t="n">
        <v>4518.59282</v>
      </c>
      <c r="H243" s="29" t="n">
        <v>4596.05595</v>
      </c>
      <c r="I243" s="29" t="n">
        <v>4755.40355</v>
      </c>
      <c r="J243" s="29" t="n">
        <v>4792.76972</v>
      </c>
      <c r="K243" s="29" t="n">
        <v>4769.97694</v>
      </c>
      <c r="L243" s="29" t="n">
        <v>4716.33597</v>
      </c>
      <c r="M243" s="29" t="n">
        <v>4718.85043</v>
      </c>
      <c r="N243" s="29" t="n">
        <v>4531.36057</v>
      </c>
      <c r="O243" s="29" t="n">
        <v>4556.93783</v>
      </c>
      <c r="Q243" s="29" t="n">
        <v>4597.35378</v>
      </c>
      <c r="R243" s="29" t="n">
        <v>4645.37145</v>
      </c>
      <c r="S243" s="29" t="n">
        <v>4621.18784</v>
      </c>
      <c r="V243" s="29" t="n">
        <v>4564.70859</v>
      </c>
      <c r="AB243" s="29" t="n">
        <v>4572.03909</v>
      </c>
      <c r="AC243" s="29" t="n">
        <v>4570.62416</v>
      </c>
      <c r="AD243" s="29" t="n">
        <v>0</v>
      </c>
    </row>
    <row r="244" ht="14.25" customHeight="1" s="28">
      <c r="A244" s="29" t="n">
        <v>1777634101</v>
      </c>
      <c r="B244" s="29" t="inlineStr">
        <is>
          <t>XAUUSD</t>
        </is>
      </c>
      <c r="C244" s="29" t="inlineStr">
        <is>
          <t>M15</t>
        </is>
      </c>
      <c r="D244" s="29" t="n">
        <v>4572.03</v>
      </c>
      <c r="E244" s="29" t="n">
        <v>4717.79398</v>
      </c>
      <c r="F244" s="29" t="n">
        <v>4695.2428</v>
      </c>
      <c r="G244" s="29" t="n">
        <v>4518.59282</v>
      </c>
      <c r="H244" s="29" t="n">
        <v>4596.05595</v>
      </c>
      <c r="I244" s="29" t="n">
        <v>4755.40355</v>
      </c>
      <c r="J244" s="29" t="n">
        <v>4792.76972</v>
      </c>
      <c r="K244" s="29" t="n">
        <v>4769.97694</v>
      </c>
      <c r="L244" s="29" t="n">
        <v>4716.33597</v>
      </c>
      <c r="M244" s="29" t="n">
        <v>4718.85043</v>
      </c>
      <c r="N244" s="29" t="n">
        <v>4531.36057</v>
      </c>
      <c r="O244" s="29" t="n">
        <v>4556.93783</v>
      </c>
      <c r="Q244" s="29" t="n">
        <v>4597.55623</v>
      </c>
      <c r="R244" s="29" t="n">
        <v>4645.57389</v>
      </c>
      <c r="S244" s="29" t="n">
        <v>4621.39028</v>
      </c>
      <c r="V244" s="29" t="n">
        <v>4564.91104</v>
      </c>
      <c r="AB244" s="29" t="n">
        <v>4574.19344</v>
      </c>
      <c r="AC244" s="29" t="n">
        <v>4572.4088</v>
      </c>
      <c r="AD244" s="29" t="n">
        <v>0</v>
      </c>
    </row>
    <row r="245" ht="14.25" customHeight="1" s="28">
      <c r="A245" s="29" t="n">
        <v>1777635001</v>
      </c>
      <c r="B245" s="29" t="inlineStr">
        <is>
          <t>XAUUSD</t>
        </is>
      </c>
      <c r="C245" s="29" t="inlineStr">
        <is>
          <t>M15</t>
        </is>
      </c>
      <c r="D245" s="29" t="n">
        <v>4575.75</v>
      </c>
      <c r="E245" s="29" t="n">
        <v>4717.79398</v>
      </c>
      <c r="F245" s="29" t="n">
        <v>4695.2428</v>
      </c>
      <c r="G245" s="29" t="n">
        <v>4518.59282</v>
      </c>
      <c r="H245" s="29" t="n">
        <v>4596.05595</v>
      </c>
      <c r="I245" s="29" t="n">
        <v>4755.40355</v>
      </c>
      <c r="J245" s="29" t="n">
        <v>4792.76972</v>
      </c>
      <c r="K245" s="29" t="n">
        <v>4769.97694</v>
      </c>
      <c r="L245" s="29" t="n">
        <v>4716.33597</v>
      </c>
      <c r="M245" s="29" t="n">
        <v>4718.85043</v>
      </c>
      <c r="N245" s="29" t="n">
        <v>4531.36057</v>
      </c>
      <c r="O245" s="29" t="n">
        <v>4556.93783</v>
      </c>
      <c r="Q245" s="29" t="n">
        <v>4597.75868</v>
      </c>
      <c r="R245" s="29" t="n">
        <v>4645.77634</v>
      </c>
      <c r="S245" s="29" t="n">
        <v>4621.59273</v>
      </c>
      <c r="V245" s="29" t="n">
        <v>4565.11348</v>
      </c>
      <c r="AB245" s="29" t="n">
        <v>4576.61592</v>
      </c>
      <c r="AC245" s="29" t="n">
        <v>4574.51236</v>
      </c>
      <c r="AD245" s="29" t="n">
        <v>0</v>
      </c>
    </row>
    <row r="246" ht="14.25" customHeight="1" s="28">
      <c r="A246" s="29" t="n">
        <v>1777635901</v>
      </c>
      <c r="B246" s="29" t="inlineStr">
        <is>
          <t>XAUUSD</t>
        </is>
      </c>
      <c r="C246" s="29" t="inlineStr">
        <is>
          <t>M15</t>
        </is>
      </c>
      <c r="D246" s="29" t="n">
        <v>4578.84</v>
      </c>
      <c r="E246" s="29" t="n">
        <v>4717.79398</v>
      </c>
      <c r="F246" s="29" t="n">
        <v>4695.2428</v>
      </c>
      <c r="G246" s="29" t="n">
        <v>4518.59282</v>
      </c>
      <c r="H246" s="29" t="n">
        <v>4596.05595</v>
      </c>
      <c r="I246" s="29" t="n">
        <v>4755.40355</v>
      </c>
      <c r="J246" s="29" t="n">
        <v>4792.76972</v>
      </c>
      <c r="K246" s="29" t="n">
        <v>4769.97694</v>
      </c>
      <c r="L246" s="29" t="n">
        <v>4716.33597</v>
      </c>
      <c r="M246" s="29" t="n">
        <v>4718.85043</v>
      </c>
      <c r="N246" s="29" t="n">
        <v>4531.36057</v>
      </c>
      <c r="O246" s="29" t="n">
        <v>4556.93783</v>
      </c>
      <c r="Q246" s="29" t="n">
        <v>4597.96112</v>
      </c>
      <c r="R246" s="29" t="n">
        <v>4645.97879</v>
      </c>
      <c r="S246" s="29" t="n">
        <v>4621.79517</v>
      </c>
      <c r="V246" s="29" t="n">
        <v>4565.31593</v>
      </c>
      <c r="AB246" s="29" t="n">
        <v>4579.29706</v>
      </c>
      <c r="AC246" s="29" t="n">
        <v>4576.90471</v>
      </c>
      <c r="AD246" s="29" t="n">
        <v>0</v>
      </c>
    </row>
    <row r="247" ht="14.25" customHeight="1" s="28">
      <c r="A247" s="29" t="n">
        <v>1777636801</v>
      </c>
      <c r="B247" s="29" t="inlineStr">
        <is>
          <t>XAUUSD</t>
        </is>
      </c>
      <c r="C247" s="29" t="inlineStr">
        <is>
          <t>M15</t>
        </is>
      </c>
      <c r="D247" s="29" t="n">
        <v>4584.86</v>
      </c>
      <c r="E247" s="29" t="n">
        <v>4717.79398</v>
      </c>
      <c r="F247" s="29" t="n">
        <v>4695.2428</v>
      </c>
      <c r="G247" s="29" t="n">
        <v>4518.59282</v>
      </c>
      <c r="H247" s="29" t="n">
        <v>4596.05595</v>
      </c>
      <c r="I247" s="29" t="n">
        <v>4755.40355</v>
      </c>
      <c r="J247" s="29" t="n">
        <v>4792.76972</v>
      </c>
      <c r="K247" s="29" t="n">
        <v>4769.97694</v>
      </c>
      <c r="L247" s="29" t="n">
        <v>4716.33597</v>
      </c>
      <c r="M247" s="29" t="n">
        <v>4718.85043</v>
      </c>
      <c r="N247" s="29" t="n">
        <v>4531.36057</v>
      </c>
      <c r="O247" s="29" t="n">
        <v>4556.93783</v>
      </c>
      <c r="Q247" s="29" t="n">
        <v>4598.16357</v>
      </c>
      <c r="R247" s="29" t="n">
        <v>4646.18123</v>
      </c>
      <c r="S247" s="29" t="n">
        <v>4621.99762</v>
      </c>
      <c r="V247" s="29" t="n">
        <v>4565.51837</v>
      </c>
      <c r="AB247" s="29" t="n">
        <v>4582.33157</v>
      </c>
      <c r="AC247" s="29" t="n">
        <v>4579.61814</v>
      </c>
      <c r="AD247" s="29" t="n">
        <v>0</v>
      </c>
    </row>
    <row r="248" ht="14.25" customHeight="1" s="28">
      <c r="A248" s="29" t="n">
        <v>1777637701</v>
      </c>
      <c r="B248" s="29" t="inlineStr">
        <is>
          <t>XAUUSD</t>
        </is>
      </c>
      <c r="C248" s="29" t="inlineStr">
        <is>
          <t>M15</t>
        </is>
      </c>
      <c r="D248" s="29" t="n">
        <v>4602.95</v>
      </c>
      <c r="E248" s="29" t="n">
        <v>4717.79398</v>
      </c>
      <c r="F248" s="29" t="n">
        <v>4695.2428</v>
      </c>
      <c r="G248" s="29" t="n">
        <v>4518.59282</v>
      </c>
      <c r="H248" s="29" t="n">
        <v>4596.05595</v>
      </c>
      <c r="I248" s="29" t="n">
        <v>4755.40355</v>
      </c>
      <c r="J248" s="29" t="n">
        <v>4792.76972</v>
      </c>
      <c r="K248" s="29" t="n">
        <v>4769.97694</v>
      </c>
      <c r="L248" s="29" t="n">
        <v>4716.33597</v>
      </c>
      <c r="M248" s="29" t="n">
        <v>4718.85043</v>
      </c>
      <c r="N248" s="29" t="n">
        <v>4531.36057</v>
      </c>
      <c r="O248" s="29" t="n">
        <v>4556.93783</v>
      </c>
      <c r="Q248" s="29" t="n">
        <v>4598.36601</v>
      </c>
      <c r="R248" s="29" t="n">
        <v>4646.38368</v>
      </c>
      <c r="S248" s="29" t="n">
        <v>4622.20006</v>
      </c>
      <c r="V248" s="29" t="n">
        <v>4565.72082</v>
      </c>
      <c r="AB248" s="29" t="n">
        <v>4585.81697</v>
      </c>
      <c r="AC248" s="29" t="n">
        <v>4582.71755</v>
      </c>
      <c r="AD248" s="29" t="n">
        <v>0</v>
      </c>
    </row>
    <row r="249" ht="14.25" customHeight="1" s="28">
      <c r="A249" s="29" t="n">
        <v>1777638601</v>
      </c>
      <c r="B249" s="29" t="inlineStr">
        <is>
          <t>XAUUSD</t>
        </is>
      </c>
      <c r="C249" s="29" t="inlineStr">
        <is>
          <t>M15</t>
        </is>
      </c>
      <c r="D249" s="29" t="n">
        <v>4591.95</v>
      </c>
      <c r="E249" s="29" t="n">
        <v>4717.79398</v>
      </c>
      <c r="F249" s="29" t="n">
        <v>4695.2428</v>
      </c>
      <c r="G249" s="29" t="n">
        <v>4518.59282</v>
      </c>
      <c r="H249" s="29" t="n">
        <v>4596.05595</v>
      </c>
      <c r="I249" s="29" t="n">
        <v>4755.40355</v>
      </c>
      <c r="J249" s="29" t="n">
        <v>4792.76972</v>
      </c>
      <c r="K249" s="29" t="n">
        <v>4769.97694</v>
      </c>
      <c r="L249" s="29" t="n">
        <v>4716.33597</v>
      </c>
      <c r="M249" s="29" t="n">
        <v>4718.85043</v>
      </c>
      <c r="N249" s="29" t="n">
        <v>4531.36057</v>
      </c>
      <c r="O249" s="29" t="n">
        <v>4556.93783</v>
      </c>
      <c r="Q249" s="29" t="n">
        <v>4598.56846</v>
      </c>
      <c r="R249" s="29" t="n">
        <v>4646.58612</v>
      </c>
      <c r="S249" s="29" t="n">
        <v>4622.40251</v>
      </c>
      <c r="V249" s="29" t="n">
        <v>4565.92327</v>
      </c>
      <c r="AB249" s="29" t="n">
        <v>4589.55893</v>
      </c>
      <c r="AC249" s="29" t="n">
        <v>4586.13824</v>
      </c>
      <c r="AD249" s="29" t="n">
        <v>0</v>
      </c>
    </row>
    <row r="250" ht="14.25" customHeight="1" s="28">
      <c r="A250" s="29" t="n">
        <v>1777639501</v>
      </c>
      <c r="B250" s="29" t="inlineStr">
        <is>
          <t>XAUUSD</t>
        </is>
      </c>
      <c r="C250" s="29" t="inlineStr">
        <is>
          <t>M15</t>
        </is>
      </c>
      <c r="D250" s="29" t="n">
        <v>4591.18</v>
      </c>
      <c r="E250" s="29" t="n">
        <v>4717.79398</v>
      </c>
      <c r="F250" s="29" t="n">
        <v>4695.2428</v>
      </c>
      <c r="G250" s="29" t="n">
        <v>4518.59282</v>
      </c>
      <c r="H250" s="29" t="n">
        <v>4596.05595</v>
      </c>
      <c r="I250" s="29" t="n">
        <v>4755.40355</v>
      </c>
      <c r="J250" s="29" t="n">
        <v>4792.76972</v>
      </c>
      <c r="K250" s="29" t="n">
        <v>4769.97694</v>
      </c>
      <c r="L250" s="29" t="n">
        <v>4716.33597</v>
      </c>
      <c r="M250" s="29" t="n">
        <v>4718.85043</v>
      </c>
      <c r="N250" s="29" t="n">
        <v>4531.36057</v>
      </c>
      <c r="O250" s="29" t="n">
        <v>4556.93783</v>
      </c>
      <c r="Q250" s="29" t="n">
        <v>4598.7709</v>
      </c>
      <c r="R250" s="29" t="n">
        <v>4646.78857</v>
      </c>
      <c r="S250" s="29" t="n">
        <v>4622.60496</v>
      </c>
      <c r="V250" s="29" t="n">
        <v>4566.12571</v>
      </c>
      <c r="AB250" s="29" t="n">
        <v>4594.16412</v>
      </c>
      <c r="AC250" s="29" t="n">
        <v>4590.15118</v>
      </c>
      <c r="AD250" s="29" t="n">
        <v>0</v>
      </c>
    </row>
    <row r="251" ht="14.25" customHeight="1" s="28">
      <c r="A251" s="29" t="n">
        <v>1777640401</v>
      </c>
      <c r="B251" s="29" t="inlineStr">
        <is>
          <t>XAUUSD</t>
        </is>
      </c>
      <c r="C251" s="29" t="inlineStr">
        <is>
          <t>M15</t>
        </is>
      </c>
      <c r="D251" s="29" t="n">
        <v>4591.32</v>
      </c>
      <c r="E251" s="29" t="n">
        <v>4717.79398</v>
      </c>
      <c r="F251" s="29" t="n">
        <v>4695.2428</v>
      </c>
      <c r="G251" s="29" t="n">
        <v>4518.59282</v>
      </c>
      <c r="H251" s="29" t="n">
        <v>4596.05595</v>
      </c>
      <c r="I251" s="29" t="n">
        <v>4755.40355</v>
      </c>
      <c r="J251" s="29" t="n">
        <v>4792.76972</v>
      </c>
      <c r="K251" s="29" t="n">
        <v>4769.97694</v>
      </c>
      <c r="L251" s="29" t="n">
        <v>4716.33597</v>
      </c>
      <c r="M251" s="29" t="n">
        <v>4718.85043</v>
      </c>
      <c r="N251" s="29" t="n">
        <v>4531.36057</v>
      </c>
      <c r="O251" s="29" t="n">
        <v>4556.93783</v>
      </c>
      <c r="Q251" s="29" t="n">
        <v>4598.97335</v>
      </c>
      <c r="R251" s="29" t="n">
        <v>4646.99101</v>
      </c>
      <c r="S251" s="29" t="n">
        <v>4622.8074</v>
      </c>
      <c r="V251" s="29" t="n">
        <v>4566.32816</v>
      </c>
      <c r="AB251" s="29" t="n">
        <v>4599.89016</v>
      </c>
      <c r="AC251" s="29" t="n">
        <v>4595.02067</v>
      </c>
      <c r="AD251" s="29" t="n">
        <v>0</v>
      </c>
    </row>
    <row r="252" ht="14.25" customHeight="1" s="28">
      <c r="A252" s="29" t="n">
        <v>1777641301</v>
      </c>
      <c r="B252" s="29" t="inlineStr">
        <is>
          <t>XAUUSD</t>
        </is>
      </c>
      <c r="C252" s="29" t="inlineStr">
        <is>
          <t>M15</t>
        </is>
      </c>
      <c r="D252" s="29" t="n">
        <v>4589.2</v>
      </c>
      <c r="E252" s="29" t="n">
        <v>4717.79398</v>
      </c>
      <c r="F252" s="29" t="n">
        <v>4695.2428</v>
      </c>
      <c r="G252" s="29" t="n">
        <v>4518.59282</v>
      </c>
      <c r="H252" s="29" t="n">
        <v>4596.05595</v>
      </c>
      <c r="I252" s="29" t="n">
        <v>4755.40355</v>
      </c>
      <c r="J252" s="29" t="n">
        <v>4792.76972</v>
      </c>
      <c r="K252" s="29" t="n">
        <v>4769.97694</v>
      </c>
      <c r="L252" s="29" t="n">
        <v>4716.33597</v>
      </c>
      <c r="M252" s="29" t="n">
        <v>4718.85043</v>
      </c>
      <c r="N252" s="29" t="n">
        <v>4531.36057</v>
      </c>
      <c r="O252" s="29" t="n">
        <v>4556.93783</v>
      </c>
      <c r="Q252" s="29" t="n">
        <v>4599.1758</v>
      </c>
      <c r="R252" s="29" t="n">
        <v>4647.19346</v>
      </c>
      <c r="S252" s="29" t="n">
        <v>4623.00985</v>
      </c>
      <c r="V252" s="29" t="n">
        <v>4566.5306</v>
      </c>
      <c r="AB252" s="29" t="n">
        <v>4606.79485</v>
      </c>
      <c r="AC252" s="29" t="n">
        <v>4600.90776</v>
      </c>
      <c r="AD252" s="29" t="n">
        <v>0</v>
      </c>
    </row>
    <row r="253" ht="14.25" customHeight="1" s="28">
      <c r="A253" s="29" t="n">
        <v>1777642201</v>
      </c>
      <c r="B253" s="29" t="inlineStr">
        <is>
          <t>XAUUSD</t>
        </is>
      </c>
      <c r="C253" s="29" t="inlineStr">
        <is>
          <t>M15</t>
        </is>
      </c>
      <c r="D253" s="29" t="n">
        <v>4608.07</v>
      </c>
      <c r="E253" s="29" t="n">
        <v>4717.79398</v>
      </c>
      <c r="F253" s="29" t="n">
        <v>4695.2428</v>
      </c>
      <c r="G253" s="29" t="n">
        <v>4518.59282</v>
      </c>
      <c r="H253" s="29" t="n">
        <v>4596.05595</v>
      </c>
      <c r="I253" s="29" t="n">
        <v>4755.40355</v>
      </c>
      <c r="J253" s="29" t="n">
        <v>4792.76972</v>
      </c>
      <c r="K253" s="29" t="n">
        <v>4769.97694</v>
      </c>
      <c r="L253" s="29" t="n">
        <v>4716.33597</v>
      </c>
      <c r="M253" s="29" t="n">
        <v>4718.85043</v>
      </c>
      <c r="N253" s="29" t="n">
        <v>4531.36057</v>
      </c>
      <c r="O253" s="29" t="n">
        <v>4556.93783</v>
      </c>
      <c r="Q253" s="29" t="n">
        <v>4599.37824</v>
      </c>
      <c r="R253" s="29" t="n">
        <v>4647.39591</v>
      </c>
      <c r="S253" s="29" t="n">
        <v>4623.21229</v>
      </c>
      <c r="V253" s="29" t="n">
        <v>4566.73305</v>
      </c>
      <c r="AB253" s="29" t="n">
        <v>4614.75087</v>
      </c>
      <c r="AC253" s="29" t="n">
        <v>4607.82932</v>
      </c>
      <c r="AD253" s="29" t="n">
        <v>0</v>
      </c>
    </row>
    <row r="254" ht="14.25" customHeight="1" s="28">
      <c r="A254" s="29" t="n">
        <v>1777643101</v>
      </c>
      <c r="B254" s="29" t="inlineStr">
        <is>
          <t>XAUUSD</t>
        </is>
      </c>
      <c r="C254" s="29" t="inlineStr">
        <is>
          <t>M15</t>
        </is>
      </c>
      <c r="D254" s="29" t="n">
        <v>4625.7</v>
      </c>
      <c r="E254" s="29" t="n">
        <v>4717.79398</v>
      </c>
      <c r="F254" s="29" t="n">
        <v>4695.2428</v>
      </c>
      <c r="G254" s="29" t="n">
        <v>4518.59282</v>
      </c>
      <c r="H254" s="29" t="n">
        <v>4596.05595</v>
      </c>
      <c r="I254" s="29" t="n">
        <v>4755.40355</v>
      </c>
      <c r="J254" s="29" t="n">
        <v>4792.76972</v>
      </c>
      <c r="K254" s="29" t="n">
        <v>4769.97694</v>
      </c>
      <c r="L254" s="29" t="n">
        <v>4716.33597</v>
      </c>
      <c r="M254" s="29" t="n">
        <v>4718.85043</v>
      </c>
      <c r="N254" s="29" t="n">
        <v>4531.36057</v>
      </c>
      <c r="O254" s="29" t="n">
        <v>4556.93783</v>
      </c>
      <c r="Q254" s="29" t="n">
        <v>4599.58069</v>
      </c>
      <c r="R254" s="29" t="n">
        <v>4647.59835</v>
      </c>
      <c r="S254" s="29" t="n">
        <v>4623.41474</v>
      </c>
      <c r="V254" s="29" t="n">
        <v>4566.93549</v>
      </c>
      <c r="AB254" s="29" t="n">
        <v>4622.81406</v>
      </c>
      <c r="AC254" s="29" t="n">
        <v>4615.32169</v>
      </c>
      <c r="AD254" s="29" t="n">
        <v>0</v>
      </c>
    </row>
    <row r="255" ht="14.25" customHeight="1" s="28">
      <c r="A255" s="29" t="n">
        <v>1777644001</v>
      </c>
      <c r="B255" s="29" t="inlineStr">
        <is>
          <t>XAUUSD</t>
        </is>
      </c>
      <c r="C255" s="29" t="inlineStr">
        <is>
          <t>M15</t>
        </is>
      </c>
      <c r="D255" s="29" t="n">
        <v>4656.06</v>
      </c>
      <c r="E255" s="29" t="n">
        <v>4717.79398</v>
      </c>
      <c r="F255" s="29" t="n">
        <v>4695.2428</v>
      </c>
      <c r="G255" s="29" t="n">
        <v>4518.59282</v>
      </c>
      <c r="H255" s="29" t="n">
        <v>4596.05595</v>
      </c>
      <c r="I255" s="29" t="n">
        <v>4755.40355</v>
      </c>
      <c r="J255" s="29" t="n">
        <v>4792.76972</v>
      </c>
      <c r="K255" s="29" t="n">
        <v>4769.97694</v>
      </c>
      <c r="L255" s="29" t="n">
        <v>4716.33597</v>
      </c>
      <c r="M255" s="29" t="n">
        <v>4718.85043</v>
      </c>
      <c r="N255" s="29" t="n">
        <v>4531.36057</v>
      </c>
      <c r="O255" s="29" t="n">
        <v>4556.93783</v>
      </c>
      <c r="Q255" s="29" t="n">
        <v>4599.78313</v>
      </c>
      <c r="R255" s="29" t="n">
        <v>4647.8008</v>
      </c>
      <c r="S255" s="29" t="n">
        <v>4623.61718</v>
      </c>
      <c r="V255" s="29" t="n">
        <v>4567.13794</v>
      </c>
      <c r="AB255" s="29" t="n">
        <v>4630.01888</v>
      </c>
      <c r="AC255" s="29" t="n">
        <v>4622.67028</v>
      </c>
      <c r="AD255" s="29" t="n">
        <v>0</v>
      </c>
    </row>
    <row r="256" ht="14.25" customHeight="1" s="28">
      <c r="A256" s="29" t="n">
        <v>1777644901</v>
      </c>
      <c r="B256" s="29" t="inlineStr">
        <is>
          <t>XAUUSD</t>
        </is>
      </c>
      <c r="C256" s="29" t="inlineStr">
        <is>
          <t>M15</t>
        </is>
      </c>
      <c r="D256" s="29" t="n">
        <v>4644.67</v>
      </c>
      <c r="E256" s="29" t="n">
        <v>4717.79398</v>
      </c>
      <c r="F256" s="29" t="n">
        <v>4695.2428</v>
      </c>
      <c r="G256" s="29" t="n">
        <v>4518.59282</v>
      </c>
      <c r="H256" s="29" t="n">
        <v>4596.05595</v>
      </c>
      <c r="I256" s="29" t="n">
        <v>4755.40355</v>
      </c>
      <c r="J256" s="29" t="n">
        <v>4792.76972</v>
      </c>
      <c r="K256" s="29" t="n">
        <v>4769.97694</v>
      </c>
      <c r="L256" s="29" t="n">
        <v>4716.33597</v>
      </c>
      <c r="M256" s="29" t="n">
        <v>4718.85043</v>
      </c>
      <c r="N256" s="29" t="n">
        <v>4531.36057</v>
      </c>
      <c r="O256" s="29" t="n">
        <v>4556.93783</v>
      </c>
      <c r="Q256" s="29" t="n">
        <v>4599.98558</v>
      </c>
      <c r="R256" s="29" t="n">
        <v>4648.00324</v>
      </c>
      <c r="S256" s="29" t="n">
        <v>4623.81963</v>
      </c>
      <c r="V256" s="29" t="n">
        <v>4567.34039</v>
      </c>
      <c r="Z256" s="29" t="n">
        <v>4660.32</v>
      </c>
      <c r="AB256" s="29" t="n">
        <v>4635.15975</v>
      </c>
      <c r="AC256" s="29" t="n">
        <v>4628.91501</v>
      </c>
      <c r="AD256" s="29" t="n">
        <v>0</v>
      </c>
    </row>
    <row r="257" ht="14.25" customHeight="1" s="28">
      <c r="A257" s="29" t="n">
        <v>1777645801</v>
      </c>
      <c r="B257" s="29" t="inlineStr">
        <is>
          <t>XAUUSD</t>
        </is>
      </c>
      <c r="C257" s="29" t="inlineStr">
        <is>
          <t>M15</t>
        </is>
      </c>
      <c r="D257" s="29" t="n">
        <v>4633.23</v>
      </c>
      <c r="E257" s="29" t="n">
        <v>4717.79398</v>
      </c>
      <c r="F257" s="29" t="n">
        <v>4695.2428</v>
      </c>
      <c r="G257" s="29" t="n">
        <v>4518.59282</v>
      </c>
      <c r="H257" s="29" t="n">
        <v>4596.05595</v>
      </c>
      <c r="I257" s="29" t="n">
        <v>4755.40355</v>
      </c>
      <c r="J257" s="29" t="n">
        <v>4792.76972</v>
      </c>
      <c r="K257" s="29" t="n">
        <v>4769.97694</v>
      </c>
      <c r="L257" s="29" t="n">
        <v>4716.33597</v>
      </c>
      <c r="M257" s="29" t="n">
        <v>4718.85043</v>
      </c>
      <c r="N257" s="29" t="n">
        <v>4531.36057</v>
      </c>
      <c r="O257" s="29" t="n">
        <v>4556.93783</v>
      </c>
      <c r="Q257" s="29" t="n">
        <v>4600.18802</v>
      </c>
      <c r="R257" s="29" t="n">
        <v>4648.20569</v>
      </c>
      <c r="S257" s="29" t="n">
        <v>4624.02208</v>
      </c>
      <c r="V257" s="29" t="n">
        <v>4567.54283</v>
      </c>
      <c r="AB257" s="29" t="n">
        <v>4638.49104</v>
      </c>
      <c r="AC257" s="29" t="n">
        <v>4633.70303</v>
      </c>
      <c r="AD257" s="29" t="n">
        <v>0</v>
      </c>
    </row>
    <row r="258" ht="14.25" customHeight="1" s="28">
      <c r="A258" s="29" t="n">
        <v>1777646701</v>
      </c>
      <c r="B258" s="29" t="inlineStr">
        <is>
          <t>XAUUSD</t>
        </is>
      </c>
      <c r="C258" s="29" t="inlineStr">
        <is>
          <t>M15</t>
        </is>
      </c>
      <c r="D258" s="29" t="n">
        <v>4632.21</v>
      </c>
      <c r="E258" s="29" t="n">
        <v>4717.79398</v>
      </c>
      <c r="F258" s="29" t="n">
        <v>4695.2428</v>
      </c>
      <c r="G258" s="29" t="n">
        <v>4518.59282</v>
      </c>
      <c r="H258" s="29" t="n">
        <v>4596.05595</v>
      </c>
      <c r="I258" s="29" t="n">
        <v>4755.40355</v>
      </c>
      <c r="J258" s="29" t="n">
        <v>4792.76972</v>
      </c>
      <c r="K258" s="29" t="n">
        <v>4769.97694</v>
      </c>
      <c r="L258" s="29" t="n">
        <v>4716.33597</v>
      </c>
      <c r="M258" s="29" t="n">
        <v>4718.85043</v>
      </c>
      <c r="N258" s="29" t="n">
        <v>4531.36057</v>
      </c>
      <c r="O258" s="29" t="n">
        <v>4556.93783</v>
      </c>
      <c r="Q258" s="29" t="n">
        <v>4600.39047</v>
      </c>
      <c r="R258" s="29" t="n">
        <v>4648.40813</v>
      </c>
      <c r="S258" s="29" t="n">
        <v>4624.22452</v>
      </c>
      <c r="V258" s="29" t="n">
        <v>4567.74528</v>
      </c>
      <c r="AB258" s="29" t="n">
        <v>4640.51928</v>
      </c>
      <c r="AC258" s="29" t="n">
        <v>4637.11115</v>
      </c>
      <c r="AD258" s="29" t="n">
        <v>0</v>
      </c>
    </row>
    <row r="259" ht="14.25" customHeight="1" s="28">
      <c r="A259" s="29" t="n">
        <v>1777647601</v>
      </c>
      <c r="B259" s="29" t="inlineStr">
        <is>
          <t>XAUUSD</t>
        </is>
      </c>
      <c r="C259" s="29" t="inlineStr">
        <is>
          <t>M15</t>
        </is>
      </c>
      <c r="D259" s="29" t="n">
        <v>4636.58</v>
      </c>
      <c r="E259" s="29" t="n">
        <v>4717.79398</v>
      </c>
      <c r="F259" s="29" t="n">
        <v>4695.2428</v>
      </c>
      <c r="G259" s="29" t="n">
        <v>4518.59282</v>
      </c>
      <c r="H259" s="29" t="n">
        <v>4596.05595</v>
      </c>
      <c r="I259" s="29" t="n">
        <v>4755.40355</v>
      </c>
      <c r="J259" s="29" t="n">
        <v>4792.76972</v>
      </c>
      <c r="K259" s="29" t="n">
        <v>4769.97694</v>
      </c>
      <c r="L259" s="29" t="n">
        <v>4716.33597</v>
      </c>
      <c r="M259" s="29" t="n">
        <v>4718.85043</v>
      </c>
      <c r="N259" s="29" t="n">
        <v>4531.36057</v>
      </c>
      <c r="O259" s="29" t="n">
        <v>4556.93783</v>
      </c>
      <c r="Q259" s="29" t="n">
        <v>4600.59291</v>
      </c>
      <c r="R259" s="29" t="n">
        <v>4648.61058</v>
      </c>
      <c r="S259" s="29" t="n">
        <v>4624.42697</v>
      </c>
      <c r="V259" s="29" t="n">
        <v>4567.94772</v>
      </c>
      <c r="AB259" s="29" t="n">
        <v>4641.58542</v>
      </c>
      <c r="AC259" s="29" t="n">
        <v>4639.34829</v>
      </c>
      <c r="AD259" s="29" t="n">
        <v>0</v>
      </c>
    </row>
    <row r="260" ht="14.25" customHeight="1" s="28">
      <c r="A260" s="29" t="n">
        <v>1777648501</v>
      </c>
      <c r="B260" s="29" t="inlineStr">
        <is>
          <t>XAUUSD</t>
        </is>
      </c>
      <c r="C260" s="29" t="inlineStr">
        <is>
          <t>M15</t>
        </is>
      </c>
      <c r="D260" s="29" t="n">
        <v>4636.46</v>
      </c>
      <c r="E260" s="29" t="n">
        <v>4717.79398</v>
      </c>
      <c r="F260" s="29" t="n">
        <v>4695.2428</v>
      </c>
      <c r="G260" s="29" t="n">
        <v>4518.59282</v>
      </c>
      <c r="H260" s="29" t="n">
        <v>4596.05595</v>
      </c>
      <c r="I260" s="29" t="n">
        <v>4755.40355</v>
      </c>
      <c r="J260" s="29" t="n">
        <v>4792.76972</v>
      </c>
      <c r="K260" s="29" t="n">
        <v>4769.97694</v>
      </c>
      <c r="L260" s="29" t="n">
        <v>4716.33597</v>
      </c>
      <c r="M260" s="29" t="n">
        <v>4718.85043</v>
      </c>
      <c r="N260" s="29" t="n">
        <v>4531.36057</v>
      </c>
      <c r="O260" s="29" t="n">
        <v>4556.93783</v>
      </c>
      <c r="Q260" s="29" t="n">
        <v>4600.79536</v>
      </c>
      <c r="R260" s="29" t="n">
        <v>4648.81302</v>
      </c>
      <c r="S260" s="29" t="n">
        <v>4624.62941</v>
      </c>
      <c r="V260" s="29" t="n">
        <v>4568.15017</v>
      </c>
      <c r="AB260" s="29" t="n">
        <v>4641.91621</v>
      </c>
      <c r="AC260" s="29" t="n">
        <v>4640.63225</v>
      </c>
      <c r="AD260" s="29" t="n">
        <v>0</v>
      </c>
    </row>
    <row r="261" ht="14.25" customHeight="1" s="28">
      <c r="A261" s="29" t="n">
        <v>1777649401</v>
      </c>
      <c r="B261" s="29" t="inlineStr">
        <is>
          <t>XAUUSD</t>
        </is>
      </c>
      <c r="C261" s="29" t="inlineStr">
        <is>
          <t>M15</t>
        </is>
      </c>
      <c r="D261" s="29" t="n">
        <v>4643.6</v>
      </c>
      <c r="E261" s="29" t="n">
        <v>4717.79398</v>
      </c>
      <c r="F261" s="29" t="n">
        <v>4695.2428</v>
      </c>
      <c r="G261" s="29" t="n">
        <v>4518.59282</v>
      </c>
      <c r="H261" s="29" t="n">
        <v>4596.05595</v>
      </c>
      <c r="I261" s="29" t="n">
        <v>4755.40355</v>
      </c>
      <c r="J261" s="29" t="n">
        <v>4792.76972</v>
      </c>
      <c r="K261" s="29" t="n">
        <v>4769.97694</v>
      </c>
      <c r="L261" s="29" t="n">
        <v>4716.33597</v>
      </c>
      <c r="M261" s="29" t="n">
        <v>4718.85043</v>
      </c>
      <c r="N261" s="29" t="n">
        <v>4531.36057</v>
      </c>
      <c r="O261" s="29" t="n">
        <v>4556.93783</v>
      </c>
      <c r="Q261" s="29" t="n">
        <v>4600.99781</v>
      </c>
      <c r="R261" s="29" t="n">
        <v>4649.01547</v>
      </c>
      <c r="S261" s="29" t="n">
        <v>4624.83186</v>
      </c>
      <c r="V261" s="29" t="n">
        <v>4568.35261</v>
      </c>
      <c r="AB261" s="29" t="n">
        <v>4641.80579</v>
      </c>
      <c r="AC261" s="29" t="n">
        <v>4641.21902</v>
      </c>
      <c r="AD261" s="29" t="n">
        <v>0</v>
      </c>
    </row>
    <row r="262" ht="14.25" customHeight="1" s="28">
      <c r="A262" s="29" t="n">
        <v>1777650301</v>
      </c>
      <c r="B262" s="29" t="inlineStr">
        <is>
          <t>XAUUSD</t>
        </is>
      </c>
      <c r="C262" s="29" t="inlineStr">
        <is>
          <t>M15</t>
        </is>
      </c>
      <c r="D262" s="29" t="n">
        <v>4643.3</v>
      </c>
      <c r="E262" s="29" t="n">
        <v>4717.79398</v>
      </c>
      <c r="F262" s="29" t="n">
        <v>4695.2428</v>
      </c>
      <c r="G262" s="29" t="n">
        <v>4518.59282</v>
      </c>
      <c r="H262" s="29" t="n">
        <v>4596.05595</v>
      </c>
      <c r="I262" s="29" t="n">
        <v>4755.40355</v>
      </c>
      <c r="J262" s="29" t="n">
        <v>4792.76972</v>
      </c>
      <c r="K262" s="29" t="n">
        <v>4769.97694</v>
      </c>
      <c r="L262" s="29" t="n">
        <v>4716.33597</v>
      </c>
      <c r="M262" s="29" t="n">
        <v>4718.85043</v>
      </c>
      <c r="N262" s="29" t="n">
        <v>4531.36057</v>
      </c>
      <c r="O262" s="29" t="n">
        <v>4556.93783</v>
      </c>
      <c r="Q262" s="29" t="n">
        <v>4601.20025</v>
      </c>
      <c r="R262" s="29" t="n">
        <v>4649.21792</v>
      </c>
      <c r="S262" s="29" t="n">
        <v>4625.0343</v>
      </c>
      <c r="V262" s="29" t="n">
        <v>4568.55506</v>
      </c>
      <c r="AB262" s="29" t="n">
        <v>4641.25997</v>
      </c>
      <c r="AC262" s="29" t="n">
        <v>4641.23949</v>
      </c>
      <c r="AD262" s="29" t="n">
        <v>0</v>
      </c>
    </row>
    <row r="263" ht="14.25" customHeight="1" s="28">
      <c r="A263" s="29" t="n">
        <v>1777651201</v>
      </c>
      <c r="B263" s="29" t="inlineStr">
        <is>
          <t>XAUUSD</t>
        </is>
      </c>
      <c r="C263" s="29" t="inlineStr">
        <is>
          <t>M15</t>
        </is>
      </c>
      <c r="D263" s="29" t="n">
        <v>4642.75</v>
      </c>
      <c r="E263" s="29" t="n">
        <v>4717.79398</v>
      </c>
      <c r="F263" s="29" t="n">
        <v>4695.2428</v>
      </c>
      <c r="G263" s="29" t="n">
        <v>4518.59282</v>
      </c>
      <c r="H263" s="29" t="n">
        <v>4596.05595</v>
      </c>
      <c r="I263" s="29" t="n">
        <v>4755.40355</v>
      </c>
      <c r="J263" s="29" t="n">
        <v>4792.76972</v>
      </c>
      <c r="K263" s="29" t="n">
        <v>4769.97694</v>
      </c>
      <c r="L263" s="29" t="n">
        <v>4716.33597</v>
      </c>
      <c r="M263" s="29" t="n">
        <v>4718.85043</v>
      </c>
      <c r="N263" s="29" t="n">
        <v>4531.36057</v>
      </c>
      <c r="O263" s="29" t="n">
        <v>4556.93783</v>
      </c>
      <c r="Q263" s="29" t="n">
        <v>4601.4027</v>
      </c>
      <c r="R263" s="29" t="n">
        <v>4649.42036</v>
      </c>
      <c r="S263" s="29" t="n">
        <v>4625.23675</v>
      </c>
      <c r="V263" s="29" t="n">
        <v>4568.75751</v>
      </c>
      <c r="AB263" s="29" t="n">
        <v>4640.41346</v>
      </c>
      <c r="AC263" s="29" t="n">
        <v>4640.82648</v>
      </c>
      <c r="AD263" s="29" t="n">
        <v>1</v>
      </c>
    </row>
    <row r="264" ht="14.25" customHeight="1" s="28">
      <c r="A264" s="29" t="n">
        <v>1777652101</v>
      </c>
      <c r="B264" s="29" t="inlineStr">
        <is>
          <t>XAUUSD</t>
        </is>
      </c>
      <c r="C264" s="29" t="inlineStr">
        <is>
          <t>M15</t>
        </is>
      </c>
      <c r="D264" s="29" t="n">
        <v>4637.96</v>
      </c>
      <c r="E264" s="29" t="n">
        <v>4717.79398</v>
      </c>
      <c r="F264" s="29" t="n">
        <v>4695.2428</v>
      </c>
      <c r="G264" s="29" t="n">
        <v>4518.59282</v>
      </c>
      <c r="H264" s="29" t="n">
        <v>4596.05595</v>
      </c>
      <c r="I264" s="29" t="n">
        <v>4755.40355</v>
      </c>
      <c r="J264" s="29" t="n">
        <v>4792.76972</v>
      </c>
      <c r="K264" s="29" t="n">
        <v>4769.97694</v>
      </c>
      <c r="L264" s="29" t="n">
        <v>4716.33597</v>
      </c>
      <c r="M264" s="29" t="n">
        <v>4718.85043</v>
      </c>
      <c r="N264" s="29" t="n">
        <v>4531.36057</v>
      </c>
      <c r="O264" s="29" t="n">
        <v>4556.93783</v>
      </c>
      <c r="Q264" s="29" t="n">
        <v>4601.60514</v>
      </c>
      <c r="R264" s="29" t="n">
        <v>4649.62281</v>
      </c>
      <c r="S264" s="29" t="n">
        <v>4625.4392</v>
      </c>
      <c r="V264" s="29" t="n">
        <v>4568.95995</v>
      </c>
      <c r="AB264" s="29" t="n">
        <v>4639.30238</v>
      </c>
      <c r="AC264" s="29" t="n">
        <v>4640.06443</v>
      </c>
      <c r="AD264" s="29" t="n">
        <v>0</v>
      </c>
    </row>
    <row r="265" ht="14.25" customHeight="1" s="28">
      <c r="A265" s="29" t="n">
        <v>1777653001</v>
      </c>
      <c r="B265" s="29" t="inlineStr">
        <is>
          <t>XAUUSD</t>
        </is>
      </c>
      <c r="C265" s="29" t="inlineStr">
        <is>
          <t>M15</t>
        </is>
      </c>
      <c r="D265" s="29" t="n">
        <v>4638.86</v>
      </c>
      <c r="E265" s="29" t="n">
        <v>4717.79398</v>
      </c>
      <c r="F265" s="29" t="n">
        <v>4695.2428</v>
      </c>
      <c r="G265" s="29" t="n">
        <v>4518.59282</v>
      </c>
      <c r="H265" s="29" t="n">
        <v>4596.05595</v>
      </c>
      <c r="I265" s="29" t="n">
        <v>4755.40355</v>
      </c>
      <c r="J265" s="29" t="n">
        <v>4792.76972</v>
      </c>
      <c r="K265" s="29" t="n">
        <v>4769.97694</v>
      </c>
      <c r="L265" s="29" t="n">
        <v>4716.33597</v>
      </c>
      <c r="M265" s="29" t="n">
        <v>4718.85043</v>
      </c>
      <c r="N265" s="29" t="n">
        <v>4531.36057</v>
      </c>
      <c r="O265" s="29" t="n">
        <v>4556.93783</v>
      </c>
      <c r="Q265" s="29" t="n">
        <v>4601.80759</v>
      </c>
      <c r="R265" s="29" t="n">
        <v>4649.82525</v>
      </c>
      <c r="S265" s="29" t="n">
        <v>4625.64164</v>
      </c>
      <c r="V265" s="29" t="n">
        <v>4569.1624</v>
      </c>
      <c r="AB265" s="29" t="n">
        <v>4638.02024</v>
      </c>
      <c r="AC265" s="29" t="n">
        <v>4639.04233</v>
      </c>
      <c r="AD265" s="29" t="n">
        <v>0</v>
      </c>
    </row>
    <row r="266" ht="14.25" customHeight="1" s="28">
      <c r="A266" s="29" t="n">
        <v>1777653901</v>
      </c>
      <c r="B266" s="29" t="inlineStr">
        <is>
          <t>XAUUSD</t>
        </is>
      </c>
      <c r="C266" s="29" t="inlineStr">
        <is>
          <t>M15</t>
        </is>
      </c>
      <c r="D266" s="29" t="n">
        <v>4638.72</v>
      </c>
      <c r="E266" s="29" t="n">
        <v>4717.79398</v>
      </c>
      <c r="F266" s="29" t="n">
        <v>4695.2428</v>
      </c>
      <c r="G266" s="29" t="n">
        <v>4518.59282</v>
      </c>
      <c r="H266" s="29" t="n">
        <v>4596.05595</v>
      </c>
      <c r="I266" s="29" t="n">
        <v>4755.40355</v>
      </c>
      <c r="J266" s="29" t="n">
        <v>4792.76972</v>
      </c>
      <c r="K266" s="29" t="n">
        <v>4769.97694</v>
      </c>
      <c r="L266" s="29" t="n">
        <v>4716.33597</v>
      </c>
      <c r="M266" s="29" t="n">
        <v>4718.85043</v>
      </c>
      <c r="N266" s="29" t="n">
        <v>4531.36057</v>
      </c>
      <c r="O266" s="29" t="n">
        <v>4556.93783</v>
      </c>
      <c r="Q266" s="29" t="n">
        <v>4602.01003</v>
      </c>
      <c r="R266" s="29" t="n">
        <v>4650.0277</v>
      </c>
      <c r="S266" s="29" t="n">
        <v>4625.84409</v>
      </c>
      <c r="V266" s="29" t="n">
        <v>4569.36484</v>
      </c>
      <c r="AB266" s="29" t="n">
        <v>4636.50939</v>
      </c>
      <c r="AC266" s="29" t="n">
        <v>4637.77586</v>
      </c>
      <c r="AD266" s="29" t="n">
        <v>0</v>
      </c>
    </row>
    <row r="267" ht="14.25" customHeight="1" s="28">
      <c r="A267" s="29" t="n">
        <v>1777654801</v>
      </c>
      <c r="B267" s="29" t="inlineStr">
        <is>
          <t>XAUUSD</t>
        </is>
      </c>
      <c r="C267" s="29" t="inlineStr">
        <is>
          <t>M15</t>
        </is>
      </c>
      <c r="D267" s="29" t="n">
        <v>4639.73</v>
      </c>
      <c r="E267" s="29" t="n">
        <v>4717.79398</v>
      </c>
      <c r="F267" s="29" t="n">
        <v>4695.2428</v>
      </c>
      <c r="G267" s="29" t="n">
        <v>4518.59282</v>
      </c>
      <c r="H267" s="29" t="n">
        <v>4596.05595</v>
      </c>
      <c r="I267" s="29" t="n">
        <v>4755.40355</v>
      </c>
      <c r="J267" s="29" t="n">
        <v>4792.76972</v>
      </c>
      <c r="K267" s="29" t="n">
        <v>4769.97694</v>
      </c>
      <c r="L267" s="29" t="n">
        <v>4716.33597</v>
      </c>
      <c r="M267" s="29" t="n">
        <v>4718.85043</v>
      </c>
      <c r="N267" s="29" t="n">
        <v>4531.36057</v>
      </c>
      <c r="O267" s="29" t="n">
        <v>4556.93783</v>
      </c>
      <c r="Q267" s="29" t="n">
        <v>4602.21248</v>
      </c>
      <c r="R267" s="29" t="n">
        <v>4650.23014</v>
      </c>
      <c r="S267" s="29" t="n">
        <v>4626.04653</v>
      </c>
      <c r="V267" s="29" t="n">
        <v>4569.56729</v>
      </c>
      <c r="AB267" s="29" t="n">
        <v>4634.714</v>
      </c>
      <c r="AC267" s="29" t="n">
        <v>4636.24493</v>
      </c>
      <c r="AD267" s="29" t="n">
        <v>0</v>
      </c>
    </row>
    <row r="268" ht="14.25" customHeight="1" s="28">
      <c r="A268" s="29" t="n">
        <v>1777655701</v>
      </c>
      <c r="B268" s="29" t="inlineStr">
        <is>
          <t>XAUUSD</t>
        </is>
      </c>
      <c r="C268" s="29" t="inlineStr">
        <is>
          <t>M15</t>
        </is>
      </c>
      <c r="D268" s="29" t="n">
        <v>4631.67</v>
      </c>
      <c r="E268" s="29" t="n">
        <v>4717.79398</v>
      </c>
      <c r="F268" s="29" t="n">
        <v>4695.2428</v>
      </c>
      <c r="G268" s="29" t="n">
        <v>4518.59282</v>
      </c>
      <c r="H268" s="29" t="n">
        <v>4596.05595</v>
      </c>
      <c r="I268" s="29" t="n">
        <v>4755.40355</v>
      </c>
      <c r="J268" s="29" t="n">
        <v>4792.76972</v>
      </c>
      <c r="K268" s="29" t="n">
        <v>4769.97694</v>
      </c>
      <c r="L268" s="29" t="n">
        <v>4716.33597</v>
      </c>
      <c r="M268" s="29" t="n">
        <v>4718.85043</v>
      </c>
      <c r="N268" s="29" t="n">
        <v>4531.36057</v>
      </c>
      <c r="O268" s="29" t="n">
        <v>4556.93783</v>
      </c>
      <c r="Q268" s="29" t="n">
        <v>4602.41493</v>
      </c>
      <c r="R268" s="29" t="n">
        <v>4650.43259</v>
      </c>
      <c r="S268" s="29" t="n">
        <v>4626.24898</v>
      </c>
      <c r="V268" s="29" t="n">
        <v>4569.76973</v>
      </c>
      <c r="AB268" s="29" t="n">
        <v>4632.56488</v>
      </c>
      <c r="AC268" s="29" t="n">
        <v>4634.40491</v>
      </c>
      <c r="AD268" s="29" t="n">
        <v>0</v>
      </c>
    </row>
    <row r="269" ht="14.25" customHeight="1" s="28">
      <c r="A269" s="29" t="n">
        <v>1777656601</v>
      </c>
      <c r="B269" s="29" t="inlineStr">
        <is>
          <t>XAUUSD</t>
        </is>
      </c>
      <c r="C269" s="29" t="inlineStr">
        <is>
          <t>M15</t>
        </is>
      </c>
      <c r="D269" s="29" t="n">
        <v>4628</v>
      </c>
      <c r="E269" s="29" t="n">
        <v>4717.79398</v>
      </c>
      <c r="F269" s="29" t="n">
        <v>4695.2428</v>
      </c>
      <c r="G269" s="29" t="n">
        <v>4518.59282</v>
      </c>
      <c r="H269" s="29" t="n">
        <v>4596.05595</v>
      </c>
      <c r="I269" s="29" t="n">
        <v>4755.40355</v>
      </c>
      <c r="J269" s="29" t="n">
        <v>4792.76972</v>
      </c>
      <c r="K269" s="29" t="n">
        <v>4769.97694</v>
      </c>
      <c r="L269" s="29" t="n">
        <v>4716.33597</v>
      </c>
      <c r="M269" s="29" t="n">
        <v>4718.85043</v>
      </c>
      <c r="N269" s="29" t="n">
        <v>4531.36057</v>
      </c>
      <c r="O269" s="29" t="n">
        <v>4556.93783</v>
      </c>
      <c r="Q269" s="29" t="n">
        <v>4602.61737</v>
      </c>
      <c r="R269" s="29" t="n">
        <v>4650.63504</v>
      </c>
      <c r="S269" s="29" t="n">
        <v>4626.45142</v>
      </c>
      <c r="V269" s="29" t="n">
        <v>4569.97218</v>
      </c>
      <c r="AB269" s="29" t="n">
        <v>4630.30637</v>
      </c>
      <c r="AC269" s="29" t="n">
        <v>4632.35564</v>
      </c>
      <c r="AD269" s="29" t="n">
        <v>0</v>
      </c>
    </row>
    <row r="270" ht="14.25" customHeight="1" s="28">
      <c r="A270" s="29" t="n">
        <v>1777657501</v>
      </c>
      <c r="B270" s="29" t="inlineStr">
        <is>
          <t>XAUUSD</t>
        </is>
      </c>
      <c r="C270" s="29" t="inlineStr">
        <is>
          <t>M15</t>
        </is>
      </c>
      <c r="D270" s="29" t="n">
        <v>4629.43</v>
      </c>
      <c r="E270" s="29" t="n">
        <v>4717.79398</v>
      </c>
      <c r="F270" s="29" t="n">
        <v>4695.2428</v>
      </c>
      <c r="G270" s="29" t="n">
        <v>4518.59282</v>
      </c>
      <c r="H270" s="29" t="n">
        <v>4596.05595</v>
      </c>
      <c r="I270" s="29" t="n">
        <v>4755.40355</v>
      </c>
      <c r="J270" s="29" t="n">
        <v>4792.76972</v>
      </c>
      <c r="K270" s="29" t="n">
        <v>4769.97694</v>
      </c>
      <c r="L270" s="29" t="n">
        <v>4716.33597</v>
      </c>
      <c r="M270" s="29" t="n">
        <v>4718.85043</v>
      </c>
      <c r="N270" s="29" t="n">
        <v>4531.36057</v>
      </c>
      <c r="O270" s="29" t="n">
        <v>4556.93783</v>
      </c>
      <c r="Q270" s="29" t="n">
        <v>4602.81982</v>
      </c>
      <c r="R270" s="29" t="n">
        <v>4650.83748</v>
      </c>
      <c r="S270" s="29" t="n">
        <v>4626.65387</v>
      </c>
      <c r="V270" s="29" t="n">
        <v>4570.17463</v>
      </c>
      <c r="AB270" s="29" t="n">
        <v>4628.09334</v>
      </c>
      <c r="AC270" s="29" t="n">
        <v>4630.22449</v>
      </c>
      <c r="AD270" s="29" t="n">
        <v>0</v>
      </c>
    </row>
    <row r="271" ht="14.25" customHeight="1" s="28">
      <c r="A271" s="29" t="n">
        <v>1777658401</v>
      </c>
      <c r="B271" s="29" t="inlineStr">
        <is>
          <t>XAUUSD</t>
        </is>
      </c>
      <c r="C271" s="29" t="inlineStr">
        <is>
          <t>M15</t>
        </is>
      </c>
      <c r="D271" s="29" t="n">
        <v>4615.72</v>
      </c>
      <c r="E271" s="29" t="n">
        <v>4717.79398</v>
      </c>
      <c r="F271" s="29" t="n">
        <v>4695.2428</v>
      </c>
      <c r="G271" s="29" t="n">
        <v>4518.59282</v>
      </c>
      <c r="H271" s="29" t="n">
        <v>4596.05595</v>
      </c>
      <c r="I271" s="29" t="n">
        <v>4755.40355</v>
      </c>
      <c r="J271" s="29" t="n">
        <v>4792.76972</v>
      </c>
      <c r="K271" s="29" t="n">
        <v>4769.97694</v>
      </c>
      <c r="L271" s="29" t="n">
        <v>4716.33597</v>
      </c>
      <c r="M271" s="29" t="n">
        <v>4718.85043</v>
      </c>
      <c r="N271" s="29" t="n">
        <v>4531.36057</v>
      </c>
      <c r="O271" s="29" t="n">
        <v>4556.93783</v>
      </c>
      <c r="Q271" s="29" t="n">
        <v>4603.02226</v>
      </c>
      <c r="R271" s="29" t="n">
        <v>4651.03993</v>
      </c>
      <c r="S271" s="29" t="n">
        <v>4626.85632</v>
      </c>
      <c r="V271" s="29" t="n">
        <v>4570.37707</v>
      </c>
      <c r="AB271" s="29" t="n">
        <v>4625.93992</v>
      </c>
      <c r="AC271" s="29" t="n">
        <v>4628.08221</v>
      </c>
      <c r="AD271" s="29" t="n">
        <v>0</v>
      </c>
    </row>
    <row r="272" ht="14.25" customHeight="1" s="28">
      <c r="A272" s="29" t="n">
        <v>1777659301</v>
      </c>
      <c r="B272" s="29" t="inlineStr">
        <is>
          <t>XAUUSD</t>
        </is>
      </c>
      <c r="C272" s="29" t="inlineStr">
        <is>
          <t>M15</t>
        </is>
      </c>
      <c r="D272" s="29" t="n">
        <v>4623.48</v>
      </c>
      <c r="E272" s="29" t="n">
        <v>4717.79398</v>
      </c>
      <c r="F272" s="29" t="n">
        <v>4695.2428</v>
      </c>
      <c r="G272" s="29" t="n">
        <v>4518.59282</v>
      </c>
      <c r="H272" s="29" t="n">
        <v>4596.05595</v>
      </c>
      <c r="I272" s="29" t="n">
        <v>4755.40355</v>
      </c>
      <c r="J272" s="29" t="n">
        <v>4792.76972</v>
      </c>
      <c r="K272" s="29" t="n">
        <v>4769.97694</v>
      </c>
      <c r="L272" s="29" t="n">
        <v>4716.33597</v>
      </c>
      <c r="M272" s="29" t="n">
        <v>4718.85043</v>
      </c>
      <c r="N272" s="29" t="n">
        <v>4531.36057</v>
      </c>
      <c r="O272" s="29" t="n">
        <v>4556.93783</v>
      </c>
      <c r="Q272" s="29" t="n">
        <v>4603.22471</v>
      </c>
      <c r="R272" s="29" t="n">
        <v>4651.24237</v>
      </c>
      <c r="S272" s="29" t="n">
        <v>4627.05876</v>
      </c>
      <c r="V272" s="29" t="n">
        <v>4570.57952</v>
      </c>
      <c r="AB272" s="29" t="n">
        <v>4624.1975</v>
      </c>
      <c r="AC272" s="29" t="n">
        <v>4626.13985</v>
      </c>
      <c r="AD272" s="29" t="n">
        <v>0</v>
      </c>
    </row>
    <row r="273" ht="14.25" customHeight="1" s="28">
      <c r="A273" s="29" t="n">
        <v>1777660201</v>
      </c>
      <c r="B273" s="29" t="inlineStr">
        <is>
          <t>XAUUSD</t>
        </is>
      </c>
      <c r="C273" s="29" t="inlineStr">
        <is>
          <t>M15</t>
        </is>
      </c>
      <c r="D273" s="29" t="n">
        <v>4622.32</v>
      </c>
      <c r="E273" s="29" t="n">
        <v>4717.79398</v>
      </c>
      <c r="F273" s="29" t="n">
        <v>4695.2428</v>
      </c>
      <c r="G273" s="29" t="n">
        <v>4518.59282</v>
      </c>
      <c r="H273" s="29" t="n">
        <v>4596.05595</v>
      </c>
      <c r="I273" s="29" t="n">
        <v>4755.40355</v>
      </c>
      <c r="J273" s="29" t="n">
        <v>4792.76972</v>
      </c>
      <c r="K273" s="29" t="n">
        <v>4769.97694</v>
      </c>
      <c r="L273" s="29" t="n">
        <v>4716.33597</v>
      </c>
      <c r="M273" s="29" t="n">
        <v>4718.85043</v>
      </c>
      <c r="N273" s="29" t="n">
        <v>4531.36057</v>
      </c>
      <c r="O273" s="29" t="n">
        <v>4556.93783</v>
      </c>
      <c r="Q273" s="29" t="n">
        <v>4603.42715</v>
      </c>
      <c r="R273" s="29" t="n">
        <v>4651.44482</v>
      </c>
      <c r="S273" s="29" t="n">
        <v>4627.26121</v>
      </c>
      <c r="V273" s="29" t="n">
        <v>4570.78196</v>
      </c>
      <c r="AB273" s="29" t="n">
        <v>4622.58442</v>
      </c>
      <c r="AC273" s="29" t="n">
        <v>4624.36214</v>
      </c>
      <c r="AD273" s="29" t="n">
        <v>0</v>
      </c>
    </row>
    <row r="274" ht="14.25" customHeight="1" s="28">
      <c r="A274" s="29" t="n">
        <v>1777661101</v>
      </c>
      <c r="B274" s="29" t="inlineStr">
        <is>
          <t>XAUUSD</t>
        </is>
      </c>
      <c r="C274" s="29" t="inlineStr">
        <is>
          <t>M15</t>
        </is>
      </c>
      <c r="D274" s="29" t="n">
        <v>4624.35</v>
      </c>
      <c r="E274" s="29" t="n">
        <v>4717.79398</v>
      </c>
      <c r="F274" s="29" t="n">
        <v>4695.2428</v>
      </c>
      <c r="G274" s="29" t="n">
        <v>4518.59282</v>
      </c>
      <c r="H274" s="29" t="n">
        <v>4596.05595</v>
      </c>
      <c r="I274" s="29" t="n">
        <v>4755.40355</v>
      </c>
      <c r="J274" s="29" t="n">
        <v>4792.76972</v>
      </c>
      <c r="K274" s="29" t="n">
        <v>4769.97694</v>
      </c>
      <c r="L274" s="29" t="n">
        <v>4716.33597</v>
      </c>
      <c r="M274" s="29" t="n">
        <v>4718.85043</v>
      </c>
      <c r="N274" s="29" t="n">
        <v>4531.36057</v>
      </c>
      <c r="O274" s="29" t="n">
        <v>4556.93783</v>
      </c>
      <c r="Q274" s="29" t="n">
        <v>4603.6296</v>
      </c>
      <c r="R274" s="29" t="n">
        <v>4651.64726</v>
      </c>
      <c r="S274" s="29" t="n">
        <v>4627.46365</v>
      </c>
      <c r="V274" s="29" t="n">
        <v>4570.98441</v>
      </c>
      <c r="AB274" s="29" t="n">
        <v>4621.02677</v>
      </c>
      <c r="AC274" s="29" t="n">
        <v>4622.69445</v>
      </c>
      <c r="AD274" s="29" t="n">
        <v>0</v>
      </c>
    </row>
    <row r="275" ht="14.25" customHeight="1" s="28">
      <c r="A275" s="29" t="n">
        <v>1777662001</v>
      </c>
      <c r="B275" s="29" t="inlineStr">
        <is>
          <t>XAUUSD</t>
        </is>
      </c>
      <c r="C275" s="29" t="inlineStr">
        <is>
          <t>M15</t>
        </is>
      </c>
      <c r="D275" s="29" t="n">
        <v>4626.3</v>
      </c>
      <c r="E275" s="29" t="n">
        <v>4717.79398</v>
      </c>
      <c r="F275" s="29" t="n">
        <v>4695.2428</v>
      </c>
      <c r="G275" s="29" t="n">
        <v>4518.59282</v>
      </c>
      <c r="H275" s="29" t="n">
        <v>4596.05595</v>
      </c>
      <c r="I275" s="29" t="n">
        <v>4755.40355</v>
      </c>
      <c r="J275" s="29" t="n">
        <v>4792.76972</v>
      </c>
      <c r="K275" s="29" t="n">
        <v>4769.97694</v>
      </c>
      <c r="L275" s="29" t="n">
        <v>4716.33597</v>
      </c>
      <c r="M275" s="29" t="n">
        <v>4718.85043</v>
      </c>
      <c r="N275" s="29" t="n">
        <v>4531.36057</v>
      </c>
      <c r="O275" s="29" t="n">
        <v>4556.93783</v>
      </c>
      <c r="Q275" s="29" t="n">
        <v>4603.83205</v>
      </c>
      <c r="R275" s="29" t="n">
        <v>4651.84971</v>
      </c>
      <c r="S275" s="29" t="n">
        <v>4627.6661</v>
      </c>
      <c r="V275" s="29" t="n">
        <v>4571.18685</v>
      </c>
      <c r="AB275" s="29" t="n">
        <v>4619.38731</v>
      </c>
      <c r="AC275" s="29" t="n">
        <v>4621.04088</v>
      </c>
      <c r="AD275" s="29" t="n">
        <v>0</v>
      </c>
    </row>
    <row r="276" ht="14.25" customHeight="1" s="28">
      <c r="A276" s="29" t="n">
        <v>1777662901</v>
      </c>
      <c r="B276" s="29" t="inlineStr">
        <is>
          <t>XAUUSD</t>
        </is>
      </c>
      <c r="C276" s="29" t="inlineStr">
        <is>
          <t>M15</t>
        </is>
      </c>
      <c r="D276" s="29" t="n">
        <v>4624.4</v>
      </c>
      <c r="E276" s="29" t="n">
        <v>4717.79398</v>
      </c>
      <c r="F276" s="29" t="n">
        <v>4695.2428</v>
      </c>
      <c r="G276" s="29" t="n">
        <v>4518.59282</v>
      </c>
      <c r="H276" s="29" t="n">
        <v>4596.05595</v>
      </c>
      <c r="I276" s="29" t="n">
        <v>4755.40355</v>
      </c>
      <c r="J276" s="29" t="n">
        <v>4792.76972</v>
      </c>
      <c r="K276" s="29" t="n">
        <v>4769.97694</v>
      </c>
      <c r="L276" s="29" t="n">
        <v>4716.33597</v>
      </c>
      <c r="M276" s="29" t="n">
        <v>4718.85043</v>
      </c>
      <c r="N276" s="29" t="n">
        <v>4531.36057</v>
      </c>
      <c r="O276" s="29" t="n">
        <v>4556.93783</v>
      </c>
      <c r="Q276" s="29" t="n">
        <v>4604.03449</v>
      </c>
      <c r="R276" s="29" t="n">
        <v>4652.05216</v>
      </c>
      <c r="S276" s="29" t="n">
        <v>4627.86854</v>
      </c>
      <c r="V276" s="29" t="n">
        <v>4571.3893</v>
      </c>
      <c r="AB276" s="29" t="n">
        <v>4617.61764</v>
      </c>
      <c r="AC276" s="29" t="n">
        <v>4619.32926</v>
      </c>
      <c r="AD276" s="29" t="n">
        <v>0</v>
      </c>
    </row>
    <row r="277" ht="14.25" customHeight="1" s="28">
      <c r="A277" s="29" t="n">
        <v>1777663801</v>
      </c>
      <c r="B277" s="29" t="inlineStr">
        <is>
          <t>XAUUSD</t>
        </is>
      </c>
      <c r="C277" s="29" t="inlineStr">
        <is>
          <t>M15</t>
        </is>
      </c>
      <c r="D277" s="29" t="n">
        <v>4611.78</v>
      </c>
      <c r="E277" s="29" t="n">
        <v>4717.79398</v>
      </c>
      <c r="F277" s="29" t="n">
        <v>4695.2428</v>
      </c>
      <c r="G277" s="29" t="n">
        <v>4518.59282</v>
      </c>
      <c r="H277" s="29" t="n">
        <v>4596.05595</v>
      </c>
      <c r="I277" s="29" t="n">
        <v>4755.40355</v>
      </c>
      <c r="J277" s="29" t="n">
        <v>4792.76972</v>
      </c>
      <c r="K277" s="29" t="n">
        <v>4769.97694</v>
      </c>
      <c r="L277" s="29" t="n">
        <v>4716.33597</v>
      </c>
      <c r="M277" s="29" t="n">
        <v>4718.85043</v>
      </c>
      <c r="N277" s="29" t="n">
        <v>4531.36057</v>
      </c>
      <c r="O277" s="29" t="n">
        <v>4556.93783</v>
      </c>
      <c r="Q277" s="29" t="n">
        <v>4604.23694</v>
      </c>
      <c r="R277" s="29" t="n">
        <v>4652.2546</v>
      </c>
      <c r="S277" s="29" t="n">
        <v>4628.07099</v>
      </c>
      <c r="V277" s="29" t="n">
        <v>4571.59175</v>
      </c>
      <c r="AB277" s="29" t="n">
        <v>4615.85239</v>
      </c>
      <c r="AC277" s="29" t="n">
        <v>4617.59082</v>
      </c>
      <c r="AD277" s="29" t="n">
        <v>0</v>
      </c>
    </row>
    <row r="278" ht="14.25" customHeight="1" s="28">
      <c r="A278" s="29" t="n">
        <v>1777664701</v>
      </c>
      <c r="B278" s="29" t="inlineStr">
        <is>
          <t>XAUUSD</t>
        </is>
      </c>
      <c r="C278" s="29" t="inlineStr">
        <is>
          <t>M15</t>
        </is>
      </c>
      <c r="D278" s="29" t="n">
        <v>4610.06</v>
      </c>
      <c r="E278" s="29" t="n">
        <v>4717.79398</v>
      </c>
      <c r="F278" s="29" t="n">
        <v>4695.2428</v>
      </c>
      <c r="G278" s="29" t="n">
        <v>4518.59282</v>
      </c>
      <c r="H278" s="29" t="n">
        <v>4596.05595</v>
      </c>
      <c r="I278" s="29" t="n">
        <v>4755.40355</v>
      </c>
      <c r="J278" s="29" t="n">
        <v>4792.76972</v>
      </c>
      <c r="K278" s="29" t="n">
        <v>4769.97694</v>
      </c>
      <c r="L278" s="29" t="n">
        <v>4716.33597</v>
      </c>
      <c r="M278" s="29" t="n">
        <v>4718.85043</v>
      </c>
      <c r="N278" s="29" t="n">
        <v>4531.36057</v>
      </c>
      <c r="O278" s="29" t="n">
        <v>4556.93783</v>
      </c>
      <c r="Q278" s="29" t="n">
        <v>4604.43938</v>
      </c>
      <c r="R278" s="29" t="n">
        <v>4652.45705</v>
      </c>
      <c r="S278" s="29" t="n">
        <v>4628.27344</v>
      </c>
      <c r="V278" s="29" t="n">
        <v>4571.79419</v>
      </c>
      <c r="AB278" s="29" t="n">
        <v>4614.60638</v>
      </c>
      <c r="AC278" s="29" t="n">
        <v>4616.0986</v>
      </c>
      <c r="AD278" s="29" t="n">
        <v>0</v>
      </c>
    </row>
    <row r="279" ht="14.25" customHeight="1" s="28">
      <c r="A279" s="29" t="n">
        <v>1777665601</v>
      </c>
      <c r="B279" s="29" t="inlineStr">
        <is>
          <t>XAUUSD</t>
        </is>
      </c>
      <c r="C279" s="29" t="inlineStr">
        <is>
          <t>M15</t>
        </is>
      </c>
      <c r="D279" s="29" t="n">
        <v>4611.41</v>
      </c>
      <c r="E279" s="29" t="n">
        <v>4717.79398</v>
      </c>
      <c r="F279" s="29" t="n">
        <v>4695.2428</v>
      </c>
      <c r="G279" s="29" t="n">
        <v>4518.59282</v>
      </c>
      <c r="H279" s="29" t="n">
        <v>4596.05595</v>
      </c>
      <c r="I279" s="29" t="n">
        <v>4755.40355</v>
      </c>
      <c r="J279" s="29" t="n">
        <v>4792.76972</v>
      </c>
      <c r="K279" s="29" t="n">
        <v>4769.97694</v>
      </c>
      <c r="L279" s="29" t="n">
        <v>4716.33597</v>
      </c>
      <c r="M279" s="29" t="n">
        <v>4718.85043</v>
      </c>
      <c r="N279" s="29" t="n">
        <v>4531.36057</v>
      </c>
      <c r="O279" s="29" t="n">
        <v>4556.93783</v>
      </c>
      <c r="Q279" s="29" t="n">
        <v>4604.64183</v>
      </c>
      <c r="R279" s="29" t="n">
        <v>4652.65949</v>
      </c>
      <c r="S279" s="29" t="n">
        <v>4628.47588</v>
      </c>
      <c r="V279" s="29" t="n">
        <v>4571.99664</v>
      </c>
      <c r="AB279" s="29" t="n">
        <v>4614.05923</v>
      </c>
      <c r="AC279" s="29" t="n">
        <v>4615.07892</v>
      </c>
      <c r="AD279" s="29" t="n">
        <v>0</v>
      </c>
    </row>
    <row r="280" ht="14.25" customHeight="1" s="28">
      <c r="A280" s="29" t="n">
        <v>1777666501</v>
      </c>
      <c r="B280" s="29" t="inlineStr">
        <is>
          <t>XAUUSD</t>
        </is>
      </c>
      <c r="C280" s="29" t="inlineStr">
        <is>
          <t>M15</t>
        </is>
      </c>
      <c r="D280" s="29" t="n">
        <v>4613.3</v>
      </c>
      <c r="E280" s="29" t="n">
        <v>4717.79398</v>
      </c>
      <c r="F280" s="29" t="n">
        <v>4695.2428</v>
      </c>
      <c r="G280" s="29" t="n">
        <v>4518.59282</v>
      </c>
      <c r="H280" s="29" t="n">
        <v>4596.05595</v>
      </c>
      <c r="I280" s="29" t="n">
        <v>4755.40355</v>
      </c>
      <c r="J280" s="29" t="n">
        <v>4792.76972</v>
      </c>
      <c r="K280" s="29" t="n">
        <v>4769.97694</v>
      </c>
      <c r="L280" s="29" t="n">
        <v>4716.33597</v>
      </c>
      <c r="M280" s="29" t="n">
        <v>4718.85043</v>
      </c>
      <c r="N280" s="29" t="n">
        <v>4531.36057</v>
      </c>
      <c r="O280" s="29" t="n">
        <v>4556.93783</v>
      </c>
      <c r="Q280" s="29" t="n">
        <v>4604.84427</v>
      </c>
      <c r="R280" s="29" t="n">
        <v>4652.86194</v>
      </c>
      <c r="S280" s="29" t="n">
        <v>4628.67833</v>
      </c>
      <c r="V280" s="29" t="n">
        <v>4572.19908</v>
      </c>
      <c r="AB280" s="29" t="n">
        <v>4614.27441</v>
      </c>
      <c r="AC280" s="29" t="n">
        <v>4614.67666</v>
      </c>
      <c r="AD280" s="29" t="n">
        <v>0</v>
      </c>
    </row>
    <row r="281" ht="14.25" customHeight="1" s="28">
      <c r="A281" s="29" t="n">
        <v>1777667401</v>
      </c>
      <c r="B281" s="29" t="inlineStr">
        <is>
          <t>XAUUSD</t>
        </is>
      </c>
      <c r="C281" s="29" t="inlineStr">
        <is>
          <t>M15</t>
        </is>
      </c>
      <c r="D281" s="29" t="n">
        <v>4613.77</v>
      </c>
      <c r="E281" s="29" t="n">
        <v>4717.79398</v>
      </c>
      <c r="F281" s="29" t="n">
        <v>4695.2428</v>
      </c>
      <c r="G281" s="29" t="n">
        <v>4518.59282</v>
      </c>
      <c r="H281" s="29" t="n">
        <v>4596.05595</v>
      </c>
      <c r="I281" s="29" t="n">
        <v>4755.40355</v>
      </c>
      <c r="J281" s="29" t="n">
        <v>4792.76972</v>
      </c>
      <c r="K281" s="29" t="n">
        <v>4769.97694</v>
      </c>
      <c r="L281" s="29" t="n">
        <v>4716.33597</v>
      </c>
      <c r="M281" s="29" t="n">
        <v>4718.85043</v>
      </c>
      <c r="N281" s="29" t="n">
        <v>4531.36057</v>
      </c>
      <c r="O281" s="29" t="n">
        <v>4556.93783</v>
      </c>
      <c r="Q281" s="29" t="n">
        <v>4605.04672</v>
      </c>
      <c r="R281" s="29" t="n">
        <v>4653.06438</v>
      </c>
      <c r="S281" s="29" t="n">
        <v>4628.88077</v>
      </c>
      <c r="V281" s="29" t="n">
        <v>4572.40153</v>
      </c>
      <c r="AB281" s="29" t="n">
        <v>4615.19343</v>
      </c>
      <c r="AC281" s="29" t="n">
        <v>4614.93505</v>
      </c>
      <c r="AD281" s="29" t="n">
        <v>1</v>
      </c>
    </row>
    <row r="282" ht="14.25" customHeight="1" s="28">
      <c r="A282" s="29" t="n">
        <v>1777668301</v>
      </c>
      <c r="B282" s="29" t="inlineStr">
        <is>
          <t>XAUUSD</t>
        </is>
      </c>
      <c r="C282" s="29" t="inlineStr">
        <is>
          <t>M15</t>
        </is>
      </c>
      <c r="D282" s="29" t="n">
        <v>4613.98</v>
      </c>
      <c r="E282" s="29" t="n">
        <v>4717.79398</v>
      </c>
      <c r="F282" s="29" t="n">
        <v>4695.2428</v>
      </c>
      <c r="G282" s="29" t="n">
        <v>4518.59282</v>
      </c>
      <c r="H282" s="29" t="n">
        <v>4596.05595</v>
      </c>
      <c r="I282" s="29" t="n">
        <v>4755.40355</v>
      </c>
      <c r="J282" s="29" t="n">
        <v>4792.76972</v>
      </c>
      <c r="K282" s="29" t="n">
        <v>4769.97694</v>
      </c>
      <c r="L282" s="29" t="n">
        <v>4716.33597</v>
      </c>
      <c r="M282" s="29" t="n">
        <v>4718.85043</v>
      </c>
      <c r="N282" s="29" t="n">
        <v>4531.36057</v>
      </c>
      <c r="O282" s="29" t="n">
        <v>4556.93783</v>
      </c>
      <c r="Q282" s="29" t="n">
        <v>4605.24917</v>
      </c>
      <c r="R282" s="29" t="n">
        <v>4653.26683</v>
      </c>
      <c r="S282" s="29" t="n">
        <v>4629.08322</v>
      </c>
      <c r="V282" s="29" t="n">
        <v>4572.60397</v>
      </c>
      <c r="AB282" s="29" t="n">
        <v>4616.67455</v>
      </c>
      <c r="AC282" s="29" t="n">
        <v>4615.8048</v>
      </c>
      <c r="AD282" s="29" t="n">
        <v>0</v>
      </c>
    </row>
    <row r="283" ht="14.25" customHeight="1" s="28">
      <c r="A283" s="29" t="n">
        <v>1777845601</v>
      </c>
      <c r="B283" s="29" t="inlineStr">
        <is>
          <t>XAUUSD</t>
        </is>
      </c>
      <c r="C283" s="29" t="inlineStr">
        <is>
          <t>M15</t>
        </is>
      </c>
      <c r="D283" s="29" t="n">
        <v>4623.11</v>
      </c>
      <c r="E283" s="29" t="n">
        <v>4717.79398</v>
      </c>
      <c r="F283" s="29" t="n">
        <v>4695.2428</v>
      </c>
      <c r="G283" s="29" t="n">
        <v>4518.59282</v>
      </c>
      <c r="H283" s="29" t="n">
        <v>4596.05595</v>
      </c>
      <c r="I283" s="29" t="n">
        <v>4755.40355</v>
      </c>
      <c r="J283" s="29" t="n">
        <v>4792.76972</v>
      </c>
      <c r="K283" s="29" t="n">
        <v>4769.97694</v>
      </c>
      <c r="L283" s="29" t="n">
        <v>4716.33597</v>
      </c>
      <c r="M283" s="29" t="n">
        <v>4718.85043</v>
      </c>
      <c r="N283" s="29" t="n">
        <v>4531.36057</v>
      </c>
      <c r="O283" s="29" t="n">
        <v>4556.93783</v>
      </c>
      <c r="Q283" s="29" t="n">
        <v>4605.45161</v>
      </c>
      <c r="R283" s="29" t="n">
        <v>4653.46928</v>
      </c>
      <c r="S283" s="29" t="n">
        <v>4629.28566</v>
      </c>
      <c r="V283" s="29" t="n">
        <v>4572.80642</v>
      </c>
      <c r="AB283" s="29" t="n">
        <v>4618.47149</v>
      </c>
      <c r="AC283" s="29" t="n">
        <v>4617.13815</v>
      </c>
      <c r="AD283" s="29" t="n">
        <v>0</v>
      </c>
    </row>
    <row r="284" ht="14.25" customHeight="1" s="28">
      <c r="A284" s="29" t="n">
        <v>1777846501</v>
      </c>
      <c r="B284" s="29" t="inlineStr">
        <is>
          <t>XAUUSD</t>
        </is>
      </c>
      <c r="C284" s="29" t="inlineStr">
        <is>
          <t>M15</t>
        </is>
      </c>
      <c r="D284" s="29" t="n">
        <v>4620.91</v>
      </c>
      <c r="E284" s="29" t="n">
        <v>4717.79398</v>
      </c>
      <c r="F284" s="29" t="n">
        <v>4695.2428</v>
      </c>
      <c r="G284" s="29" t="n">
        <v>4518.59282</v>
      </c>
      <c r="H284" s="29" t="n">
        <v>4596.05595</v>
      </c>
      <c r="I284" s="29" t="n">
        <v>4755.40355</v>
      </c>
      <c r="J284" s="29" t="n">
        <v>4792.76972</v>
      </c>
      <c r="K284" s="29" t="n">
        <v>4769.97694</v>
      </c>
      <c r="L284" s="29" t="n">
        <v>4716.33597</v>
      </c>
      <c r="M284" s="29" t="n">
        <v>4718.85043</v>
      </c>
      <c r="N284" s="29" t="n">
        <v>4531.36057</v>
      </c>
      <c r="O284" s="29" t="n">
        <v>4556.93783</v>
      </c>
      <c r="Q284" s="29" t="n">
        <v>4605.65406</v>
      </c>
      <c r="R284" s="29" t="n">
        <v>4653.67172</v>
      </c>
      <c r="S284" s="29" t="n">
        <v>4629.48811</v>
      </c>
      <c r="V284" s="29" t="n">
        <v>4573.00887</v>
      </c>
      <c r="AB284" s="29" t="n">
        <v>4619.95768</v>
      </c>
      <c r="AC284" s="29" t="n">
        <v>4618.54791</v>
      </c>
      <c r="AD284" s="29" t="n">
        <v>0</v>
      </c>
    </row>
    <row r="285" ht="14.25" customHeight="1" s="28">
      <c r="A285" s="29" t="n">
        <v>1777847401</v>
      </c>
      <c r="B285" s="29" t="inlineStr">
        <is>
          <t>XAUUSD</t>
        </is>
      </c>
      <c r="C285" s="29" t="inlineStr">
        <is>
          <t>M15</t>
        </is>
      </c>
      <c r="D285" s="29" t="n">
        <v>4628.2</v>
      </c>
      <c r="E285" s="29" t="n">
        <v>4717.79398</v>
      </c>
      <c r="F285" s="29" t="n">
        <v>4695.2428</v>
      </c>
      <c r="G285" s="29" t="n">
        <v>4518.59282</v>
      </c>
      <c r="H285" s="29" t="n">
        <v>4596.05595</v>
      </c>
      <c r="I285" s="29" t="n">
        <v>4755.40355</v>
      </c>
      <c r="J285" s="29" t="n">
        <v>4792.76972</v>
      </c>
      <c r="K285" s="29" t="n">
        <v>4769.97694</v>
      </c>
      <c r="L285" s="29" t="n">
        <v>4716.33597</v>
      </c>
      <c r="M285" s="29" t="n">
        <v>4718.85043</v>
      </c>
      <c r="N285" s="29" t="n">
        <v>4531.36057</v>
      </c>
      <c r="O285" s="29" t="n">
        <v>4556.93783</v>
      </c>
      <c r="Q285" s="29" t="n">
        <v>4605.8565</v>
      </c>
      <c r="R285" s="29" t="n">
        <v>4653.87417</v>
      </c>
      <c r="S285" s="29" t="n">
        <v>4629.69056</v>
      </c>
      <c r="V285" s="29" t="n">
        <v>4573.21131</v>
      </c>
      <c r="AB285" s="29" t="n">
        <v>4620.82973</v>
      </c>
      <c r="AC285" s="29" t="n">
        <v>4619.68882</v>
      </c>
      <c r="AD285" s="29" t="n">
        <v>0</v>
      </c>
    </row>
    <row r="286" ht="14.25" customHeight="1" s="28">
      <c r="A286" s="29" t="n">
        <v>1777848301</v>
      </c>
      <c r="B286" s="29" t="inlineStr">
        <is>
          <t>XAUUSD</t>
        </is>
      </c>
      <c r="C286" s="29" t="inlineStr">
        <is>
          <t>M15</t>
        </is>
      </c>
      <c r="D286" s="29" t="n">
        <v>4618.95</v>
      </c>
      <c r="E286" s="29" t="n">
        <v>4717.79398</v>
      </c>
      <c r="F286" s="29" t="n">
        <v>4695.2428</v>
      </c>
      <c r="G286" s="29" t="n">
        <v>4518.59282</v>
      </c>
      <c r="H286" s="29" t="n">
        <v>4596.05595</v>
      </c>
      <c r="I286" s="29" t="n">
        <v>4755.40355</v>
      </c>
      <c r="J286" s="29" t="n">
        <v>4792.76972</v>
      </c>
      <c r="K286" s="29" t="n">
        <v>4769.97694</v>
      </c>
      <c r="L286" s="29" t="n">
        <v>4716.33597</v>
      </c>
      <c r="M286" s="29" t="n">
        <v>4718.85043</v>
      </c>
      <c r="N286" s="29" t="n">
        <v>4531.36057</v>
      </c>
      <c r="O286" s="29" t="n">
        <v>4556.93783</v>
      </c>
      <c r="Q286" s="29" t="n">
        <v>4606.05895</v>
      </c>
      <c r="R286" s="29" t="n">
        <v>4654.07661</v>
      </c>
      <c r="S286" s="29" t="n">
        <v>4629.893</v>
      </c>
      <c r="V286" s="29" t="n">
        <v>4573.41376</v>
      </c>
      <c r="AB286" s="29" t="n">
        <v>4620.61267</v>
      </c>
      <c r="AC286" s="29" t="n">
        <v>4620.15074</v>
      </c>
      <c r="AD286" s="29" t="n">
        <v>0</v>
      </c>
    </row>
    <row r="287" ht="14.25" customHeight="1" s="28">
      <c r="A287" s="29" t="n">
        <v>1777849201</v>
      </c>
      <c r="B287" s="29" t="inlineStr">
        <is>
          <t>XAUUSD</t>
        </is>
      </c>
      <c r="C287" s="29" t="inlineStr">
        <is>
          <t>M15</t>
        </is>
      </c>
      <c r="D287" s="29" t="n">
        <v>4615.08</v>
      </c>
      <c r="E287" s="29" t="n">
        <v>4717.79398</v>
      </c>
      <c r="F287" s="29" t="n">
        <v>4695.2428</v>
      </c>
      <c r="G287" s="29" t="n">
        <v>4518.59282</v>
      </c>
      <c r="H287" s="29" t="n">
        <v>4596.05595</v>
      </c>
      <c r="I287" s="29" t="n">
        <v>4755.40355</v>
      </c>
      <c r="J287" s="29" t="n">
        <v>4792.76972</v>
      </c>
      <c r="K287" s="29" t="n">
        <v>4769.97694</v>
      </c>
      <c r="L287" s="29" t="n">
        <v>4716.33597</v>
      </c>
      <c r="M287" s="29" t="n">
        <v>4718.85043</v>
      </c>
      <c r="N287" s="29" t="n">
        <v>4531.36057</v>
      </c>
      <c r="O287" s="29" t="n">
        <v>4556.93783</v>
      </c>
      <c r="Q287" s="29" t="n">
        <v>4606.26139</v>
      </c>
      <c r="R287" s="29" t="n">
        <v>4654.27906</v>
      </c>
      <c r="S287" s="29" t="n">
        <v>4630.09545</v>
      </c>
      <c r="V287" s="29" t="n">
        <v>4573.6162</v>
      </c>
      <c r="AB287" s="29" t="n">
        <v>4619.52983</v>
      </c>
      <c r="AC287" s="29" t="n">
        <v>4619.84029</v>
      </c>
      <c r="AD287" s="29" t="n">
        <v>1</v>
      </c>
    </row>
    <row r="288" ht="14.25" customHeight="1" s="28">
      <c r="A288" s="29" t="n">
        <v>1777850101</v>
      </c>
      <c r="B288" s="29" t="inlineStr">
        <is>
          <t>XAUUSD</t>
        </is>
      </c>
      <c r="C288" s="29" t="inlineStr">
        <is>
          <t>M15</t>
        </is>
      </c>
      <c r="D288" s="29" t="n">
        <v>4617.09</v>
      </c>
      <c r="E288" s="29" t="n">
        <v>4717.79398</v>
      </c>
      <c r="F288" s="29" t="n">
        <v>4695.2428</v>
      </c>
      <c r="G288" s="29" t="n">
        <v>4518.59282</v>
      </c>
      <c r="H288" s="29" t="n">
        <v>4596.05595</v>
      </c>
      <c r="I288" s="29" t="n">
        <v>4755.40355</v>
      </c>
      <c r="J288" s="29" t="n">
        <v>4792.76972</v>
      </c>
      <c r="K288" s="29" t="n">
        <v>4769.97694</v>
      </c>
      <c r="L288" s="29" t="n">
        <v>4716.33597</v>
      </c>
      <c r="M288" s="29" t="n">
        <v>4718.85043</v>
      </c>
      <c r="N288" s="29" t="n">
        <v>4531.36057</v>
      </c>
      <c r="O288" s="29" t="n">
        <v>4556.93783</v>
      </c>
      <c r="Q288" s="29" t="n">
        <v>4606.46384</v>
      </c>
      <c r="R288" s="29" t="n">
        <v>4654.4815</v>
      </c>
      <c r="S288" s="29" t="n">
        <v>4630.29789</v>
      </c>
      <c r="V288" s="29" t="n">
        <v>4573.81865</v>
      </c>
      <c r="AB288" s="29" t="n">
        <v>4617.81383</v>
      </c>
      <c r="AC288" s="29" t="n">
        <v>4618.82706</v>
      </c>
      <c r="AD288" s="29" t="n">
        <v>0</v>
      </c>
    </row>
    <row r="289" ht="14.25" customHeight="1" s="28">
      <c r="A289" s="29" t="n">
        <v>1777851001</v>
      </c>
      <c r="B289" s="29" t="inlineStr">
        <is>
          <t>XAUUSD</t>
        </is>
      </c>
      <c r="C289" s="29" t="inlineStr">
        <is>
          <t>M15</t>
        </is>
      </c>
      <c r="D289" s="29" t="n">
        <v>4613.63</v>
      </c>
      <c r="E289" s="29" t="n">
        <v>4717.79398</v>
      </c>
      <c r="F289" s="29" t="n">
        <v>4695.2428</v>
      </c>
      <c r="G289" s="29" t="n">
        <v>4518.59282</v>
      </c>
      <c r="H289" s="29" t="n">
        <v>4596.05595</v>
      </c>
      <c r="I289" s="29" t="n">
        <v>4755.40355</v>
      </c>
      <c r="J289" s="29" t="n">
        <v>4792.76972</v>
      </c>
      <c r="K289" s="29" t="n">
        <v>4769.97694</v>
      </c>
      <c r="L289" s="29" t="n">
        <v>4716.33597</v>
      </c>
      <c r="M289" s="29" t="n">
        <v>4718.85043</v>
      </c>
      <c r="N289" s="29" t="n">
        <v>4531.36057</v>
      </c>
      <c r="O289" s="29" t="n">
        <v>4556.93783</v>
      </c>
      <c r="Q289" s="29" t="n">
        <v>4606.66629</v>
      </c>
      <c r="R289" s="29" t="n">
        <v>4654.68395</v>
      </c>
      <c r="S289" s="29" t="n">
        <v>4630.50034</v>
      </c>
      <c r="V289" s="29" t="n">
        <v>4574.02109</v>
      </c>
      <c r="AB289" s="29" t="n">
        <v>4615.57777</v>
      </c>
      <c r="AC289" s="29" t="n">
        <v>4617.20241</v>
      </c>
      <c r="AD289" s="29" t="n">
        <v>0</v>
      </c>
    </row>
    <row r="290" ht="14.25" customHeight="1" s="28">
      <c r="A290" s="29" t="n">
        <v>1777851901</v>
      </c>
      <c r="B290" s="29" t="inlineStr">
        <is>
          <t>XAUUSD</t>
        </is>
      </c>
      <c r="C290" s="29" t="inlineStr">
        <is>
          <t>M15</t>
        </is>
      </c>
      <c r="D290" s="29" t="n">
        <v>4613.86</v>
      </c>
      <c r="E290" s="29" t="n">
        <v>4717.79398</v>
      </c>
      <c r="F290" s="29" t="n">
        <v>4695.2428</v>
      </c>
      <c r="G290" s="29" t="n">
        <v>4518.59282</v>
      </c>
      <c r="H290" s="29" t="n">
        <v>4596.05595</v>
      </c>
      <c r="I290" s="29" t="n">
        <v>4755.40355</v>
      </c>
      <c r="J290" s="29" t="n">
        <v>4792.76972</v>
      </c>
      <c r="K290" s="29" t="n">
        <v>4769.97694</v>
      </c>
      <c r="L290" s="29" t="n">
        <v>4716.33597</v>
      </c>
      <c r="M290" s="29" t="n">
        <v>4718.85043</v>
      </c>
      <c r="N290" s="29" t="n">
        <v>4531.36057</v>
      </c>
      <c r="O290" s="29" t="n">
        <v>4556.93783</v>
      </c>
      <c r="Q290" s="29" t="n">
        <v>4606.86873</v>
      </c>
      <c r="R290" s="29" t="n">
        <v>4654.8864</v>
      </c>
      <c r="S290" s="29" t="n">
        <v>4630.70278</v>
      </c>
      <c r="V290" s="29" t="n">
        <v>4574.22354</v>
      </c>
      <c r="AB290" s="29" t="n">
        <v>4613.10995</v>
      </c>
      <c r="AC290" s="29" t="n">
        <v>4615.15618</v>
      </c>
      <c r="AD290" s="29" t="n">
        <v>0</v>
      </c>
    </row>
    <row r="291" ht="14.25" customHeight="1" s="28">
      <c r="A291" s="29" t="n">
        <v>1777852801</v>
      </c>
      <c r="B291" s="29" t="inlineStr">
        <is>
          <t>XAUUSD</t>
        </is>
      </c>
      <c r="C291" s="29" t="inlineStr">
        <is>
          <t>M15</t>
        </is>
      </c>
      <c r="D291" s="29" t="n">
        <v>4612.3</v>
      </c>
      <c r="E291" s="29" t="n">
        <v>4717.79398</v>
      </c>
      <c r="F291" s="29" t="n">
        <v>4695.2428</v>
      </c>
      <c r="G291" s="29" t="n">
        <v>4518.59282</v>
      </c>
      <c r="H291" s="29" t="n">
        <v>4596.05595</v>
      </c>
      <c r="I291" s="29" t="n">
        <v>4755.40355</v>
      </c>
      <c r="J291" s="29" t="n">
        <v>4792.76972</v>
      </c>
      <c r="K291" s="29" t="n">
        <v>4769.97694</v>
      </c>
      <c r="L291" s="29" t="n">
        <v>4716.33597</v>
      </c>
      <c r="M291" s="29" t="n">
        <v>4718.85043</v>
      </c>
      <c r="N291" s="29" t="n">
        <v>4531.36057</v>
      </c>
      <c r="O291" s="29" t="n">
        <v>4556.93783</v>
      </c>
      <c r="Q291" s="29" t="n">
        <v>4607.07118</v>
      </c>
      <c r="R291" s="29" t="n">
        <v>4655.08884</v>
      </c>
      <c r="S291" s="29" t="n">
        <v>4630.90523</v>
      </c>
      <c r="V291" s="29" t="n">
        <v>4574.42599</v>
      </c>
      <c r="AB291" s="29" t="n">
        <v>4610.61196</v>
      </c>
      <c r="AC291" s="29" t="n">
        <v>4612.88407</v>
      </c>
      <c r="AD291" s="29" t="n">
        <v>0</v>
      </c>
    </row>
    <row r="292" ht="14.25" customHeight="1" s="28">
      <c r="A292" s="29" t="n">
        <v>1777853701</v>
      </c>
      <c r="B292" s="29" t="inlineStr">
        <is>
          <t>XAUUSD</t>
        </is>
      </c>
      <c r="C292" s="29" t="inlineStr">
        <is>
          <t>M15</t>
        </is>
      </c>
      <c r="D292" s="29" t="n">
        <v>4606.13</v>
      </c>
      <c r="E292" s="29" t="n">
        <v>4717.79398</v>
      </c>
      <c r="F292" s="29" t="n">
        <v>4695.2428</v>
      </c>
      <c r="G292" s="29" t="n">
        <v>4518.59282</v>
      </c>
      <c r="H292" s="29" t="n">
        <v>4596.05595</v>
      </c>
      <c r="I292" s="29" t="n">
        <v>4755.40355</v>
      </c>
      <c r="J292" s="29" t="n">
        <v>4792.76972</v>
      </c>
      <c r="K292" s="29" t="n">
        <v>4769.97694</v>
      </c>
      <c r="L292" s="29" t="n">
        <v>4716.33597</v>
      </c>
      <c r="M292" s="29" t="n">
        <v>4718.85043</v>
      </c>
      <c r="N292" s="29" t="n">
        <v>4531.36057</v>
      </c>
      <c r="O292" s="29" t="n">
        <v>4556.93783</v>
      </c>
      <c r="Q292" s="29" t="n">
        <v>4607.27362</v>
      </c>
      <c r="R292" s="29" t="n">
        <v>4655.29129</v>
      </c>
      <c r="S292" s="29" t="n">
        <v>4631.10768</v>
      </c>
      <c r="V292" s="29" t="n">
        <v>4574.62843</v>
      </c>
      <c r="AB292" s="29" t="n">
        <v>4608.26458</v>
      </c>
      <c r="AC292" s="29" t="n">
        <v>4610.57432</v>
      </c>
      <c r="AD292" s="29" t="n">
        <v>0</v>
      </c>
    </row>
    <row r="293" ht="14.25" customHeight="1" s="28">
      <c r="A293" s="29" t="n">
        <v>1777854601</v>
      </c>
      <c r="B293" s="29" t="inlineStr">
        <is>
          <t>XAUUSD</t>
        </is>
      </c>
      <c r="C293" s="29" t="inlineStr">
        <is>
          <t>M15</t>
        </is>
      </c>
      <c r="D293" s="29" t="n">
        <v>4605.86</v>
      </c>
      <c r="E293" s="29" t="n">
        <v>4717.79398</v>
      </c>
      <c r="F293" s="29" t="n">
        <v>4695.2428</v>
      </c>
      <c r="G293" s="29" t="n">
        <v>4518.59282</v>
      </c>
      <c r="H293" s="29" t="n">
        <v>4596.05595</v>
      </c>
      <c r="I293" s="29" t="n">
        <v>4755.40355</v>
      </c>
      <c r="J293" s="29" t="n">
        <v>4792.76972</v>
      </c>
      <c r="K293" s="29" t="n">
        <v>4769.97694</v>
      </c>
      <c r="L293" s="29" t="n">
        <v>4716.33597</v>
      </c>
      <c r="M293" s="29" t="n">
        <v>4718.85043</v>
      </c>
      <c r="N293" s="29" t="n">
        <v>4531.36057</v>
      </c>
      <c r="O293" s="29" t="n">
        <v>4556.93783</v>
      </c>
      <c r="Q293" s="29" t="n">
        <v>4607.47607</v>
      </c>
      <c r="R293" s="29" t="n">
        <v>4655.49373</v>
      </c>
      <c r="S293" s="29" t="n">
        <v>4631.31012</v>
      </c>
      <c r="V293" s="29" t="n">
        <v>4574.83088</v>
      </c>
      <c r="AB293" s="29" t="n">
        <v>4606.33898</v>
      </c>
      <c r="AC293" s="29" t="n">
        <v>4608.45665</v>
      </c>
      <c r="AD293" s="29" t="n">
        <v>0</v>
      </c>
    </row>
    <row r="294" ht="14.25" customHeight="1" s="28">
      <c r="A294" s="29" t="n">
        <v>1777855501</v>
      </c>
      <c r="B294" s="29" t="inlineStr">
        <is>
          <t>XAUUSD</t>
        </is>
      </c>
      <c r="C294" s="29" t="inlineStr">
        <is>
          <t>M15</t>
        </is>
      </c>
      <c r="D294" s="29" t="n">
        <v>4613.01</v>
      </c>
      <c r="E294" s="29" t="n">
        <v>4717.79398</v>
      </c>
      <c r="F294" s="29" t="n">
        <v>4695.2428</v>
      </c>
      <c r="G294" s="29" t="n">
        <v>4518.59282</v>
      </c>
      <c r="H294" s="29" t="n">
        <v>4596.05595</v>
      </c>
      <c r="I294" s="29" t="n">
        <v>4755.40355</v>
      </c>
      <c r="J294" s="29" t="n">
        <v>4792.76972</v>
      </c>
      <c r="K294" s="29" t="n">
        <v>4769.97694</v>
      </c>
      <c r="L294" s="29" t="n">
        <v>4716.33597</v>
      </c>
      <c r="M294" s="29" t="n">
        <v>4718.85043</v>
      </c>
      <c r="N294" s="29" t="n">
        <v>4531.36057</v>
      </c>
      <c r="O294" s="29" t="n">
        <v>4556.93783</v>
      </c>
      <c r="Q294" s="29" t="n">
        <v>4607.67851</v>
      </c>
      <c r="R294" s="29" t="n">
        <v>4655.69618</v>
      </c>
      <c r="S294" s="29" t="n">
        <v>4631.51257</v>
      </c>
      <c r="V294" s="29" t="n">
        <v>4575.03332</v>
      </c>
      <c r="AB294" s="29" t="n">
        <v>4604.85083</v>
      </c>
      <c r="AC294" s="29" t="n">
        <v>4606.65374</v>
      </c>
      <c r="AD294" s="29" t="n">
        <v>0</v>
      </c>
    </row>
    <row r="295" ht="14.25" customHeight="1" s="28">
      <c r="A295" s="29" t="n">
        <v>1777856401</v>
      </c>
      <c r="B295" s="29" t="inlineStr">
        <is>
          <t>XAUUSD</t>
        </is>
      </c>
      <c r="C295" s="29" t="inlineStr">
        <is>
          <t>M15</t>
        </is>
      </c>
      <c r="D295" s="29" t="n">
        <v>4600.58</v>
      </c>
      <c r="E295" s="29" t="n">
        <v>4717.79398</v>
      </c>
      <c r="F295" s="29" t="n">
        <v>4695.2428</v>
      </c>
      <c r="G295" s="29" t="n">
        <v>4518.59282</v>
      </c>
      <c r="H295" s="29" t="n">
        <v>4596.05595</v>
      </c>
      <c r="I295" s="29" t="n">
        <v>4755.40355</v>
      </c>
      <c r="J295" s="29" t="n">
        <v>4792.76972</v>
      </c>
      <c r="K295" s="29" t="n">
        <v>4769.97694</v>
      </c>
      <c r="L295" s="29" t="n">
        <v>4716.33597</v>
      </c>
      <c r="M295" s="29" t="n">
        <v>4718.85043</v>
      </c>
      <c r="N295" s="29" t="n">
        <v>4531.36057</v>
      </c>
      <c r="O295" s="29" t="n">
        <v>4556.93783</v>
      </c>
      <c r="Q295" s="29" t="n">
        <v>4607.88096</v>
      </c>
      <c r="R295" s="29" t="n">
        <v>4655.89862</v>
      </c>
      <c r="S295" s="29" t="n">
        <v>4631.71501</v>
      </c>
      <c r="V295" s="29" t="n">
        <v>4575.23577</v>
      </c>
      <c r="AB295" s="29" t="n">
        <v>4603.58268</v>
      </c>
      <c r="AC295" s="29" t="n">
        <v>4605.11821</v>
      </c>
      <c r="AD295" s="29" t="n">
        <v>0</v>
      </c>
    </row>
    <row r="296" ht="14.25" customHeight="1" s="28">
      <c r="A296" s="29" t="n">
        <v>1777857301</v>
      </c>
      <c r="B296" s="29" t="inlineStr">
        <is>
          <t>XAUUSD</t>
        </is>
      </c>
      <c r="C296" s="29" t="inlineStr">
        <is>
          <t>M15</t>
        </is>
      </c>
      <c r="D296" s="29" t="n">
        <v>4594.65</v>
      </c>
      <c r="E296" s="29" t="n">
        <v>4717.79398</v>
      </c>
      <c r="F296" s="29" t="n">
        <v>4695.2428</v>
      </c>
      <c r="G296" s="29" t="n">
        <v>4518.59282</v>
      </c>
      <c r="H296" s="29" t="n">
        <v>4596.05595</v>
      </c>
      <c r="I296" s="29" t="n">
        <v>4755.40355</v>
      </c>
      <c r="J296" s="29" t="n">
        <v>4792.76972</v>
      </c>
      <c r="K296" s="29" t="n">
        <v>4769.97694</v>
      </c>
      <c r="L296" s="29" t="n">
        <v>4716.33597</v>
      </c>
      <c r="M296" s="29" t="n">
        <v>4718.85043</v>
      </c>
      <c r="N296" s="29" t="n">
        <v>4531.36057</v>
      </c>
      <c r="O296" s="29" t="n">
        <v>4556.93783</v>
      </c>
      <c r="Q296" s="29" t="n">
        <v>4608.08341</v>
      </c>
      <c r="R296" s="29" t="n">
        <v>4656.10107</v>
      </c>
      <c r="S296" s="29" t="n">
        <v>4631.91746</v>
      </c>
      <c r="V296" s="29" t="n">
        <v>4575.43821</v>
      </c>
      <c r="AB296" s="29" t="n">
        <v>4602.82428</v>
      </c>
      <c r="AC296" s="29" t="n">
        <v>4603.97125</v>
      </c>
      <c r="AD296" s="29" t="n">
        <v>0</v>
      </c>
    </row>
    <row r="297" ht="14.25" customHeight="1" s="28">
      <c r="A297" s="29" t="n">
        <v>1777858201</v>
      </c>
      <c r="B297" s="29" t="inlineStr">
        <is>
          <t>XAUUSD</t>
        </is>
      </c>
      <c r="C297" s="29" t="inlineStr">
        <is>
          <t>M15</t>
        </is>
      </c>
      <c r="D297" s="29" t="n">
        <v>4601.59</v>
      </c>
      <c r="E297" s="29" t="n">
        <v>4717.79398</v>
      </c>
      <c r="F297" s="29" t="n">
        <v>4695.2428</v>
      </c>
      <c r="G297" s="29" t="n">
        <v>4518.59282</v>
      </c>
      <c r="H297" s="29" t="n">
        <v>4596.05595</v>
      </c>
      <c r="I297" s="29" t="n">
        <v>4755.40355</v>
      </c>
      <c r="J297" s="29" t="n">
        <v>4792.76972</v>
      </c>
      <c r="K297" s="29" t="n">
        <v>4769.97694</v>
      </c>
      <c r="L297" s="29" t="n">
        <v>4716.33597</v>
      </c>
      <c r="M297" s="29" t="n">
        <v>4718.85043</v>
      </c>
      <c r="N297" s="29" t="n">
        <v>4531.36057</v>
      </c>
      <c r="O297" s="29" t="n">
        <v>4556.93783</v>
      </c>
      <c r="Q297" s="29" t="n">
        <v>4608.28585</v>
      </c>
      <c r="R297" s="29" t="n">
        <v>4656.30352</v>
      </c>
      <c r="S297" s="29" t="n">
        <v>4632.1199</v>
      </c>
      <c r="V297" s="29" t="n">
        <v>4575.64066</v>
      </c>
      <c r="AB297" s="29" t="n">
        <v>4602.68068</v>
      </c>
      <c r="AC297" s="29" t="n">
        <v>4603.32596</v>
      </c>
      <c r="AD297" s="29" t="n">
        <v>0</v>
      </c>
    </row>
    <row r="298" ht="14.25" customHeight="1" s="28">
      <c r="A298" s="29" t="n">
        <v>1777859101</v>
      </c>
      <c r="B298" s="29" t="inlineStr">
        <is>
          <t>XAUUSD</t>
        </is>
      </c>
      <c r="C298" s="29" t="inlineStr">
        <is>
          <t>M15</t>
        </is>
      </c>
      <c r="D298" s="29" t="n">
        <v>4613.14</v>
      </c>
      <c r="E298" s="29" t="n">
        <v>4717.79398</v>
      </c>
      <c r="F298" s="29" t="n">
        <v>4695.2428</v>
      </c>
      <c r="G298" s="29" t="n">
        <v>4518.59282</v>
      </c>
      <c r="H298" s="29" t="n">
        <v>4596.05595</v>
      </c>
      <c r="I298" s="29" t="n">
        <v>4755.40355</v>
      </c>
      <c r="J298" s="29" t="n">
        <v>4792.76972</v>
      </c>
      <c r="K298" s="29" t="n">
        <v>4769.97694</v>
      </c>
      <c r="L298" s="29" t="n">
        <v>4716.33597</v>
      </c>
      <c r="M298" s="29" t="n">
        <v>4718.85043</v>
      </c>
      <c r="N298" s="29" t="n">
        <v>4531.36057</v>
      </c>
      <c r="O298" s="29" t="n">
        <v>4556.93783</v>
      </c>
      <c r="Q298" s="29" t="n">
        <v>4608.4883</v>
      </c>
      <c r="R298" s="29" t="n">
        <v>4656.50596</v>
      </c>
      <c r="S298" s="29" t="n">
        <v>4632.32235</v>
      </c>
      <c r="V298" s="29" t="n">
        <v>4575.84311</v>
      </c>
      <c r="AB298" s="29" t="n">
        <v>4602.87373</v>
      </c>
      <c r="AC298" s="29" t="n">
        <v>4603.09985</v>
      </c>
      <c r="AD298" s="29" t="n">
        <v>0</v>
      </c>
    </row>
    <row r="299" ht="14.25" customHeight="1" s="28">
      <c r="A299" s="29" t="n">
        <v>1777860001</v>
      </c>
      <c r="B299" s="29" t="inlineStr">
        <is>
          <t>XAUUSD</t>
        </is>
      </c>
      <c r="C299" s="29" t="inlineStr">
        <is>
          <t>M15</t>
        </is>
      </c>
      <c r="D299" s="29" t="n">
        <v>4608.34</v>
      </c>
      <c r="E299" s="29" t="n">
        <v>4717.79398</v>
      </c>
      <c r="F299" s="29" t="n">
        <v>4695.2428</v>
      </c>
      <c r="G299" s="29" t="n">
        <v>4518.59282</v>
      </c>
      <c r="H299" s="29" t="n">
        <v>4596.05595</v>
      </c>
      <c r="I299" s="29" t="n">
        <v>4755.40355</v>
      </c>
      <c r="J299" s="29" t="n">
        <v>4792.76972</v>
      </c>
      <c r="K299" s="29" t="n">
        <v>4769.97694</v>
      </c>
      <c r="L299" s="29" t="n">
        <v>4716.33597</v>
      </c>
      <c r="M299" s="29" t="n">
        <v>4718.85043</v>
      </c>
      <c r="N299" s="29" t="n">
        <v>4531.36057</v>
      </c>
      <c r="O299" s="29" t="n">
        <v>4556.93783</v>
      </c>
      <c r="Q299" s="29" t="n">
        <v>4608.69074</v>
      </c>
      <c r="R299" s="29" t="n">
        <v>4656.70841</v>
      </c>
      <c r="S299" s="29" t="n">
        <v>4632.52479</v>
      </c>
      <c r="V299" s="29" t="n">
        <v>4576.04555</v>
      </c>
      <c r="AB299" s="29" t="n">
        <v>4603.07433</v>
      </c>
      <c r="AC299" s="29" t="n">
        <v>4603.08709</v>
      </c>
      <c r="AD299" s="29" t="n">
        <v>0</v>
      </c>
    </row>
    <row r="300" ht="14.25" customHeight="1" s="28">
      <c r="A300" s="29" t="n">
        <v>1777860901</v>
      </c>
      <c r="B300" s="29" t="inlineStr">
        <is>
          <t>XAUUSD</t>
        </is>
      </c>
      <c r="C300" s="29" t="inlineStr">
        <is>
          <t>M15</t>
        </is>
      </c>
      <c r="D300" s="29" t="n">
        <v>4593.09</v>
      </c>
      <c r="E300" s="29" t="n">
        <v>4717.79398</v>
      </c>
      <c r="F300" s="29" t="n">
        <v>4695.2428</v>
      </c>
      <c r="G300" s="29" t="n">
        <v>4518.59282</v>
      </c>
      <c r="H300" s="29" t="n">
        <v>4596.05595</v>
      </c>
      <c r="I300" s="29" t="n">
        <v>4755.40355</v>
      </c>
      <c r="J300" s="29" t="n">
        <v>4792.76972</v>
      </c>
      <c r="K300" s="29" t="n">
        <v>4769.97694</v>
      </c>
      <c r="L300" s="29" t="n">
        <v>4716.33597</v>
      </c>
      <c r="M300" s="29" t="n">
        <v>4718.85043</v>
      </c>
      <c r="N300" s="29" t="n">
        <v>4531.36057</v>
      </c>
      <c r="O300" s="29" t="n">
        <v>4556.93783</v>
      </c>
      <c r="Q300" s="29" t="n">
        <v>4608.89319</v>
      </c>
      <c r="R300" s="29" t="n">
        <v>4656.91085</v>
      </c>
      <c r="S300" s="29" t="n">
        <v>4632.72724</v>
      </c>
      <c r="V300" s="29" t="n">
        <v>4576.248</v>
      </c>
      <c r="AB300" s="29" t="n">
        <v>4603.46313</v>
      </c>
      <c r="AC300" s="29" t="n">
        <v>4603.27511</v>
      </c>
      <c r="AD300" s="29" t="n">
        <v>1</v>
      </c>
    </row>
    <row r="301" ht="14.25" customHeight="1" s="28">
      <c r="A301" s="29" t="n">
        <v>1777861801</v>
      </c>
      <c r="B301" s="29" t="inlineStr">
        <is>
          <t>XAUUSD</t>
        </is>
      </c>
      <c r="C301" s="29" t="inlineStr">
        <is>
          <t>M15</t>
        </is>
      </c>
      <c r="D301" s="29" t="n">
        <v>4603.32</v>
      </c>
      <c r="E301" s="29" t="n">
        <v>4717.79398</v>
      </c>
      <c r="F301" s="29" t="n">
        <v>4695.2428</v>
      </c>
      <c r="G301" s="29" t="n">
        <v>4518.59282</v>
      </c>
      <c r="H301" s="29" t="n">
        <v>4596.05595</v>
      </c>
      <c r="I301" s="29" t="n">
        <v>4755.40355</v>
      </c>
      <c r="J301" s="29" t="n">
        <v>4792.76972</v>
      </c>
      <c r="K301" s="29" t="n">
        <v>4769.97694</v>
      </c>
      <c r="L301" s="29" t="n">
        <v>4716.33597</v>
      </c>
      <c r="M301" s="29" t="n">
        <v>4718.85043</v>
      </c>
      <c r="N301" s="29" t="n">
        <v>4531.36057</v>
      </c>
      <c r="O301" s="29" t="n">
        <v>4556.93783</v>
      </c>
      <c r="Q301" s="29" t="n">
        <v>4609.09563</v>
      </c>
      <c r="R301" s="29" t="n">
        <v>4657.1133</v>
      </c>
      <c r="S301" s="29" t="n">
        <v>4632.92969</v>
      </c>
      <c r="V301" s="29" t="n">
        <v>4576.45044</v>
      </c>
      <c r="AB301" s="29" t="n">
        <v>4604.51814</v>
      </c>
      <c r="AC301" s="29" t="n">
        <v>4603.89663</v>
      </c>
      <c r="AD301" s="29" t="n">
        <v>0</v>
      </c>
    </row>
    <row r="302" ht="14.25" customHeight="1" s="28">
      <c r="A302" s="29" t="n">
        <v>1777862701</v>
      </c>
      <c r="B302" s="29" t="inlineStr">
        <is>
          <t>XAUUSD</t>
        </is>
      </c>
      <c r="C302" s="29" t="inlineStr">
        <is>
          <t>M15</t>
        </is>
      </c>
      <c r="D302" s="29" t="n">
        <v>4605.77</v>
      </c>
      <c r="E302" s="29" t="n">
        <v>4717.79398</v>
      </c>
      <c r="F302" s="29" t="n">
        <v>4695.2428</v>
      </c>
      <c r="G302" s="29" t="n">
        <v>4518.59282</v>
      </c>
      <c r="H302" s="29" t="n">
        <v>4596.05595</v>
      </c>
      <c r="I302" s="29" t="n">
        <v>4755.40355</v>
      </c>
      <c r="J302" s="29" t="n">
        <v>4792.76972</v>
      </c>
      <c r="K302" s="29" t="n">
        <v>4769.97694</v>
      </c>
      <c r="L302" s="29" t="n">
        <v>4716.33597</v>
      </c>
      <c r="M302" s="29" t="n">
        <v>4718.85043</v>
      </c>
      <c r="N302" s="29" t="n">
        <v>4531.36057</v>
      </c>
      <c r="O302" s="29" t="n">
        <v>4556.93783</v>
      </c>
      <c r="Q302" s="29" t="n">
        <v>4609.29808</v>
      </c>
      <c r="R302" s="29" t="n">
        <v>4657.31574</v>
      </c>
      <c r="S302" s="29" t="n">
        <v>4633.13213</v>
      </c>
      <c r="V302" s="29" t="n">
        <v>4576.65289</v>
      </c>
      <c r="AB302" s="29" t="n">
        <v>4605.99584</v>
      </c>
      <c r="AC302" s="29" t="n">
        <v>4604.94624</v>
      </c>
      <c r="AD302" s="29" t="n">
        <v>0</v>
      </c>
    </row>
    <row r="303" ht="14.25" customHeight="1" s="28">
      <c r="A303" s="29" t="n">
        <v>1777863601</v>
      </c>
      <c r="B303" s="29" t="inlineStr">
        <is>
          <t>XAUUSD</t>
        </is>
      </c>
      <c r="C303" s="29" t="inlineStr">
        <is>
          <t>M15</t>
        </is>
      </c>
      <c r="D303" s="29" t="n">
        <v>4610.07</v>
      </c>
      <c r="E303" s="29" t="n">
        <v>4717.79398</v>
      </c>
      <c r="F303" s="29" t="n">
        <v>4695.2428</v>
      </c>
      <c r="G303" s="29" t="n">
        <v>4518.59282</v>
      </c>
      <c r="H303" s="29" t="n">
        <v>4596.05595</v>
      </c>
      <c r="I303" s="29" t="n">
        <v>4755.40355</v>
      </c>
      <c r="J303" s="29" t="n">
        <v>4792.76972</v>
      </c>
      <c r="K303" s="29" t="n">
        <v>4769.97694</v>
      </c>
      <c r="L303" s="29" t="n">
        <v>4716.33597</v>
      </c>
      <c r="M303" s="29" t="n">
        <v>4718.85043</v>
      </c>
      <c r="N303" s="29" t="n">
        <v>4531.36057</v>
      </c>
      <c r="O303" s="29" t="n">
        <v>4556.93783</v>
      </c>
      <c r="Q303" s="29" t="n">
        <v>4609.50053</v>
      </c>
      <c r="R303" s="29" t="n">
        <v>4657.51819</v>
      </c>
      <c r="S303" s="29" t="n">
        <v>4633.33458</v>
      </c>
      <c r="V303" s="29" t="n">
        <v>4576.85533</v>
      </c>
      <c r="AB303" s="29" t="n">
        <v>4607.64179</v>
      </c>
      <c r="AC303" s="29" t="n">
        <v>4606.29401</v>
      </c>
      <c r="AD303" s="29" t="n">
        <v>0</v>
      </c>
    </row>
    <row r="304" ht="14.25" customHeight="1" s="28">
      <c r="A304" s="29" t="n">
        <v>1777864501</v>
      </c>
      <c r="B304" s="29" t="inlineStr">
        <is>
          <t>XAUUSD</t>
        </is>
      </c>
      <c r="C304" s="29" t="inlineStr">
        <is>
          <t>M15</t>
        </is>
      </c>
      <c r="D304" s="29" t="n">
        <v>4610.27</v>
      </c>
      <c r="E304" s="29" t="n">
        <v>4717.79398</v>
      </c>
      <c r="F304" s="29" t="n">
        <v>4695.2428</v>
      </c>
      <c r="G304" s="29" t="n">
        <v>4518.59282</v>
      </c>
      <c r="H304" s="29" t="n">
        <v>4596.05595</v>
      </c>
      <c r="I304" s="29" t="n">
        <v>4755.40355</v>
      </c>
      <c r="J304" s="29" t="n">
        <v>4792.76972</v>
      </c>
      <c r="K304" s="29" t="n">
        <v>4769.97694</v>
      </c>
      <c r="L304" s="29" t="n">
        <v>4716.33597</v>
      </c>
      <c r="M304" s="29" t="n">
        <v>4718.85043</v>
      </c>
      <c r="N304" s="29" t="n">
        <v>4531.36057</v>
      </c>
      <c r="O304" s="29" t="n">
        <v>4556.93783</v>
      </c>
      <c r="Q304" s="29" t="n">
        <v>4609.70297</v>
      </c>
      <c r="R304" s="29" t="n">
        <v>4657.72064</v>
      </c>
      <c r="S304" s="29" t="n">
        <v>4633.53702</v>
      </c>
      <c r="V304" s="29" t="n">
        <v>4577.05778</v>
      </c>
      <c r="AB304" s="29" t="n">
        <v>4609.07942</v>
      </c>
      <c r="AC304" s="29" t="n">
        <v>4607.68672</v>
      </c>
      <c r="AD304" s="29" t="n">
        <v>0</v>
      </c>
    </row>
    <row r="305" ht="14.25" customHeight="1" s="28">
      <c r="A305" s="29" t="n">
        <v>1777865401</v>
      </c>
      <c r="B305" s="29" t="inlineStr">
        <is>
          <t>XAUUSD</t>
        </is>
      </c>
      <c r="C305" s="29" t="inlineStr">
        <is>
          <t>M15</t>
        </is>
      </c>
      <c r="D305" s="29" t="n">
        <v>4605.07</v>
      </c>
      <c r="E305" s="29" t="n">
        <v>4717.79398</v>
      </c>
      <c r="F305" s="29" t="n">
        <v>4695.2428</v>
      </c>
      <c r="G305" s="29" t="n">
        <v>4518.59282</v>
      </c>
      <c r="H305" s="29" t="n">
        <v>4596.05595</v>
      </c>
      <c r="I305" s="29" t="n">
        <v>4755.40355</v>
      </c>
      <c r="J305" s="29" t="n">
        <v>4792.76972</v>
      </c>
      <c r="K305" s="29" t="n">
        <v>4769.97694</v>
      </c>
      <c r="L305" s="29" t="n">
        <v>4716.33597</v>
      </c>
      <c r="M305" s="29" t="n">
        <v>4718.85043</v>
      </c>
      <c r="N305" s="29" t="n">
        <v>4531.36057</v>
      </c>
      <c r="O305" s="29" t="n">
        <v>4556.93783</v>
      </c>
      <c r="Q305" s="29" t="n">
        <v>4609.90542</v>
      </c>
      <c r="R305" s="29" t="n">
        <v>4657.92308</v>
      </c>
      <c r="S305" s="29" t="n">
        <v>4633.73947</v>
      </c>
      <c r="V305" s="29" t="n">
        <v>4577.26023</v>
      </c>
      <c r="AB305" s="29" t="n">
        <v>4610.0652</v>
      </c>
      <c r="AC305" s="29" t="n">
        <v>4608.87596</v>
      </c>
      <c r="AD305" s="29" t="n">
        <v>0</v>
      </c>
    </row>
    <row r="306" ht="14.25" customHeight="1" s="28">
      <c r="A306" s="29" t="n">
        <v>1777866301</v>
      </c>
      <c r="B306" s="29" t="inlineStr">
        <is>
          <t>XAUUSD</t>
        </is>
      </c>
      <c r="C306" s="29" t="inlineStr">
        <is>
          <t>M15</t>
        </is>
      </c>
      <c r="D306" s="29" t="n">
        <v>4615.09</v>
      </c>
      <c r="E306" s="29" t="n">
        <v>4717.79398</v>
      </c>
      <c r="F306" s="29" t="n">
        <v>4695.2428</v>
      </c>
      <c r="G306" s="29" t="n">
        <v>4518.59282</v>
      </c>
      <c r="H306" s="29" t="n">
        <v>4596.05595</v>
      </c>
      <c r="I306" s="29" t="n">
        <v>4755.40355</v>
      </c>
      <c r="J306" s="29" t="n">
        <v>4792.76972</v>
      </c>
      <c r="K306" s="29" t="n">
        <v>4769.97694</v>
      </c>
      <c r="L306" s="29" t="n">
        <v>4716.33597</v>
      </c>
      <c r="M306" s="29" t="n">
        <v>4718.85043</v>
      </c>
      <c r="N306" s="29" t="n">
        <v>4531.36057</v>
      </c>
      <c r="O306" s="29" t="n">
        <v>4556.93783</v>
      </c>
      <c r="Q306" s="29" t="n">
        <v>4610.10786</v>
      </c>
      <c r="R306" s="29" t="n">
        <v>4658.12553</v>
      </c>
      <c r="S306" s="29" t="n">
        <v>4633.94191</v>
      </c>
      <c r="V306" s="29" t="n">
        <v>4577.46267</v>
      </c>
      <c r="AB306" s="29" t="n">
        <v>4610.55983</v>
      </c>
      <c r="AC306" s="29" t="n">
        <v>4609.71789</v>
      </c>
      <c r="AD306" s="29" t="n">
        <v>0</v>
      </c>
    </row>
    <row r="307" ht="14.25" customHeight="1" s="28">
      <c r="A307" s="29" t="n">
        <v>1777867201</v>
      </c>
      <c r="B307" s="29" t="inlineStr">
        <is>
          <t>XAUUSD</t>
        </is>
      </c>
      <c r="C307" s="29" t="inlineStr">
        <is>
          <t>M15</t>
        </is>
      </c>
      <c r="D307" s="29" t="n">
        <v>4611.19</v>
      </c>
      <c r="E307" s="29" t="n">
        <v>4717.79398</v>
      </c>
      <c r="F307" s="29" t="n">
        <v>4695.2428</v>
      </c>
      <c r="G307" s="29" t="n">
        <v>4518.59282</v>
      </c>
      <c r="H307" s="29" t="n">
        <v>4596.05595</v>
      </c>
      <c r="I307" s="29" t="n">
        <v>4755.40355</v>
      </c>
      <c r="J307" s="29" t="n">
        <v>4792.76972</v>
      </c>
      <c r="K307" s="29" t="n">
        <v>4769.97694</v>
      </c>
      <c r="L307" s="29" t="n">
        <v>4716.33597</v>
      </c>
      <c r="M307" s="29" t="n">
        <v>4718.85043</v>
      </c>
      <c r="N307" s="29" t="n">
        <v>4531.36057</v>
      </c>
      <c r="O307" s="29" t="n">
        <v>4556.93783</v>
      </c>
      <c r="Q307" s="29" t="n">
        <v>4610.31031</v>
      </c>
      <c r="R307" s="29" t="n">
        <v>4658.32797</v>
      </c>
      <c r="S307" s="29" t="n">
        <v>4634.14436</v>
      </c>
      <c r="V307" s="29" t="n">
        <v>4577.66512</v>
      </c>
      <c r="AB307" s="29" t="n">
        <v>4610.21073</v>
      </c>
      <c r="AC307" s="29" t="n">
        <v>4609.96431</v>
      </c>
      <c r="AD307" s="29" t="n">
        <v>0</v>
      </c>
    </row>
    <row r="308" ht="14.25" customHeight="1" s="28">
      <c r="A308" s="29" t="n">
        <v>1777868101</v>
      </c>
      <c r="B308" s="29" t="inlineStr">
        <is>
          <t>XAUUSD</t>
        </is>
      </c>
      <c r="C308" s="29" t="inlineStr">
        <is>
          <t>M15</t>
        </is>
      </c>
      <c r="D308" s="29" t="n">
        <v>4608.12</v>
      </c>
      <c r="E308" s="29" t="n">
        <v>4717.79398</v>
      </c>
      <c r="F308" s="29" t="n">
        <v>4695.2428</v>
      </c>
      <c r="G308" s="29" t="n">
        <v>4518.59282</v>
      </c>
      <c r="H308" s="29" t="n">
        <v>4596.05595</v>
      </c>
      <c r="I308" s="29" t="n">
        <v>4755.40355</v>
      </c>
      <c r="J308" s="29" t="n">
        <v>4792.76972</v>
      </c>
      <c r="K308" s="29" t="n">
        <v>4769.97694</v>
      </c>
      <c r="L308" s="29" t="n">
        <v>4716.33597</v>
      </c>
      <c r="M308" s="29" t="n">
        <v>4718.85043</v>
      </c>
      <c r="N308" s="29" t="n">
        <v>4531.36057</v>
      </c>
      <c r="O308" s="29" t="n">
        <v>4556.93783</v>
      </c>
      <c r="Q308" s="29" t="n">
        <v>4610.51275</v>
      </c>
      <c r="R308" s="29" t="n">
        <v>4658.53042</v>
      </c>
      <c r="S308" s="29" t="n">
        <v>4634.34681</v>
      </c>
      <c r="V308" s="29" t="n">
        <v>4577.86756</v>
      </c>
      <c r="AB308" s="29" t="n">
        <v>4609.17869</v>
      </c>
      <c r="AC308" s="29" t="n">
        <v>4609.5715</v>
      </c>
      <c r="AD308" s="29" t="n">
        <v>1</v>
      </c>
    </row>
    <row r="309" ht="14.25" customHeight="1" s="28">
      <c r="A309" s="29" t="n">
        <v>1777869001</v>
      </c>
      <c r="B309" s="29" t="inlineStr">
        <is>
          <t>XAUUSD</t>
        </is>
      </c>
      <c r="C309" s="29" t="inlineStr">
        <is>
          <t>M15</t>
        </is>
      </c>
      <c r="D309" s="29" t="n">
        <v>4609.32</v>
      </c>
      <c r="E309" s="29" t="n">
        <v>4717.79398</v>
      </c>
      <c r="F309" s="29" t="n">
        <v>4695.2428</v>
      </c>
      <c r="G309" s="29" t="n">
        <v>4518.59282</v>
      </c>
      <c r="H309" s="29" t="n">
        <v>4596.05595</v>
      </c>
      <c r="I309" s="29" t="n">
        <v>4755.40355</v>
      </c>
      <c r="J309" s="29" t="n">
        <v>4792.76972</v>
      </c>
      <c r="K309" s="29" t="n">
        <v>4769.97694</v>
      </c>
      <c r="L309" s="29" t="n">
        <v>4716.33597</v>
      </c>
      <c r="M309" s="29" t="n">
        <v>4718.85043</v>
      </c>
      <c r="N309" s="29" t="n">
        <v>4531.36057</v>
      </c>
      <c r="O309" s="29" t="n">
        <v>4556.93783</v>
      </c>
      <c r="Q309" s="29" t="n">
        <v>4610.7152</v>
      </c>
      <c r="R309" s="29" t="n">
        <v>4658.73286</v>
      </c>
      <c r="S309" s="29" t="n">
        <v>4634.54925</v>
      </c>
      <c r="V309" s="29" t="n">
        <v>4578.07001</v>
      </c>
      <c r="AB309" s="29" t="n">
        <v>4607.63961</v>
      </c>
      <c r="AC309" s="29" t="n">
        <v>4608.60555</v>
      </c>
      <c r="AD309" s="29" t="n">
        <v>0</v>
      </c>
    </row>
    <row r="310" ht="14.25" customHeight="1" s="28">
      <c r="A310" s="29" t="n">
        <v>1777869901</v>
      </c>
      <c r="B310" s="29" t="inlineStr">
        <is>
          <t>XAUUSD</t>
        </is>
      </c>
      <c r="C310" s="29" t="inlineStr">
        <is>
          <t>M15</t>
        </is>
      </c>
      <c r="D310" s="29" t="n">
        <v>4606</v>
      </c>
      <c r="E310" s="29" t="n">
        <v>4717.79398</v>
      </c>
      <c r="F310" s="29" t="n">
        <v>4695.2428</v>
      </c>
      <c r="G310" s="29" t="n">
        <v>4518.59282</v>
      </c>
      <c r="H310" s="29" t="n">
        <v>4596.05595</v>
      </c>
      <c r="I310" s="29" t="n">
        <v>4755.40355</v>
      </c>
      <c r="J310" s="29" t="n">
        <v>4792.76972</v>
      </c>
      <c r="K310" s="29" t="n">
        <v>4769.97694</v>
      </c>
      <c r="L310" s="29" t="n">
        <v>4716.33597</v>
      </c>
      <c r="M310" s="29" t="n">
        <v>4718.85043</v>
      </c>
      <c r="N310" s="29" t="n">
        <v>4531.36057</v>
      </c>
      <c r="O310" s="29" t="n">
        <v>4556.93783</v>
      </c>
      <c r="Q310" s="29" t="n">
        <v>4610.91765</v>
      </c>
      <c r="R310" s="29" t="n">
        <v>4658.93531</v>
      </c>
      <c r="S310" s="29" t="n">
        <v>4634.7517</v>
      </c>
      <c r="V310" s="29" t="n">
        <v>4578.27245</v>
      </c>
      <c r="AB310" s="29" t="n">
        <v>4605.68574</v>
      </c>
      <c r="AC310" s="29" t="n">
        <v>4607.14565</v>
      </c>
      <c r="AD310" s="29" t="n">
        <v>0</v>
      </c>
    </row>
    <row r="311" ht="14.25" customHeight="1" s="28">
      <c r="A311" s="29" t="n">
        <v>1777870801</v>
      </c>
      <c r="B311" s="29" t="inlineStr">
        <is>
          <t>XAUUSD</t>
        </is>
      </c>
      <c r="C311" s="29" t="inlineStr">
        <is>
          <t>M15</t>
        </is>
      </c>
      <c r="D311" s="29" t="n">
        <v>4603.74</v>
      </c>
      <c r="E311" s="29" t="n">
        <v>4717.79398</v>
      </c>
      <c r="F311" s="29" t="n">
        <v>4695.2428</v>
      </c>
      <c r="G311" s="29" t="n">
        <v>4518.59282</v>
      </c>
      <c r="H311" s="29" t="n">
        <v>4596.05595</v>
      </c>
      <c r="I311" s="29" t="n">
        <v>4755.40355</v>
      </c>
      <c r="J311" s="29" t="n">
        <v>4792.76972</v>
      </c>
      <c r="K311" s="29" t="n">
        <v>4769.97694</v>
      </c>
      <c r="L311" s="29" t="n">
        <v>4716.33597</v>
      </c>
      <c r="M311" s="29" t="n">
        <v>4718.85043</v>
      </c>
      <c r="N311" s="29" t="n">
        <v>4531.36057</v>
      </c>
      <c r="O311" s="29" t="n">
        <v>4556.93783</v>
      </c>
      <c r="Q311" s="29" t="n">
        <v>4611.12009</v>
      </c>
      <c r="R311" s="29" t="n">
        <v>4659.13776</v>
      </c>
      <c r="S311" s="29" t="n">
        <v>4634.95414</v>
      </c>
      <c r="V311" s="29" t="n">
        <v>4578.4749</v>
      </c>
      <c r="AB311" s="29" t="n">
        <v>4603.53031</v>
      </c>
      <c r="AC311" s="29" t="n">
        <v>4605.33798</v>
      </c>
      <c r="AD311" s="29" t="n">
        <v>0</v>
      </c>
    </row>
    <row r="312" ht="14.25" customHeight="1" s="28">
      <c r="A312" s="29" t="n">
        <v>1777871701</v>
      </c>
      <c r="B312" s="29" t="inlineStr">
        <is>
          <t>XAUUSD</t>
        </is>
      </c>
      <c r="C312" s="29" t="inlineStr">
        <is>
          <t>M15</t>
        </is>
      </c>
      <c r="D312" s="29" t="n">
        <v>4596.32</v>
      </c>
      <c r="E312" s="29" t="n">
        <v>4717.79398</v>
      </c>
      <c r="F312" s="29" t="n">
        <v>4695.2428</v>
      </c>
      <c r="G312" s="29" t="n">
        <v>4518.59282</v>
      </c>
      <c r="H312" s="29" t="n">
        <v>4596.05595</v>
      </c>
      <c r="I312" s="29" t="n">
        <v>4755.40355</v>
      </c>
      <c r="J312" s="29" t="n">
        <v>4792.76972</v>
      </c>
      <c r="K312" s="29" t="n">
        <v>4769.97694</v>
      </c>
      <c r="L312" s="29" t="n">
        <v>4716.33597</v>
      </c>
      <c r="M312" s="29" t="n">
        <v>4718.85043</v>
      </c>
      <c r="N312" s="29" t="n">
        <v>4531.36057</v>
      </c>
      <c r="O312" s="29" t="n">
        <v>4556.93783</v>
      </c>
      <c r="Q312" s="29" t="n">
        <v>4611.32254</v>
      </c>
      <c r="R312" s="29" t="n">
        <v>4659.3402</v>
      </c>
      <c r="S312" s="29" t="n">
        <v>4635.15659</v>
      </c>
      <c r="V312" s="29" t="n">
        <v>4578.67735</v>
      </c>
      <c r="AB312" s="29" t="n">
        <v>4601.33061</v>
      </c>
      <c r="AC312" s="29" t="n">
        <v>4603.33429</v>
      </c>
      <c r="AD312" s="29" t="n">
        <v>0</v>
      </c>
    </row>
    <row r="313" ht="14.25" customHeight="1" s="28">
      <c r="A313" s="29" t="n">
        <v>1777872601</v>
      </c>
      <c r="B313" s="29" t="inlineStr">
        <is>
          <t>XAUUSD</t>
        </is>
      </c>
      <c r="C313" s="29" t="inlineStr">
        <is>
          <t>M15</t>
        </is>
      </c>
      <c r="D313" s="29" t="n">
        <v>4598.85</v>
      </c>
      <c r="E313" s="29" t="n">
        <v>4717.79398</v>
      </c>
      <c r="F313" s="29" t="n">
        <v>4695.2428</v>
      </c>
      <c r="G313" s="29" t="n">
        <v>4518.59282</v>
      </c>
      <c r="H313" s="29" t="n">
        <v>4596.05595</v>
      </c>
      <c r="I313" s="29" t="n">
        <v>4755.40355</v>
      </c>
      <c r="J313" s="29" t="n">
        <v>4792.76972</v>
      </c>
      <c r="K313" s="29" t="n">
        <v>4769.97694</v>
      </c>
      <c r="L313" s="29" t="n">
        <v>4716.33597</v>
      </c>
      <c r="M313" s="29" t="n">
        <v>4718.85043</v>
      </c>
      <c r="N313" s="29" t="n">
        <v>4531.36057</v>
      </c>
      <c r="O313" s="29" t="n">
        <v>4556.93783</v>
      </c>
      <c r="Q313" s="29" t="n">
        <v>4611.52498</v>
      </c>
      <c r="R313" s="29" t="n">
        <v>4659.54265</v>
      </c>
      <c r="S313" s="29" t="n">
        <v>4635.35903</v>
      </c>
      <c r="V313" s="29" t="n">
        <v>4578.87979</v>
      </c>
      <c r="AB313" s="29" t="n">
        <v>4599.31382</v>
      </c>
      <c r="AC313" s="29" t="n">
        <v>4601.32406</v>
      </c>
      <c r="AD313" s="29" t="n">
        <v>0</v>
      </c>
    </row>
    <row r="314" ht="14.25" customHeight="1" s="28">
      <c r="A314" s="29" t="n">
        <v>1777873501</v>
      </c>
      <c r="B314" s="29" t="inlineStr">
        <is>
          <t>XAUUSD</t>
        </is>
      </c>
      <c r="C314" s="29" t="inlineStr">
        <is>
          <t>M15</t>
        </is>
      </c>
      <c r="D314" s="29" t="n">
        <v>4599.12</v>
      </c>
      <c r="E314" s="29" t="n">
        <v>4717.79398</v>
      </c>
      <c r="F314" s="29" t="n">
        <v>4695.2428</v>
      </c>
      <c r="G314" s="29" t="n">
        <v>4518.59282</v>
      </c>
      <c r="H314" s="29" t="n">
        <v>4596.05595</v>
      </c>
      <c r="I314" s="29" t="n">
        <v>4755.40355</v>
      </c>
      <c r="J314" s="29" t="n">
        <v>4792.76972</v>
      </c>
      <c r="K314" s="29" t="n">
        <v>4769.97694</v>
      </c>
      <c r="L314" s="29" t="n">
        <v>4716.33597</v>
      </c>
      <c r="M314" s="29" t="n">
        <v>4718.85043</v>
      </c>
      <c r="N314" s="29" t="n">
        <v>4531.36057</v>
      </c>
      <c r="O314" s="29" t="n">
        <v>4556.93783</v>
      </c>
      <c r="Q314" s="29" t="n">
        <v>4611.72743</v>
      </c>
      <c r="R314" s="29" t="n">
        <v>4659.74509</v>
      </c>
      <c r="S314" s="29" t="n">
        <v>4635.56148</v>
      </c>
      <c r="V314" s="29" t="n">
        <v>4579.08224</v>
      </c>
      <c r="AB314" s="29" t="n">
        <v>4597.33706</v>
      </c>
      <c r="AC314" s="29" t="n">
        <v>4599.33056</v>
      </c>
      <c r="AD314" s="29" t="n">
        <v>0</v>
      </c>
    </row>
    <row r="315" ht="14.25" customHeight="1" s="28">
      <c r="A315" s="29" t="n">
        <v>1777874401</v>
      </c>
      <c r="B315" s="29" t="inlineStr">
        <is>
          <t>XAUUSD</t>
        </is>
      </c>
      <c r="C315" s="29" t="inlineStr">
        <is>
          <t>M15</t>
        </is>
      </c>
      <c r="D315" s="29" t="n">
        <v>4597.44</v>
      </c>
      <c r="E315" s="29" t="n">
        <v>4717.79398</v>
      </c>
      <c r="F315" s="29" t="n">
        <v>4695.2428</v>
      </c>
      <c r="G315" s="29" t="n">
        <v>4518.59282</v>
      </c>
      <c r="H315" s="29" t="n">
        <v>4596.05595</v>
      </c>
      <c r="I315" s="29" t="n">
        <v>4755.40355</v>
      </c>
      <c r="J315" s="29" t="n">
        <v>4792.76972</v>
      </c>
      <c r="K315" s="29" t="n">
        <v>4769.97694</v>
      </c>
      <c r="L315" s="29" t="n">
        <v>4716.33597</v>
      </c>
      <c r="M315" s="29" t="n">
        <v>4718.85043</v>
      </c>
      <c r="N315" s="29" t="n">
        <v>4531.36057</v>
      </c>
      <c r="O315" s="29" t="n">
        <v>4556.93783</v>
      </c>
      <c r="Q315" s="29" t="n">
        <v>4611.92987</v>
      </c>
      <c r="R315" s="29" t="n">
        <v>4659.94754</v>
      </c>
      <c r="S315" s="29" t="n">
        <v>4635.76393</v>
      </c>
      <c r="V315" s="29" t="n">
        <v>4579.28468</v>
      </c>
      <c r="AB315" s="29" t="n">
        <v>4595.29208</v>
      </c>
      <c r="AC315" s="29" t="n">
        <v>4597.31132</v>
      </c>
      <c r="AD315" s="29" t="n">
        <v>0</v>
      </c>
    </row>
    <row r="316" ht="14.25" customHeight="1" s="28">
      <c r="A316" s="29" t="n">
        <v>1777875301</v>
      </c>
      <c r="B316" s="29" t="inlineStr">
        <is>
          <t>XAUUSD</t>
        </is>
      </c>
      <c r="C316" s="29" t="inlineStr">
        <is>
          <t>M15</t>
        </is>
      </c>
      <c r="D316" s="29" t="n">
        <v>4594.08</v>
      </c>
      <c r="E316" s="29" t="n">
        <v>4717.79398</v>
      </c>
      <c r="F316" s="29" t="n">
        <v>4695.2428</v>
      </c>
      <c r="G316" s="29" t="n">
        <v>4518.59282</v>
      </c>
      <c r="H316" s="29" t="n">
        <v>4596.05595</v>
      </c>
      <c r="I316" s="29" t="n">
        <v>4755.40355</v>
      </c>
      <c r="J316" s="29" t="n">
        <v>4792.76972</v>
      </c>
      <c r="K316" s="29" t="n">
        <v>4769.97694</v>
      </c>
      <c r="L316" s="29" t="n">
        <v>4716.33597</v>
      </c>
      <c r="M316" s="29" t="n">
        <v>4718.85043</v>
      </c>
      <c r="N316" s="29" t="n">
        <v>4531.36057</v>
      </c>
      <c r="O316" s="29" t="n">
        <v>4556.93783</v>
      </c>
      <c r="Q316" s="29" t="n">
        <v>4612.13232</v>
      </c>
      <c r="R316" s="29" t="n">
        <v>4660.14998</v>
      </c>
      <c r="S316" s="29" t="n">
        <v>4635.96637</v>
      </c>
      <c r="V316" s="29" t="n">
        <v>4579.48713</v>
      </c>
      <c r="AB316" s="29" t="n">
        <v>4593.10538</v>
      </c>
      <c r="AC316" s="29" t="n">
        <v>4595.20835</v>
      </c>
      <c r="AD316" s="29" t="n">
        <v>0</v>
      </c>
    </row>
    <row r="317" ht="14.25" customHeight="1" s="28">
      <c r="A317" s="29" t="n">
        <v>1777876201</v>
      </c>
      <c r="B317" s="29" t="inlineStr">
        <is>
          <t>XAUUSD</t>
        </is>
      </c>
      <c r="C317" s="29" t="inlineStr">
        <is>
          <t>M15</t>
        </is>
      </c>
      <c r="D317" s="29" t="n">
        <v>4585.46</v>
      </c>
      <c r="E317" s="29" t="n">
        <v>4717.79398</v>
      </c>
      <c r="F317" s="29" t="n">
        <v>4695.2428</v>
      </c>
      <c r="G317" s="29" t="n">
        <v>4518.59282</v>
      </c>
      <c r="H317" s="29" t="n">
        <v>4596.05595</v>
      </c>
      <c r="I317" s="29" t="n">
        <v>4755.40355</v>
      </c>
      <c r="J317" s="29" t="n">
        <v>4792.76972</v>
      </c>
      <c r="K317" s="29" t="n">
        <v>4769.97694</v>
      </c>
      <c r="L317" s="29" t="n">
        <v>4716.33597</v>
      </c>
      <c r="M317" s="29" t="n">
        <v>4718.85043</v>
      </c>
      <c r="N317" s="29" t="n">
        <v>4531.36057</v>
      </c>
      <c r="O317" s="29" t="n">
        <v>4556.93783</v>
      </c>
      <c r="Q317" s="29" t="n">
        <v>4612.33477</v>
      </c>
      <c r="R317" s="29" t="n">
        <v>4660.35243</v>
      </c>
      <c r="S317" s="29" t="n">
        <v>4636.16882</v>
      </c>
      <c r="V317" s="29" t="n">
        <v>4579.68957</v>
      </c>
      <c r="AB317" s="29" t="n">
        <v>4590.84735</v>
      </c>
      <c r="AC317" s="29" t="n">
        <v>4593.02785</v>
      </c>
      <c r="AD317" s="29" t="n">
        <v>0</v>
      </c>
    </row>
    <row r="318" ht="14.25" customHeight="1" s="28">
      <c r="A318" s="29" t="n">
        <v>1777877101</v>
      </c>
      <c r="B318" s="29" t="inlineStr">
        <is>
          <t>XAUUSD</t>
        </is>
      </c>
      <c r="C318" s="29" t="inlineStr">
        <is>
          <t>M15</t>
        </is>
      </c>
      <c r="D318" s="29" t="n">
        <v>4588.54</v>
      </c>
      <c r="E318" s="29" t="n">
        <v>4717.79398</v>
      </c>
      <c r="F318" s="29" t="n">
        <v>4695.2428</v>
      </c>
      <c r="G318" s="29" t="n">
        <v>4518.59282</v>
      </c>
      <c r="H318" s="29" t="n">
        <v>4596.05595</v>
      </c>
      <c r="I318" s="29" t="n">
        <v>4755.40355</v>
      </c>
      <c r="J318" s="29" t="n">
        <v>4792.76972</v>
      </c>
      <c r="K318" s="29" t="n">
        <v>4769.97694</v>
      </c>
      <c r="L318" s="29" t="n">
        <v>4716.33597</v>
      </c>
      <c r="M318" s="29" t="n">
        <v>4718.85043</v>
      </c>
      <c r="N318" s="29" t="n">
        <v>4531.36057</v>
      </c>
      <c r="O318" s="29" t="n">
        <v>4556.93783</v>
      </c>
      <c r="Q318" s="29" t="n">
        <v>4612.53721</v>
      </c>
      <c r="R318" s="29" t="n">
        <v>4660.55488</v>
      </c>
      <c r="S318" s="29" t="n">
        <v>4636.37126</v>
      </c>
      <c r="V318" s="29" t="n">
        <v>4579.89202</v>
      </c>
      <c r="AB318" s="29" t="n">
        <v>4588.78298</v>
      </c>
      <c r="AC318" s="29" t="n">
        <v>4590.90542</v>
      </c>
      <c r="AD318" s="29" t="n">
        <v>0</v>
      </c>
    </row>
    <row r="319" ht="14.25" customHeight="1" s="28">
      <c r="A319" s="29" t="n">
        <v>1777878001</v>
      </c>
      <c r="B319" s="29" t="inlineStr">
        <is>
          <t>XAUUSD</t>
        </is>
      </c>
      <c r="C319" s="29" t="inlineStr">
        <is>
          <t>M15</t>
        </is>
      </c>
      <c r="D319" s="29" t="n">
        <v>4592.16</v>
      </c>
      <c r="E319" s="29" t="n">
        <v>4717.79398</v>
      </c>
      <c r="F319" s="29" t="n">
        <v>4695.2428</v>
      </c>
      <c r="G319" s="29" t="n">
        <v>4518.59282</v>
      </c>
      <c r="H319" s="29" t="n">
        <v>4596.05595</v>
      </c>
      <c r="I319" s="29" t="n">
        <v>4755.40355</v>
      </c>
      <c r="J319" s="29" t="n">
        <v>4792.76972</v>
      </c>
      <c r="K319" s="29" t="n">
        <v>4769.97694</v>
      </c>
      <c r="L319" s="29" t="n">
        <v>4716.33597</v>
      </c>
      <c r="M319" s="29" t="n">
        <v>4718.85043</v>
      </c>
      <c r="N319" s="29" t="n">
        <v>4531.36057</v>
      </c>
      <c r="O319" s="29" t="n">
        <v>4556.93783</v>
      </c>
      <c r="Q319" s="29" t="n">
        <v>4612.73966</v>
      </c>
      <c r="R319" s="29" t="n">
        <v>4660.75732</v>
      </c>
      <c r="S319" s="29" t="n">
        <v>4636.57371</v>
      </c>
      <c r="V319" s="29" t="n">
        <v>4580.09447</v>
      </c>
      <c r="AB319" s="29" t="n">
        <v>4586.85043</v>
      </c>
      <c r="AC319" s="29" t="n">
        <v>4588.87792</v>
      </c>
      <c r="AD319" s="29" t="n">
        <v>0</v>
      </c>
    </row>
    <row r="320" ht="14.25" customHeight="1" s="28">
      <c r="A320" s="29" t="n">
        <v>1777878901</v>
      </c>
      <c r="B320" s="29" t="inlineStr">
        <is>
          <t>XAUUSD</t>
        </is>
      </c>
      <c r="C320" s="29" t="inlineStr">
        <is>
          <t>M15</t>
        </is>
      </c>
      <c r="D320" s="29" t="n">
        <v>4585.82</v>
      </c>
      <c r="E320" s="29" t="n">
        <v>4717.79398</v>
      </c>
      <c r="F320" s="29" t="n">
        <v>4695.2428</v>
      </c>
      <c r="G320" s="29" t="n">
        <v>4518.59282</v>
      </c>
      <c r="H320" s="29" t="n">
        <v>4596.05595</v>
      </c>
      <c r="I320" s="29" t="n">
        <v>4755.40355</v>
      </c>
      <c r="J320" s="29" t="n">
        <v>4792.76972</v>
      </c>
      <c r="K320" s="29" t="n">
        <v>4769.97694</v>
      </c>
      <c r="L320" s="29" t="n">
        <v>4716.33597</v>
      </c>
      <c r="M320" s="29" t="n">
        <v>4718.85043</v>
      </c>
      <c r="N320" s="29" t="n">
        <v>4531.36057</v>
      </c>
      <c r="O320" s="29" t="n">
        <v>4556.93783</v>
      </c>
      <c r="Q320" s="29" t="n">
        <v>4612.9421</v>
      </c>
      <c r="R320" s="29" t="n">
        <v>4660.95977</v>
      </c>
      <c r="S320" s="29" t="n">
        <v>4636.77615</v>
      </c>
      <c r="V320" s="29" t="n">
        <v>4580.29691</v>
      </c>
      <c r="AB320" s="29" t="n">
        <v>4585.02155</v>
      </c>
      <c r="AC320" s="29" t="n">
        <v>4586.94974</v>
      </c>
      <c r="AD320" s="29" t="n">
        <v>0</v>
      </c>
    </row>
    <row r="321" ht="14.25" customHeight="1" s="28">
      <c r="A321" s="29" t="n">
        <v>1777879801</v>
      </c>
      <c r="B321" s="29" t="inlineStr">
        <is>
          <t>XAUUSD</t>
        </is>
      </c>
      <c r="C321" s="29" t="inlineStr">
        <is>
          <t>M15</t>
        </is>
      </c>
      <c r="D321" s="29" t="n">
        <v>4587.99</v>
      </c>
      <c r="E321" s="29" t="n">
        <v>4717.79398</v>
      </c>
      <c r="F321" s="29" t="n">
        <v>4695.2428</v>
      </c>
      <c r="G321" s="29" t="n">
        <v>4518.59282</v>
      </c>
      <c r="H321" s="29" t="n">
        <v>4596.05595</v>
      </c>
      <c r="I321" s="29" t="n">
        <v>4755.40355</v>
      </c>
      <c r="J321" s="29" t="n">
        <v>4792.76972</v>
      </c>
      <c r="K321" s="29" t="n">
        <v>4769.97694</v>
      </c>
      <c r="L321" s="29" t="n">
        <v>4716.33597</v>
      </c>
      <c r="M321" s="29" t="n">
        <v>4718.85043</v>
      </c>
      <c r="N321" s="29" t="n">
        <v>4531.36057</v>
      </c>
      <c r="O321" s="29" t="n">
        <v>4556.93783</v>
      </c>
      <c r="Q321" s="29" t="n">
        <v>4613.14455</v>
      </c>
      <c r="R321" s="29" t="n">
        <v>4661.16221</v>
      </c>
      <c r="S321" s="29" t="n">
        <v>4636.9786</v>
      </c>
      <c r="V321" s="29" t="n">
        <v>4580.49936</v>
      </c>
      <c r="AB321" s="29" t="n">
        <v>4583.56213</v>
      </c>
      <c r="AC321" s="29" t="n">
        <v>4585.25593</v>
      </c>
      <c r="AD321" s="29" t="n">
        <v>0</v>
      </c>
    </row>
    <row r="322" ht="14.25" customHeight="1" s="28">
      <c r="A322" s="29" t="n">
        <v>1777880701</v>
      </c>
      <c r="B322" s="29" t="inlineStr">
        <is>
          <t>XAUUSD</t>
        </is>
      </c>
      <c r="C322" s="29" t="inlineStr">
        <is>
          <t>M15</t>
        </is>
      </c>
      <c r="D322" s="29" t="n">
        <v>4579.06</v>
      </c>
      <c r="E322" s="29" t="n">
        <v>4717.79398</v>
      </c>
      <c r="F322" s="29" t="n">
        <v>4695.2428</v>
      </c>
      <c r="G322" s="29" t="n">
        <v>4518.59282</v>
      </c>
      <c r="H322" s="29" t="n">
        <v>4596.05595</v>
      </c>
      <c r="I322" s="29" t="n">
        <v>4755.40355</v>
      </c>
      <c r="J322" s="29" t="n">
        <v>4792.76972</v>
      </c>
      <c r="K322" s="29" t="n">
        <v>4769.97694</v>
      </c>
      <c r="L322" s="29" t="n">
        <v>4716.33597</v>
      </c>
      <c r="M322" s="29" t="n">
        <v>4718.85043</v>
      </c>
      <c r="N322" s="29" t="n">
        <v>4531.36057</v>
      </c>
      <c r="O322" s="29" t="n">
        <v>4556.93783</v>
      </c>
      <c r="Q322" s="29" t="n">
        <v>4613.34699</v>
      </c>
      <c r="R322" s="29" t="n">
        <v>4661.36466</v>
      </c>
      <c r="S322" s="29" t="n">
        <v>4637.18105</v>
      </c>
      <c r="V322" s="29" t="n">
        <v>4580.7018</v>
      </c>
      <c r="AB322" s="29" t="n">
        <v>4582.44301</v>
      </c>
      <c r="AC322" s="29" t="n">
        <v>4583.84947</v>
      </c>
      <c r="AD322" s="29" t="n">
        <v>0</v>
      </c>
    </row>
    <row r="323" ht="14.25" customHeight="1" s="28">
      <c r="A323" s="29" t="n">
        <v>1777881601</v>
      </c>
      <c r="B323" s="29" t="inlineStr">
        <is>
          <t>XAUUSD</t>
        </is>
      </c>
      <c r="C323" s="29" t="inlineStr">
        <is>
          <t>M15</t>
        </is>
      </c>
      <c r="D323" s="29" t="n">
        <v>4580.25</v>
      </c>
      <c r="E323" s="29" t="n">
        <v>4717.79398</v>
      </c>
      <c r="F323" s="29" t="n">
        <v>4695.2428</v>
      </c>
      <c r="G323" s="29" t="n">
        <v>4518.59282</v>
      </c>
      <c r="H323" s="29" t="n">
        <v>4596.05595</v>
      </c>
      <c r="I323" s="29" t="n">
        <v>4755.40355</v>
      </c>
      <c r="J323" s="29" t="n">
        <v>4792.76972</v>
      </c>
      <c r="K323" s="29" t="n">
        <v>4769.97694</v>
      </c>
      <c r="L323" s="29" t="n">
        <v>4716.33597</v>
      </c>
      <c r="M323" s="29" t="n">
        <v>4718.85043</v>
      </c>
      <c r="N323" s="29" t="n">
        <v>4531.36057</v>
      </c>
      <c r="O323" s="29" t="n">
        <v>4556.93783</v>
      </c>
      <c r="Q323" s="29" t="n">
        <v>4613.54944</v>
      </c>
      <c r="R323" s="29" t="n">
        <v>4661.5671</v>
      </c>
      <c r="S323" s="29" t="n">
        <v>4637.38349</v>
      </c>
      <c r="V323" s="29" t="n">
        <v>4580.90425</v>
      </c>
      <c r="AB323" s="29" t="n">
        <v>4581.82346</v>
      </c>
      <c r="AC323" s="29" t="n">
        <v>4582.83646</v>
      </c>
      <c r="AD323" s="29" t="n">
        <v>0</v>
      </c>
    </row>
    <row r="324" ht="14.25" customHeight="1" s="28">
      <c r="A324" s="29" t="n">
        <v>1777882501</v>
      </c>
      <c r="B324" s="29" t="inlineStr">
        <is>
          <t>XAUUSD</t>
        </is>
      </c>
      <c r="C324" s="29" t="inlineStr">
        <is>
          <t>M15</t>
        </is>
      </c>
      <c r="D324" s="29" t="n">
        <v>4575.07</v>
      </c>
      <c r="E324" s="29" t="n">
        <v>4717.79398</v>
      </c>
      <c r="F324" s="29" t="n">
        <v>4695.2428</v>
      </c>
      <c r="G324" s="29" t="n">
        <v>4518.59282</v>
      </c>
      <c r="H324" s="29" t="n">
        <v>4596.05595</v>
      </c>
      <c r="I324" s="29" t="n">
        <v>4755.40355</v>
      </c>
      <c r="J324" s="29" t="n">
        <v>4792.76972</v>
      </c>
      <c r="K324" s="29" t="n">
        <v>4769.97694</v>
      </c>
      <c r="L324" s="29" t="n">
        <v>4716.33597</v>
      </c>
      <c r="M324" s="29" t="n">
        <v>4718.85043</v>
      </c>
      <c r="N324" s="29" t="n">
        <v>4531.36057</v>
      </c>
      <c r="O324" s="29" t="n">
        <v>4556.93783</v>
      </c>
      <c r="Q324" s="29" t="n">
        <v>4613.75189</v>
      </c>
      <c r="R324" s="29" t="n">
        <v>4661.76955</v>
      </c>
      <c r="S324" s="29" t="n">
        <v>4637.58594</v>
      </c>
      <c r="V324" s="29" t="n">
        <v>4581.10669</v>
      </c>
      <c r="AB324" s="29" t="n">
        <v>4581.41462</v>
      </c>
      <c r="AC324" s="29" t="n">
        <v>4582.12554</v>
      </c>
      <c r="AD324" s="29" t="n">
        <v>0</v>
      </c>
    </row>
    <row r="325" ht="14.25" customHeight="1" s="28">
      <c r="A325" s="29" t="n">
        <v>1777883401</v>
      </c>
      <c r="B325" s="29" t="inlineStr">
        <is>
          <t>XAUUSD</t>
        </is>
      </c>
      <c r="C325" s="29" t="inlineStr">
        <is>
          <t>M15</t>
        </is>
      </c>
      <c r="D325" s="29" t="n">
        <v>4578.09</v>
      </c>
      <c r="E325" s="29" t="n">
        <v>4717.79398</v>
      </c>
      <c r="F325" s="29" t="n">
        <v>4695.2428</v>
      </c>
      <c r="G325" s="29" t="n">
        <v>4518.59282</v>
      </c>
      <c r="H325" s="29" t="n">
        <v>4596.05595</v>
      </c>
      <c r="I325" s="29" t="n">
        <v>4755.40355</v>
      </c>
      <c r="J325" s="29" t="n">
        <v>4792.76972</v>
      </c>
      <c r="K325" s="29" t="n">
        <v>4769.97694</v>
      </c>
      <c r="L325" s="29" t="n">
        <v>4716.33597</v>
      </c>
      <c r="M325" s="29" t="n">
        <v>4718.85043</v>
      </c>
      <c r="N325" s="29" t="n">
        <v>4531.36057</v>
      </c>
      <c r="O325" s="29" t="n">
        <v>4556.93783</v>
      </c>
      <c r="Q325" s="29" t="n">
        <v>4613.95433</v>
      </c>
      <c r="R325" s="29" t="n">
        <v>4661.972</v>
      </c>
      <c r="S325" s="29" t="n">
        <v>4637.78838</v>
      </c>
      <c r="V325" s="29" t="n">
        <v>4581.30914</v>
      </c>
      <c r="AB325" s="29" t="n">
        <v>4580.98161</v>
      </c>
      <c r="AC325" s="29" t="n">
        <v>4581.55357</v>
      </c>
      <c r="AD325" s="29" t="n">
        <v>0</v>
      </c>
    </row>
    <row r="326" ht="14.25" customHeight="1" s="28">
      <c r="A326" s="29" t="n">
        <v>1777884301</v>
      </c>
      <c r="B326" s="29" t="inlineStr">
        <is>
          <t>XAUUSD</t>
        </is>
      </c>
      <c r="C326" s="29" t="inlineStr">
        <is>
          <t>M15</t>
        </is>
      </c>
      <c r="D326" s="29" t="n">
        <v>4577.11</v>
      </c>
      <c r="E326" s="29" t="n">
        <v>4717.79398</v>
      </c>
      <c r="F326" s="29" t="n">
        <v>4695.2428</v>
      </c>
      <c r="G326" s="29" t="n">
        <v>4518.59282</v>
      </c>
      <c r="H326" s="29" t="n">
        <v>4596.05595</v>
      </c>
      <c r="I326" s="29" t="n">
        <v>4755.40355</v>
      </c>
      <c r="J326" s="29" t="n">
        <v>4792.76972</v>
      </c>
      <c r="K326" s="29" t="n">
        <v>4769.97694</v>
      </c>
      <c r="L326" s="29" t="n">
        <v>4716.33597</v>
      </c>
      <c r="M326" s="29" t="n">
        <v>4718.85043</v>
      </c>
      <c r="N326" s="29" t="n">
        <v>4531.36057</v>
      </c>
      <c r="O326" s="29" t="n">
        <v>4556.93783</v>
      </c>
      <c r="Q326" s="29" t="n">
        <v>4614.15678</v>
      </c>
      <c r="R326" s="29" t="n">
        <v>4662.17444</v>
      </c>
      <c r="S326" s="29" t="n">
        <v>4637.99083</v>
      </c>
      <c r="V326" s="29" t="n">
        <v>4581.51158</v>
      </c>
      <c r="AB326" s="29" t="n">
        <v>4580.04908</v>
      </c>
      <c r="AC326" s="29" t="n">
        <v>4580.80133</v>
      </c>
      <c r="AD326" s="29" t="n">
        <v>0</v>
      </c>
    </row>
    <row r="327" ht="14.25" customHeight="1" s="28">
      <c r="A327" s="29" t="n">
        <v>1777885201</v>
      </c>
      <c r="B327" s="29" t="inlineStr">
        <is>
          <t>XAUUSD</t>
        </is>
      </c>
      <c r="C327" s="29" t="inlineStr">
        <is>
          <t>M15</t>
        </is>
      </c>
      <c r="D327" s="29" t="n">
        <v>4584.21</v>
      </c>
      <c r="E327" s="29" t="n">
        <v>4717.79398</v>
      </c>
      <c r="F327" s="29" t="n">
        <v>4695.2428</v>
      </c>
      <c r="G327" s="29" t="n">
        <v>4518.59282</v>
      </c>
      <c r="H327" s="29" t="n">
        <v>4596.05595</v>
      </c>
      <c r="I327" s="29" t="n">
        <v>4755.40355</v>
      </c>
      <c r="J327" s="29" t="n">
        <v>4792.76972</v>
      </c>
      <c r="K327" s="29" t="n">
        <v>4769.97694</v>
      </c>
      <c r="L327" s="29" t="n">
        <v>4716.33597</v>
      </c>
      <c r="M327" s="29" t="n">
        <v>4718.85043</v>
      </c>
      <c r="N327" s="29" t="n">
        <v>4531.36057</v>
      </c>
      <c r="O327" s="29" t="n">
        <v>4556.93783</v>
      </c>
      <c r="Q327" s="29" t="n">
        <v>4614.35922</v>
      </c>
      <c r="R327" s="29" t="n">
        <v>4662.37689</v>
      </c>
      <c r="S327" s="29" t="n">
        <v>4638.19327</v>
      </c>
      <c r="V327" s="29" t="n">
        <v>4581.71403</v>
      </c>
      <c r="AB327" s="29" t="n">
        <v>4578.27299</v>
      </c>
      <c r="AC327" s="29" t="n">
        <v>4579.53716</v>
      </c>
      <c r="AD327" s="29" t="n">
        <v>0</v>
      </c>
    </row>
    <row r="328" ht="14.25" customHeight="1" s="28">
      <c r="A328" s="29" t="n">
        <v>1777886101</v>
      </c>
      <c r="B328" s="29" t="inlineStr">
        <is>
          <t>XAUUSD</t>
        </is>
      </c>
      <c r="C328" s="29" t="inlineStr">
        <is>
          <t>M15</t>
        </is>
      </c>
      <c r="D328" s="29" t="n">
        <v>4581.15</v>
      </c>
      <c r="E328" s="29" t="n">
        <v>4717.79398</v>
      </c>
      <c r="F328" s="29" t="n">
        <v>4695.2428</v>
      </c>
      <c r="G328" s="29" t="n">
        <v>4518.59282</v>
      </c>
      <c r="H328" s="29" t="n">
        <v>4596.05595</v>
      </c>
      <c r="I328" s="29" t="n">
        <v>4755.40355</v>
      </c>
      <c r="J328" s="29" t="n">
        <v>4792.76972</v>
      </c>
      <c r="K328" s="29" t="n">
        <v>4769.97694</v>
      </c>
      <c r="L328" s="29" t="n">
        <v>4716.33597</v>
      </c>
      <c r="M328" s="29" t="n">
        <v>4718.85043</v>
      </c>
      <c r="N328" s="29" t="n">
        <v>4531.36057</v>
      </c>
      <c r="O328" s="29" t="n">
        <v>4556.93783</v>
      </c>
      <c r="Q328" s="29" t="n">
        <v>4614.56167</v>
      </c>
      <c r="R328" s="29" t="n">
        <v>4662.57933</v>
      </c>
      <c r="S328" s="29" t="n">
        <v>4638.39572</v>
      </c>
      <c r="V328" s="29" t="n">
        <v>4581.91648</v>
      </c>
      <c r="AB328" s="29" t="n">
        <v>4575.25669</v>
      </c>
      <c r="AC328" s="29" t="n">
        <v>4577.39692</v>
      </c>
      <c r="AD328" s="29" t="n">
        <v>0</v>
      </c>
    </row>
    <row r="329" ht="14.25" customHeight="1" s="28">
      <c r="A329" s="29" t="n">
        <v>1777887001</v>
      </c>
      <c r="B329" s="29" t="inlineStr">
        <is>
          <t>XAUUSD</t>
        </is>
      </c>
      <c r="C329" s="29" t="inlineStr">
        <is>
          <t>M15</t>
        </is>
      </c>
      <c r="D329" s="29" t="n">
        <v>4581.26</v>
      </c>
      <c r="E329" s="29" t="n">
        <v>4717.79398</v>
      </c>
      <c r="F329" s="29" t="n">
        <v>4695.2428</v>
      </c>
      <c r="G329" s="29" t="n">
        <v>4518.59282</v>
      </c>
      <c r="H329" s="29" t="n">
        <v>4596.05595</v>
      </c>
      <c r="I329" s="29" t="n">
        <v>4755.40355</v>
      </c>
      <c r="J329" s="29" t="n">
        <v>4792.76972</v>
      </c>
      <c r="K329" s="29" t="n">
        <v>4769.97694</v>
      </c>
      <c r="L329" s="29" t="n">
        <v>4716.33597</v>
      </c>
      <c r="M329" s="29" t="n">
        <v>4718.85043</v>
      </c>
      <c r="N329" s="29" t="n">
        <v>4531.36057</v>
      </c>
      <c r="O329" s="29" t="n">
        <v>4556.93783</v>
      </c>
      <c r="Q329" s="29" t="n">
        <v>4614.76411</v>
      </c>
      <c r="R329" s="29" t="n">
        <v>4662.78178</v>
      </c>
      <c r="S329" s="29" t="n">
        <v>4638.59817</v>
      </c>
      <c r="V329" s="29" t="n">
        <v>4582.11892</v>
      </c>
      <c r="AB329" s="29" t="n">
        <v>4571.14583</v>
      </c>
      <c r="AC329" s="29" t="n">
        <v>4574.27138</v>
      </c>
      <c r="AD329" s="29" t="n">
        <v>0</v>
      </c>
    </row>
    <row r="330" ht="14.25" customHeight="1" s="28">
      <c r="A330" s="29" t="n">
        <v>1777887901</v>
      </c>
      <c r="B330" s="29" t="inlineStr">
        <is>
          <t>XAUUSD</t>
        </is>
      </c>
      <c r="C330" s="29" t="inlineStr">
        <is>
          <t>M15</t>
        </is>
      </c>
      <c r="D330" s="29" t="n">
        <v>4575.47</v>
      </c>
      <c r="E330" s="29" t="n">
        <v>4717.79398</v>
      </c>
      <c r="F330" s="29" t="n">
        <v>4695.2428</v>
      </c>
      <c r="G330" s="29" t="n">
        <v>4518.59282</v>
      </c>
      <c r="H330" s="29" t="n">
        <v>4596.05595</v>
      </c>
      <c r="I330" s="29" t="n">
        <v>4755.40355</v>
      </c>
      <c r="J330" s="29" t="n">
        <v>4792.76972</v>
      </c>
      <c r="K330" s="29" t="n">
        <v>4769.97694</v>
      </c>
      <c r="L330" s="29" t="n">
        <v>4716.33597</v>
      </c>
      <c r="M330" s="29" t="n">
        <v>4718.85043</v>
      </c>
      <c r="N330" s="29" t="n">
        <v>4531.36057</v>
      </c>
      <c r="O330" s="29" t="n">
        <v>4556.93783</v>
      </c>
      <c r="Q330" s="29" t="n">
        <v>4614.96656</v>
      </c>
      <c r="R330" s="29" t="n">
        <v>4662.98422</v>
      </c>
      <c r="S330" s="29" t="n">
        <v>4638.80061</v>
      </c>
      <c r="V330" s="29" t="n">
        <v>4582.32137</v>
      </c>
      <c r="AB330" s="29" t="n">
        <v>4566.29874</v>
      </c>
      <c r="AC330" s="29" t="n">
        <v>4570.28506</v>
      </c>
      <c r="AD330" s="29" t="n">
        <v>0</v>
      </c>
    </row>
    <row r="331" ht="14.25" customHeight="1" s="28">
      <c r="A331" s="29" t="n">
        <v>1777888801</v>
      </c>
      <c r="B331" s="29" t="inlineStr">
        <is>
          <t>XAUUSD</t>
        </is>
      </c>
      <c r="C331" s="29" t="inlineStr">
        <is>
          <t>M15</t>
        </is>
      </c>
      <c r="D331" s="29" t="n">
        <v>4541.79</v>
      </c>
      <c r="E331" s="29" t="n">
        <v>4717.79398</v>
      </c>
      <c r="F331" s="29" t="n">
        <v>4695.2428</v>
      </c>
      <c r="G331" s="29" t="n">
        <v>4518.59282</v>
      </c>
      <c r="H331" s="29" t="n">
        <v>4596.05595</v>
      </c>
      <c r="I331" s="29" t="n">
        <v>4755.40355</v>
      </c>
      <c r="J331" s="29" t="n">
        <v>4792.76972</v>
      </c>
      <c r="K331" s="29" t="n">
        <v>4769.97694</v>
      </c>
      <c r="L331" s="29" t="n">
        <v>4716.33597</v>
      </c>
      <c r="M331" s="29" t="n">
        <v>4718.85043</v>
      </c>
      <c r="N331" s="29" t="n">
        <v>4531.36057</v>
      </c>
      <c r="O331" s="29" t="n">
        <v>4556.93783</v>
      </c>
      <c r="Q331" s="29" t="n">
        <v>4615.169</v>
      </c>
      <c r="R331" s="29" t="n">
        <v>4663.18667</v>
      </c>
      <c r="S331" s="29" t="n">
        <v>4639.00306</v>
      </c>
      <c r="V331" s="29" t="n">
        <v>4582.52381</v>
      </c>
      <c r="AB331" s="29" t="n">
        <v>4561.49005</v>
      </c>
      <c r="AC331" s="29" t="n">
        <v>4565.88755</v>
      </c>
      <c r="AD331" s="29" t="n">
        <v>0</v>
      </c>
    </row>
    <row r="332" ht="14.25" customHeight="1" s="28">
      <c r="A332" s="29" t="n">
        <v>1777889701</v>
      </c>
      <c r="B332" s="29" t="inlineStr">
        <is>
          <t>XAUUSD</t>
        </is>
      </c>
      <c r="C332" s="29" t="inlineStr">
        <is>
          <t>M15</t>
        </is>
      </c>
      <c r="D332" s="29" t="n">
        <v>4545</v>
      </c>
      <c r="E332" s="29" t="n">
        <v>4717.79398</v>
      </c>
      <c r="F332" s="29" t="n">
        <v>4695.2428</v>
      </c>
      <c r="G332" s="29" t="n">
        <v>4518.59282</v>
      </c>
      <c r="H332" s="29" t="n">
        <v>4596.05595</v>
      </c>
      <c r="I332" s="29" t="n">
        <v>4755.40355</v>
      </c>
      <c r="J332" s="29" t="n">
        <v>4792.76972</v>
      </c>
      <c r="K332" s="29" t="n">
        <v>4769.97694</v>
      </c>
      <c r="L332" s="29" t="n">
        <v>4716.33597</v>
      </c>
      <c r="M332" s="29" t="n">
        <v>4718.85043</v>
      </c>
      <c r="N332" s="29" t="n">
        <v>4531.36057</v>
      </c>
      <c r="O332" s="29" t="n">
        <v>4556.93783</v>
      </c>
      <c r="Q332" s="29" t="n">
        <v>4615.37145</v>
      </c>
      <c r="R332" s="29" t="n">
        <v>4663.38911</v>
      </c>
      <c r="S332" s="29" t="n">
        <v>4639.2055</v>
      </c>
      <c r="V332" s="29" t="n">
        <v>4582.72626</v>
      </c>
      <c r="AA332" s="29" t="n">
        <v>4526.4</v>
      </c>
      <c r="AB332" s="29" t="n">
        <v>4558.22146</v>
      </c>
      <c r="AC332" s="29" t="n">
        <v>4562.05451</v>
      </c>
      <c r="AD332" s="29" t="n">
        <v>0</v>
      </c>
    </row>
    <row r="333" ht="14.25" customHeight="1" s="28">
      <c r="A333" s="29" t="n">
        <v>1777890601</v>
      </c>
      <c r="B333" s="29" t="inlineStr">
        <is>
          <t>XAUUSD</t>
        </is>
      </c>
      <c r="C333" s="29" t="inlineStr">
        <is>
          <t>M15</t>
        </is>
      </c>
      <c r="D333" s="29" t="n">
        <v>4558.64</v>
      </c>
      <c r="E333" s="29" t="n">
        <v>4717.79398</v>
      </c>
      <c r="F333" s="29" t="n">
        <v>4695.2428</v>
      </c>
      <c r="G333" s="29" t="n">
        <v>4518.59282</v>
      </c>
      <c r="H333" s="29" t="n">
        <v>4596.05595</v>
      </c>
      <c r="I333" s="29" t="n">
        <v>4755.40355</v>
      </c>
      <c r="J333" s="29" t="n">
        <v>4792.76972</v>
      </c>
      <c r="K333" s="29" t="n">
        <v>4769.97694</v>
      </c>
      <c r="L333" s="29" t="n">
        <v>4716.33597</v>
      </c>
      <c r="M333" s="29" t="n">
        <v>4718.85043</v>
      </c>
      <c r="N333" s="29" t="n">
        <v>4531.36057</v>
      </c>
      <c r="O333" s="29" t="n">
        <v>4556.93783</v>
      </c>
      <c r="Q333" s="29" t="n">
        <v>4615.5739</v>
      </c>
      <c r="R333" s="29" t="n">
        <v>4663.59156</v>
      </c>
      <c r="S333" s="29" t="n">
        <v>4639.40795</v>
      </c>
      <c r="V333" s="29" t="n">
        <v>4582.9287</v>
      </c>
      <c r="AB333" s="29" t="n">
        <v>4556.75146</v>
      </c>
      <c r="AC333" s="29" t="n">
        <v>4559.40298</v>
      </c>
      <c r="AD333" s="29" t="n">
        <v>0</v>
      </c>
    </row>
    <row r="334" ht="14.25" customHeight="1" s="28">
      <c r="A334" s="29" t="n">
        <v>1777891501</v>
      </c>
      <c r="B334" s="29" t="inlineStr">
        <is>
          <t>XAUUSD</t>
        </is>
      </c>
      <c r="C334" s="29" t="inlineStr">
        <is>
          <t>M15</t>
        </is>
      </c>
      <c r="D334" s="29" t="n">
        <v>4562.67</v>
      </c>
      <c r="E334" s="29" t="n">
        <v>4717.79398</v>
      </c>
      <c r="F334" s="29" t="n">
        <v>4695.2428</v>
      </c>
      <c r="G334" s="29" t="n">
        <v>4518.59282</v>
      </c>
      <c r="H334" s="29" t="n">
        <v>4596.05595</v>
      </c>
      <c r="I334" s="29" t="n">
        <v>4755.40355</v>
      </c>
      <c r="J334" s="29" t="n">
        <v>4792.76972</v>
      </c>
      <c r="K334" s="29" t="n">
        <v>4769.97694</v>
      </c>
      <c r="L334" s="29" t="n">
        <v>4716.33597</v>
      </c>
      <c r="M334" s="29" t="n">
        <v>4718.85043</v>
      </c>
      <c r="N334" s="29" t="n">
        <v>4531.36057</v>
      </c>
      <c r="O334" s="29" t="n">
        <v>4556.93783</v>
      </c>
      <c r="Q334" s="29" t="n">
        <v>4615.77634</v>
      </c>
      <c r="R334" s="29" t="n">
        <v>4663.79401</v>
      </c>
      <c r="S334" s="29" t="n">
        <v>4639.61039</v>
      </c>
      <c r="V334" s="29" t="n">
        <v>4583.13115</v>
      </c>
      <c r="AB334" s="29" t="n">
        <v>4556.70054</v>
      </c>
      <c r="AC334" s="29" t="n">
        <v>4558.05176</v>
      </c>
      <c r="AD334" s="29" t="n">
        <v>0</v>
      </c>
    </row>
    <row r="335" ht="14.25" customHeight="1" s="28">
      <c r="A335" s="29" t="n">
        <v>1777892401</v>
      </c>
      <c r="B335" s="29" t="inlineStr">
        <is>
          <t>XAUUSD</t>
        </is>
      </c>
      <c r="C335" s="29" t="inlineStr">
        <is>
          <t>M15</t>
        </is>
      </c>
      <c r="D335" s="29" t="n">
        <v>4565.34</v>
      </c>
      <c r="E335" s="29" t="n">
        <v>4717.79398</v>
      </c>
      <c r="F335" s="29" t="n">
        <v>4695.2428</v>
      </c>
      <c r="G335" s="29" t="n">
        <v>4518.59282</v>
      </c>
      <c r="H335" s="29" t="n">
        <v>4596.05595</v>
      </c>
      <c r="I335" s="29" t="n">
        <v>4755.40355</v>
      </c>
      <c r="J335" s="29" t="n">
        <v>4792.76972</v>
      </c>
      <c r="K335" s="29" t="n">
        <v>4769.97694</v>
      </c>
      <c r="L335" s="29" t="n">
        <v>4716.33597</v>
      </c>
      <c r="M335" s="29" t="n">
        <v>4718.85043</v>
      </c>
      <c r="N335" s="29" t="n">
        <v>4531.36057</v>
      </c>
      <c r="O335" s="29" t="n">
        <v>4556.93783</v>
      </c>
      <c r="Q335" s="29" t="n">
        <v>4615.97879</v>
      </c>
      <c r="R335" s="29" t="n">
        <v>4663.99645</v>
      </c>
      <c r="S335" s="29" t="n">
        <v>4639.81284</v>
      </c>
      <c r="V335" s="29" t="n">
        <v>4583.3336</v>
      </c>
      <c r="AB335" s="29" t="n">
        <v>4557.69867</v>
      </c>
      <c r="AC335" s="29" t="n">
        <v>4557.87521</v>
      </c>
      <c r="AD335" s="29" t="n">
        <v>0</v>
      </c>
    </row>
    <row r="336" ht="14.25" customHeight="1" s="28">
      <c r="A336" s="29" t="n">
        <v>1777893301</v>
      </c>
      <c r="B336" s="29" t="inlineStr">
        <is>
          <t>XAUUSD</t>
        </is>
      </c>
      <c r="C336" s="29" t="inlineStr">
        <is>
          <t>M15</t>
        </is>
      </c>
      <c r="D336" s="29" t="n">
        <v>4562.26</v>
      </c>
      <c r="E336" s="29" t="n">
        <v>4717.79398</v>
      </c>
      <c r="F336" s="29" t="n">
        <v>4695.2428</v>
      </c>
      <c r="G336" s="29" t="n">
        <v>4518.59282</v>
      </c>
      <c r="H336" s="29" t="n">
        <v>4596.05595</v>
      </c>
      <c r="I336" s="29" t="n">
        <v>4755.40355</v>
      </c>
      <c r="J336" s="29" t="n">
        <v>4792.76972</v>
      </c>
      <c r="K336" s="29" t="n">
        <v>4769.97694</v>
      </c>
      <c r="L336" s="29" t="n">
        <v>4716.33597</v>
      </c>
      <c r="M336" s="29" t="n">
        <v>4718.85043</v>
      </c>
      <c r="N336" s="29" t="n">
        <v>4531.36057</v>
      </c>
      <c r="O336" s="29" t="n">
        <v>4556.93783</v>
      </c>
      <c r="Q336" s="29" t="n">
        <v>4616.18123</v>
      </c>
      <c r="R336" s="29" t="n">
        <v>4664.1989</v>
      </c>
      <c r="S336" s="29" t="n">
        <v>4640.01529</v>
      </c>
      <c r="V336" s="29" t="n">
        <v>4583.53604</v>
      </c>
      <c r="AB336" s="29" t="n">
        <v>4559.26237</v>
      </c>
      <c r="AC336" s="29" t="n">
        <v>4558.56879</v>
      </c>
      <c r="AD336" s="29" t="n">
        <v>1</v>
      </c>
    </row>
    <row r="337" ht="14.25" customHeight="1" s="28">
      <c r="A337" s="29" t="n">
        <v>1777894201</v>
      </c>
      <c r="B337" s="29" t="inlineStr">
        <is>
          <t>XAUUSD</t>
        </is>
      </c>
      <c r="C337" s="29" t="inlineStr">
        <is>
          <t>M15</t>
        </is>
      </c>
      <c r="D337" s="29" t="n">
        <v>4553.65</v>
      </c>
      <c r="E337" s="29" t="n">
        <v>4717.79398</v>
      </c>
      <c r="F337" s="29" t="n">
        <v>4695.2428</v>
      </c>
      <c r="G337" s="29" t="n">
        <v>4518.59282</v>
      </c>
      <c r="H337" s="29" t="n">
        <v>4596.05595</v>
      </c>
      <c r="I337" s="29" t="n">
        <v>4755.40355</v>
      </c>
      <c r="J337" s="29" t="n">
        <v>4792.76972</v>
      </c>
      <c r="K337" s="29" t="n">
        <v>4769.97694</v>
      </c>
      <c r="L337" s="29" t="n">
        <v>4716.33597</v>
      </c>
      <c r="M337" s="29" t="n">
        <v>4718.85043</v>
      </c>
      <c r="N337" s="29" t="n">
        <v>4531.36057</v>
      </c>
      <c r="O337" s="29" t="n">
        <v>4556.93783</v>
      </c>
      <c r="Q337" s="29" t="n">
        <v>4616.38368</v>
      </c>
      <c r="R337" s="29" t="n">
        <v>4664.40134</v>
      </c>
      <c r="S337" s="29" t="n">
        <v>4640.21773</v>
      </c>
      <c r="V337" s="29" t="n">
        <v>4583.73849</v>
      </c>
      <c r="AB337" s="29" t="n">
        <v>4561.01172</v>
      </c>
      <c r="AC337" s="29" t="n">
        <v>4559.79026</v>
      </c>
      <c r="AD337" s="29" t="n">
        <v>0</v>
      </c>
    </row>
    <row r="338" ht="14.25" customHeight="1" s="28">
      <c r="A338" s="29" t="n">
        <v>1777895101</v>
      </c>
      <c r="B338" s="29" t="inlineStr">
        <is>
          <t>XAUUSD</t>
        </is>
      </c>
      <c r="C338" s="29" t="inlineStr">
        <is>
          <t>M15</t>
        </is>
      </c>
      <c r="D338" s="29" t="n">
        <v>4559.94</v>
      </c>
      <c r="E338" s="29" t="n">
        <v>4717.79398</v>
      </c>
      <c r="F338" s="29" t="n">
        <v>4695.2428</v>
      </c>
      <c r="G338" s="29" t="n">
        <v>4518.59282</v>
      </c>
      <c r="H338" s="29" t="n">
        <v>4596.05595</v>
      </c>
      <c r="I338" s="29" t="n">
        <v>4755.40355</v>
      </c>
      <c r="J338" s="29" t="n">
        <v>4792.76972</v>
      </c>
      <c r="K338" s="29" t="n">
        <v>4769.97694</v>
      </c>
      <c r="L338" s="29" t="n">
        <v>4716.33597</v>
      </c>
      <c r="M338" s="29" t="n">
        <v>4718.85043</v>
      </c>
      <c r="N338" s="29" t="n">
        <v>4531.36057</v>
      </c>
      <c r="O338" s="29" t="n">
        <v>4556.93783</v>
      </c>
      <c r="Q338" s="29" t="n">
        <v>4616.58612</v>
      </c>
      <c r="R338" s="29" t="n">
        <v>4664.60379</v>
      </c>
      <c r="S338" s="29" t="n">
        <v>4640.42018</v>
      </c>
      <c r="V338" s="29" t="n">
        <v>4583.94093</v>
      </c>
      <c r="AB338" s="29" t="n">
        <v>4562.81704</v>
      </c>
      <c r="AC338" s="29" t="n">
        <v>4561.30365</v>
      </c>
      <c r="AD338" s="29" t="n">
        <v>0</v>
      </c>
    </row>
    <row r="339" ht="14.25" customHeight="1" s="28">
      <c r="A339" s="29" t="n">
        <v>1777896001</v>
      </c>
      <c r="B339" s="29" t="inlineStr">
        <is>
          <t>XAUUSD</t>
        </is>
      </c>
      <c r="C339" s="29" t="inlineStr">
        <is>
          <t>M15</t>
        </is>
      </c>
      <c r="D339" s="29" t="n">
        <v>4563.67</v>
      </c>
      <c r="E339" s="29" t="n">
        <v>4717.79398</v>
      </c>
      <c r="F339" s="29" t="n">
        <v>4695.2428</v>
      </c>
      <c r="G339" s="29" t="n">
        <v>4518.59282</v>
      </c>
      <c r="H339" s="29" t="n">
        <v>4596.05595</v>
      </c>
      <c r="I339" s="29" t="n">
        <v>4755.40355</v>
      </c>
      <c r="J339" s="29" t="n">
        <v>4792.76972</v>
      </c>
      <c r="K339" s="29" t="n">
        <v>4769.97694</v>
      </c>
      <c r="L339" s="29" t="n">
        <v>4716.33597</v>
      </c>
      <c r="M339" s="29" t="n">
        <v>4718.85043</v>
      </c>
      <c r="N339" s="29" t="n">
        <v>4531.36057</v>
      </c>
      <c r="O339" s="29" t="n">
        <v>4556.93783</v>
      </c>
      <c r="Q339" s="29" t="n">
        <v>4616.78857</v>
      </c>
      <c r="R339" s="29" t="n">
        <v>4664.80623</v>
      </c>
      <c r="S339" s="29" t="n">
        <v>4640.62262</v>
      </c>
      <c r="V339" s="29" t="n">
        <v>4584.14338</v>
      </c>
      <c r="AB339" s="29" t="n">
        <v>4564.27067</v>
      </c>
      <c r="AC339" s="29" t="n">
        <v>4562.78716</v>
      </c>
      <c r="AD339" s="29" t="n">
        <v>0</v>
      </c>
    </row>
    <row r="340" ht="14.25" customHeight="1" s="28">
      <c r="A340" s="29" t="n">
        <v>1777896901</v>
      </c>
      <c r="B340" s="29" t="inlineStr">
        <is>
          <t>XAUUSD</t>
        </is>
      </c>
      <c r="C340" s="29" t="inlineStr">
        <is>
          <t>M15</t>
        </is>
      </c>
      <c r="D340" s="29" t="n">
        <v>4568.68</v>
      </c>
      <c r="E340" s="29" t="n">
        <v>4717.79398</v>
      </c>
      <c r="F340" s="29" t="n">
        <v>4695.2428</v>
      </c>
      <c r="G340" s="29" t="n">
        <v>4518.59282</v>
      </c>
      <c r="H340" s="29" t="n">
        <v>4596.05595</v>
      </c>
      <c r="I340" s="29" t="n">
        <v>4755.40355</v>
      </c>
      <c r="J340" s="29" t="n">
        <v>4792.76972</v>
      </c>
      <c r="K340" s="29" t="n">
        <v>4769.97694</v>
      </c>
      <c r="L340" s="29" t="n">
        <v>4716.33597</v>
      </c>
      <c r="M340" s="29" t="n">
        <v>4718.85043</v>
      </c>
      <c r="N340" s="29" t="n">
        <v>4531.36057</v>
      </c>
      <c r="O340" s="29" t="n">
        <v>4556.93783</v>
      </c>
      <c r="Q340" s="29" t="n">
        <v>4616.99102</v>
      </c>
      <c r="R340" s="29" t="n">
        <v>4665.00868</v>
      </c>
      <c r="S340" s="29" t="n">
        <v>4640.82507</v>
      </c>
      <c r="V340" s="29" t="n">
        <v>4584.34582</v>
      </c>
      <c r="AB340" s="29" t="n">
        <v>4565.21562</v>
      </c>
      <c r="AC340" s="29" t="n">
        <v>4564.00139</v>
      </c>
      <c r="AD340" s="29" t="n">
        <v>0</v>
      </c>
    </row>
    <row r="341" ht="14.25" customHeight="1" s="28">
      <c r="A341" s="29" t="n">
        <v>1777897801</v>
      </c>
      <c r="B341" s="29" t="inlineStr">
        <is>
          <t>XAUUSD</t>
        </is>
      </c>
      <c r="C341" s="29" t="inlineStr">
        <is>
          <t>M15</t>
        </is>
      </c>
      <c r="D341" s="29" t="n">
        <v>4570.1</v>
      </c>
      <c r="E341" s="29" t="n">
        <v>4717.79398</v>
      </c>
      <c r="F341" s="29" t="n">
        <v>4695.2428</v>
      </c>
      <c r="G341" s="29" t="n">
        <v>4518.59282</v>
      </c>
      <c r="H341" s="29" t="n">
        <v>4596.05595</v>
      </c>
      <c r="I341" s="29" t="n">
        <v>4755.40355</v>
      </c>
      <c r="J341" s="29" t="n">
        <v>4792.76972</v>
      </c>
      <c r="K341" s="29" t="n">
        <v>4769.97694</v>
      </c>
      <c r="L341" s="29" t="n">
        <v>4716.33597</v>
      </c>
      <c r="M341" s="29" t="n">
        <v>4718.85043</v>
      </c>
      <c r="N341" s="29" t="n">
        <v>4531.36057</v>
      </c>
      <c r="O341" s="29" t="n">
        <v>4556.93783</v>
      </c>
      <c r="Q341" s="29" t="n">
        <v>4617.19346</v>
      </c>
      <c r="R341" s="29" t="n">
        <v>4665.21113</v>
      </c>
      <c r="S341" s="29" t="n">
        <v>4641.02751</v>
      </c>
      <c r="V341" s="29" t="n">
        <v>4584.54827</v>
      </c>
      <c r="AB341" s="29" t="n">
        <v>4565.65915</v>
      </c>
      <c r="AC341" s="29" t="n">
        <v>4564.83027</v>
      </c>
      <c r="AD341" s="29" t="n">
        <v>0</v>
      </c>
    </row>
    <row r="342" ht="14.25" customHeight="1" s="28">
      <c r="A342" s="29" t="n">
        <v>1777898701</v>
      </c>
      <c r="B342" s="29" t="inlineStr">
        <is>
          <t>XAUUSD</t>
        </is>
      </c>
      <c r="C342" s="29" t="inlineStr">
        <is>
          <t>M15</t>
        </is>
      </c>
      <c r="D342" s="29" t="n">
        <v>4568.79</v>
      </c>
      <c r="E342" s="29" t="n">
        <v>4717.79398</v>
      </c>
      <c r="F342" s="29" t="n">
        <v>4695.2428</v>
      </c>
      <c r="G342" s="29" t="n">
        <v>4518.59282</v>
      </c>
      <c r="H342" s="29" t="n">
        <v>4596.05595</v>
      </c>
      <c r="I342" s="29" t="n">
        <v>4755.40355</v>
      </c>
      <c r="J342" s="29" t="n">
        <v>4792.76972</v>
      </c>
      <c r="K342" s="29" t="n">
        <v>4769.97694</v>
      </c>
      <c r="L342" s="29" t="n">
        <v>4716.33597</v>
      </c>
      <c r="M342" s="29" t="n">
        <v>4718.85043</v>
      </c>
      <c r="N342" s="29" t="n">
        <v>4531.36057</v>
      </c>
      <c r="O342" s="29" t="n">
        <v>4556.93783</v>
      </c>
      <c r="Q342" s="29" t="n">
        <v>4617.39591</v>
      </c>
      <c r="R342" s="29" t="n">
        <v>4665.41357</v>
      </c>
      <c r="S342" s="29" t="n">
        <v>4641.22996</v>
      </c>
      <c r="V342" s="29" t="n">
        <v>4584.75072</v>
      </c>
      <c r="AB342" s="29" t="n">
        <v>4565.82801</v>
      </c>
      <c r="AC342" s="29" t="n">
        <v>4565.32914</v>
      </c>
      <c r="AD342" s="29" t="n">
        <v>0</v>
      </c>
    </row>
    <row r="343" ht="14.25" customHeight="1" s="28">
      <c r="A343" s="29" t="n">
        <v>1777899601</v>
      </c>
      <c r="B343" s="29" t="inlineStr">
        <is>
          <t>XAUUSD</t>
        </is>
      </c>
      <c r="C343" s="29" t="inlineStr">
        <is>
          <t>M15</t>
        </is>
      </c>
      <c r="D343" s="29" t="n">
        <v>4565.98</v>
      </c>
      <c r="E343" s="29" t="n">
        <v>4717.79398</v>
      </c>
      <c r="F343" s="29" t="n">
        <v>4695.2428</v>
      </c>
      <c r="G343" s="29" t="n">
        <v>4518.59282</v>
      </c>
      <c r="H343" s="29" t="n">
        <v>4596.05595</v>
      </c>
      <c r="I343" s="29" t="n">
        <v>4755.40355</v>
      </c>
      <c r="J343" s="29" t="n">
        <v>4792.76972</v>
      </c>
      <c r="K343" s="29" t="n">
        <v>4769.97694</v>
      </c>
      <c r="L343" s="29" t="n">
        <v>4716.33597</v>
      </c>
      <c r="M343" s="29" t="n">
        <v>4718.85043</v>
      </c>
      <c r="N343" s="29" t="n">
        <v>4531.36057</v>
      </c>
      <c r="O343" s="29" t="n">
        <v>4556.93783</v>
      </c>
      <c r="Q343" s="29" t="n">
        <v>4617.59835</v>
      </c>
      <c r="R343" s="29" t="n">
        <v>4665.61602</v>
      </c>
      <c r="S343" s="29" t="n">
        <v>4641.43241</v>
      </c>
      <c r="V343" s="29" t="n">
        <v>4584.95316</v>
      </c>
      <c r="AB343" s="29" t="n">
        <v>4566.04079</v>
      </c>
      <c r="AC343" s="29" t="n">
        <v>4565.68496</v>
      </c>
      <c r="AD343" s="29" t="n">
        <v>0</v>
      </c>
    </row>
    <row r="344" ht="14.25" customHeight="1" s="28">
      <c r="A344" s="29" t="n">
        <v>1777900501</v>
      </c>
      <c r="B344" s="29" t="inlineStr">
        <is>
          <t>XAUUSD</t>
        </is>
      </c>
      <c r="C344" s="29" t="inlineStr">
        <is>
          <t>M15</t>
        </is>
      </c>
      <c r="D344" s="29" t="n">
        <v>4561.09</v>
      </c>
      <c r="E344" s="29" t="n">
        <v>4717.79398</v>
      </c>
      <c r="F344" s="29" t="n">
        <v>4695.2428</v>
      </c>
      <c r="G344" s="29" t="n">
        <v>4518.59282</v>
      </c>
      <c r="H344" s="29" t="n">
        <v>4596.05595</v>
      </c>
      <c r="I344" s="29" t="n">
        <v>4755.40355</v>
      </c>
      <c r="J344" s="29" t="n">
        <v>4792.76972</v>
      </c>
      <c r="K344" s="29" t="n">
        <v>4769.97694</v>
      </c>
      <c r="L344" s="29" t="n">
        <v>4716.33597</v>
      </c>
      <c r="M344" s="29" t="n">
        <v>4718.85043</v>
      </c>
      <c r="N344" s="29" t="n">
        <v>4531.36057</v>
      </c>
      <c r="O344" s="29" t="n">
        <v>4556.93783</v>
      </c>
      <c r="Q344" s="29" t="n">
        <v>4617.8008</v>
      </c>
      <c r="R344" s="29" t="n">
        <v>4665.81846</v>
      </c>
      <c r="S344" s="29" t="n">
        <v>4641.63485</v>
      </c>
      <c r="V344" s="29" t="n">
        <v>4585.15561</v>
      </c>
      <c r="AB344" s="29" t="n">
        <v>4566.51181</v>
      </c>
      <c r="AC344" s="29" t="n">
        <v>4566.09838</v>
      </c>
      <c r="AD344" s="29" t="n">
        <v>0</v>
      </c>
    </row>
    <row r="345" ht="14.25" customHeight="1" s="28">
      <c r="A345" s="29" t="n">
        <v>1777901401</v>
      </c>
      <c r="B345" s="29" t="inlineStr">
        <is>
          <t>XAUUSD</t>
        </is>
      </c>
      <c r="C345" s="29" t="inlineStr">
        <is>
          <t>M15</t>
        </is>
      </c>
      <c r="D345" s="29" t="n">
        <v>4565.51</v>
      </c>
      <c r="E345" s="29" t="n">
        <v>4717.79398</v>
      </c>
      <c r="F345" s="29" t="n">
        <v>4695.2428</v>
      </c>
      <c r="G345" s="29" t="n">
        <v>4518.59282</v>
      </c>
      <c r="H345" s="29" t="n">
        <v>4596.05595</v>
      </c>
      <c r="I345" s="29" t="n">
        <v>4755.40355</v>
      </c>
      <c r="J345" s="29" t="n">
        <v>4792.76972</v>
      </c>
      <c r="K345" s="29" t="n">
        <v>4769.97694</v>
      </c>
      <c r="L345" s="29" t="n">
        <v>4716.33597</v>
      </c>
      <c r="M345" s="29" t="n">
        <v>4718.85043</v>
      </c>
      <c r="N345" s="29" t="n">
        <v>4531.36057</v>
      </c>
      <c r="O345" s="29" t="n">
        <v>4556.93783</v>
      </c>
      <c r="Q345" s="29" t="n">
        <v>4618.00324</v>
      </c>
      <c r="R345" s="29" t="n">
        <v>4666.02091</v>
      </c>
      <c r="S345" s="29" t="n">
        <v>4641.8373</v>
      </c>
      <c r="V345" s="29" t="n">
        <v>4585.35805</v>
      </c>
      <c r="AB345" s="29" t="n">
        <v>4567.28242</v>
      </c>
      <c r="AC345" s="29" t="n">
        <v>4566.6904</v>
      </c>
      <c r="AD345" s="29" t="n">
        <v>0</v>
      </c>
    </row>
    <row r="346" ht="14.25" customHeight="1" s="28">
      <c r="A346" s="29" t="n">
        <v>1777902301</v>
      </c>
      <c r="B346" s="29" t="inlineStr">
        <is>
          <t>XAUUSD</t>
        </is>
      </c>
      <c r="C346" s="29" t="inlineStr">
        <is>
          <t>M15</t>
        </is>
      </c>
      <c r="D346" s="29" t="n">
        <v>4563.85</v>
      </c>
      <c r="E346" s="29" t="n">
        <v>4717.79398</v>
      </c>
      <c r="F346" s="29" t="n">
        <v>4695.2428</v>
      </c>
      <c r="G346" s="29" t="n">
        <v>4518.59282</v>
      </c>
      <c r="H346" s="29" t="n">
        <v>4596.05595</v>
      </c>
      <c r="I346" s="29" t="n">
        <v>4755.40355</v>
      </c>
      <c r="J346" s="29" t="n">
        <v>4792.76972</v>
      </c>
      <c r="K346" s="29" t="n">
        <v>4769.97694</v>
      </c>
      <c r="L346" s="29" t="n">
        <v>4716.33597</v>
      </c>
      <c r="M346" s="29" t="n">
        <v>4718.85043</v>
      </c>
      <c r="N346" s="29" t="n">
        <v>4531.36057</v>
      </c>
      <c r="O346" s="29" t="n">
        <v>4556.93783</v>
      </c>
      <c r="Q346" s="29" t="n">
        <v>4618.20569</v>
      </c>
      <c r="R346" s="29" t="n">
        <v>4666.22335</v>
      </c>
      <c r="S346" s="29" t="n">
        <v>4642.03974</v>
      </c>
      <c r="V346" s="29" t="n">
        <v>4585.5605</v>
      </c>
      <c r="AB346" s="29" t="n">
        <v>4567.88901</v>
      </c>
      <c r="AC346" s="29" t="n">
        <v>4567.2897</v>
      </c>
      <c r="AD346" s="29" t="n">
        <v>0</v>
      </c>
    </row>
    <row r="347" ht="14.25" customHeight="1" s="28">
      <c r="A347" s="29" t="n">
        <v>1777903201</v>
      </c>
      <c r="B347" s="29" t="inlineStr">
        <is>
          <t>XAUUSD</t>
        </is>
      </c>
      <c r="C347" s="29" t="inlineStr">
        <is>
          <t>M15</t>
        </is>
      </c>
      <c r="D347" s="29" t="n">
        <v>4560.18</v>
      </c>
      <c r="E347" s="29" t="n">
        <v>4717.79398</v>
      </c>
      <c r="F347" s="29" t="n">
        <v>4695.2428</v>
      </c>
      <c r="G347" s="29" t="n">
        <v>4518.59282</v>
      </c>
      <c r="H347" s="29" t="n">
        <v>4596.05595</v>
      </c>
      <c r="I347" s="29" t="n">
        <v>4755.40355</v>
      </c>
      <c r="J347" s="29" t="n">
        <v>4792.76972</v>
      </c>
      <c r="K347" s="29" t="n">
        <v>4769.97694</v>
      </c>
      <c r="L347" s="29" t="n">
        <v>4716.33597</v>
      </c>
      <c r="M347" s="29" t="n">
        <v>4718.85043</v>
      </c>
      <c r="N347" s="29" t="n">
        <v>4531.36057</v>
      </c>
      <c r="O347" s="29" t="n">
        <v>4556.93783</v>
      </c>
      <c r="Q347" s="29" t="n">
        <v>4618.40814</v>
      </c>
      <c r="R347" s="29" t="n">
        <v>4666.4258</v>
      </c>
      <c r="S347" s="29" t="n">
        <v>4642.24219</v>
      </c>
      <c r="V347" s="29" t="n">
        <v>4585.76294</v>
      </c>
      <c r="AB347" s="29" t="n">
        <v>4567.82539</v>
      </c>
      <c r="AC347" s="29" t="n">
        <v>4567.55755</v>
      </c>
      <c r="AD347" s="29" t="n">
        <v>0</v>
      </c>
    </row>
    <row r="348" ht="14.25" customHeight="1" s="28">
      <c r="A348" s="29" t="n">
        <v>1777904101</v>
      </c>
      <c r="B348" s="29" t="inlineStr">
        <is>
          <t>XAUUSD</t>
        </is>
      </c>
      <c r="C348" s="29" t="inlineStr">
        <is>
          <t>M15</t>
        </is>
      </c>
      <c r="D348" s="29" t="n">
        <v>4571.2</v>
      </c>
      <c r="E348" s="29" t="n">
        <v>4717.79398</v>
      </c>
      <c r="F348" s="29" t="n">
        <v>4695.2428</v>
      </c>
      <c r="G348" s="29" t="n">
        <v>4518.59282</v>
      </c>
      <c r="H348" s="29" t="n">
        <v>4596.05595</v>
      </c>
      <c r="I348" s="29" t="n">
        <v>4755.40355</v>
      </c>
      <c r="J348" s="29" t="n">
        <v>4792.76972</v>
      </c>
      <c r="K348" s="29" t="n">
        <v>4769.97694</v>
      </c>
      <c r="L348" s="29" t="n">
        <v>4716.33597</v>
      </c>
      <c r="M348" s="29" t="n">
        <v>4718.85043</v>
      </c>
      <c r="N348" s="29" t="n">
        <v>4531.36057</v>
      </c>
      <c r="O348" s="29" t="n">
        <v>4556.93783</v>
      </c>
      <c r="Q348" s="29" t="n">
        <v>4618.61058</v>
      </c>
      <c r="R348" s="29" t="n">
        <v>4666.62825</v>
      </c>
      <c r="S348" s="29" t="n">
        <v>4642.44463</v>
      </c>
      <c r="V348" s="29" t="n">
        <v>4585.96539</v>
      </c>
      <c r="AB348" s="29" t="n">
        <v>4566.55373</v>
      </c>
      <c r="AC348" s="29" t="n">
        <v>4567.05564</v>
      </c>
      <c r="AD348" s="29" t="n">
        <v>1</v>
      </c>
    </row>
    <row r="349" ht="14.25" customHeight="1" s="28">
      <c r="A349" s="29" t="n">
        <v>1777905001</v>
      </c>
      <c r="B349" s="29" t="inlineStr">
        <is>
          <t>XAUUSD</t>
        </is>
      </c>
      <c r="C349" s="29" t="inlineStr">
        <is>
          <t>M15</t>
        </is>
      </c>
      <c r="D349" s="29" t="n">
        <v>4574.38</v>
      </c>
      <c r="E349" s="29" t="n">
        <v>4717.79398</v>
      </c>
      <c r="F349" s="29" t="n">
        <v>4695.2428</v>
      </c>
      <c r="G349" s="29" t="n">
        <v>4518.59282</v>
      </c>
      <c r="H349" s="29" t="n">
        <v>4596.05595</v>
      </c>
      <c r="I349" s="29" t="n">
        <v>4755.40355</v>
      </c>
      <c r="J349" s="29" t="n">
        <v>4792.76972</v>
      </c>
      <c r="K349" s="29" t="n">
        <v>4769.97694</v>
      </c>
      <c r="L349" s="29" t="n">
        <v>4716.33597</v>
      </c>
      <c r="M349" s="29" t="n">
        <v>4718.85043</v>
      </c>
      <c r="N349" s="29" t="n">
        <v>4531.36057</v>
      </c>
      <c r="O349" s="29" t="n">
        <v>4556.93783</v>
      </c>
      <c r="Q349" s="29" t="n">
        <v>4618.81303</v>
      </c>
      <c r="R349" s="29" t="n">
        <v>4666.83069</v>
      </c>
      <c r="S349" s="29" t="n">
        <v>4642.64708</v>
      </c>
      <c r="V349" s="29" t="n">
        <v>4586.16784</v>
      </c>
      <c r="Z349" s="29" t="n">
        <v>4583.16</v>
      </c>
      <c r="AB349" s="29" t="n">
        <v>4563.19435</v>
      </c>
      <c r="AC349" s="29" t="n">
        <v>4565.12499</v>
      </c>
      <c r="AD349" s="29" t="n">
        <v>0</v>
      </c>
    </row>
    <row r="350" ht="14.25" customHeight="1" s="28">
      <c r="A350" s="29" t="n">
        <v>1777905901</v>
      </c>
      <c r="B350" s="29" t="inlineStr">
        <is>
          <t>XAUUSD</t>
        </is>
      </c>
      <c r="C350" s="29" t="inlineStr">
        <is>
          <t>M15</t>
        </is>
      </c>
      <c r="D350" s="29" t="n">
        <v>4561.26</v>
      </c>
      <c r="E350" s="29" t="n">
        <v>4717.79398</v>
      </c>
      <c r="F350" s="29" t="n">
        <v>4695.2428</v>
      </c>
      <c r="G350" s="29" t="n">
        <v>4518.59282</v>
      </c>
      <c r="H350" s="29" t="n">
        <v>4596.05595</v>
      </c>
      <c r="I350" s="29" t="n">
        <v>4755.40355</v>
      </c>
      <c r="J350" s="29" t="n">
        <v>4792.76972</v>
      </c>
      <c r="K350" s="29" t="n">
        <v>4769.97694</v>
      </c>
      <c r="L350" s="29" t="n">
        <v>4716.33597</v>
      </c>
      <c r="M350" s="29" t="n">
        <v>4718.85043</v>
      </c>
      <c r="N350" s="29" t="n">
        <v>4531.36057</v>
      </c>
      <c r="O350" s="29" t="n">
        <v>4556.93783</v>
      </c>
      <c r="Q350" s="29" t="n">
        <v>4619.01547</v>
      </c>
      <c r="R350" s="29" t="n">
        <v>4667.03314</v>
      </c>
      <c r="S350" s="29" t="n">
        <v>4642.84953</v>
      </c>
      <c r="V350" s="29" t="n">
        <v>4586.37028</v>
      </c>
      <c r="AB350" s="29" t="n">
        <v>4557.36864</v>
      </c>
      <c r="AC350" s="29" t="n">
        <v>4561.24682</v>
      </c>
      <c r="AD350" s="29" t="n">
        <v>0</v>
      </c>
    </row>
    <row r="351" ht="14.25" customHeight="1" s="28">
      <c r="A351" s="29" t="n">
        <v>1777906801</v>
      </c>
      <c r="B351" s="29" t="inlineStr">
        <is>
          <t>XAUUSD</t>
        </is>
      </c>
      <c r="C351" s="29" t="inlineStr">
        <is>
          <t>M15</t>
        </is>
      </c>
      <c r="D351" s="29" t="n">
        <v>4548.46</v>
      </c>
      <c r="E351" s="29" t="n">
        <v>4717.79398</v>
      </c>
      <c r="F351" s="29" t="n">
        <v>4695.2428</v>
      </c>
      <c r="G351" s="29" t="n">
        <v>4518.59282</v>
      </c>
      <c r="H351" s="29" t="n">
        <v>4596.05595</v>
      </c>
      <c r="I351" s="29" t="n">
        <v>4755.40355</v>
      </c>
      <c r="J351" s="29" t="n">
        <v>4792.76972</v>
      </c>
      <c r="K351" s="29" t="n">
        <v>4769.97694</v>
      </c>
      <c r="L351" s="29" t="n">
        <v>4716.33597</v>
      </c>
      <c r="M351" s="29" t="n">
        <v>4718.85043</v>
      </c>
      <c r="N351" s="29" t="n">
        <v>4531.36057</v>
      </c>
      <c r="O351" s="29" t="n">
        <v>4556.93783</v>
      </c>
      <c r="Q351" s="29" t="n">
        <v>4619.21792</v>
      </c>
      <c r="R351" s="29" t="n">
        <v>4667.23558</v>
      </c>
      <c r="S351" s="29" t="n">
        <v>4643.05197</v>
      </c>
      <c r="V351" s="29" t="n">
        <v>4586.57273</v>
      </c>
      <c r="AB351" s="29" t="n">
        <v>4549.59106</v>
      </c>
      <c r="AC351" s="29" t="n">
        <v>4555.41894</v>
      </c>
      <c r="AD351" s="29" t="n">
        <v>0</v>
      </c>
    </row>
    <row r="352" ht="14.25" customHeight="1" s="28">
      <c r="A352" s="29" t="n">
        <v>1777907701</v>
      </c>
      <c r="B352" s="29" t="inlineStr">
        <is>
          <t>XAUUSD</t>
        </is>
      </c>
      <c r="C352" s="29" t="inlineStr">
        <is>
          <t>M15</t>
        </is>
      </c>
      <c r="D352" s="29" t="n">
        <v>4537.95</v>
      </c>
      <c r="E352" s="29" t="n">
        <v>4717.79398</v>
      </c>
      <c r="F352" s="29" t="n">
        <v>4695.2428</v>
      </c>
      <c r="G352" s="29" t="n">
        <v>4518.59282</v>
      </c>
      <c r="H352" s="29" t="n">
        <v>4596.05595</v>
      </c>
      <c r="I352" s="29" t="n">
        <v>4755.40355</v>
      </c>
      <c r="J352" s="29" t="n">
        <v>4792.76972</v>
      </c>
      <c r="K352" s="29" t="n">
        <v>4769.97694</v>
      </c>
      <c r="L352" s="29" t="n">
        <v>4716.33597</v>
      </c>
      <c r="M352" s="29" t="n">
        <v>4718.85043</v>
      </c>
      <c r="N352" s="29" t="n">
        <v>4531.36057</v>
      </c>
      <c r="O352" s="29" t="n">
        <v>4556.93783</v>
      </c>
      <c r="Q352" s="29" t="n">
        <v>4619.42036</v>
      </c>
      <c r="R352" s="29" t="n">
        <v>4667.43803</v>
      </c>
      <c r="S352" s="29" t="n">
        <v>4643.25442</v>
      </c>
      <c r="V352" s="29" t="n">
        <v>4586.77517</v>
      </c>
      <c r="AB352" s="29" t="n">
        <v>4540.74889</v>
      </c>
      <c r="AC352" s="29" t="n">
        <v>4548.08392</v>
      </c>
      <c r="AD352" s="29" t="n">
        <v>0</v>
      </c>
    </row>
    <row r="353" ht="14.25" customHeight="1" s="28">
      <c r="A353" s="29" t="n">
        <v>1777908601</v>
      </c>
      <c r="B353" s="29" t="inlineStr">
        <is>
          <t>XAUUSD</t>
        </is>
      </c>
      <c r="C353" s="29" t="inlineStr">
        <is>
          <t>M15</t>
        </is>
      </c>
      <c r="D353" s="29" t="n">
        <v>4535.1</v>
      </c>
      <c r="E353" s="29" t="n">
        <v>4717.79398</v>
      </c>
      <c r="F353" s="29" t="n">
        <v>4695.2428</v>
      </c>
      <c r="G353" s="29" t="n">
        <v>4518.59282</v>
      </c>
      <c r="H353" s="29" t="n">
        <v>4596.05595</v>
      </c>
      <c r="I353" s="29" t="n">
        <v>4755.40355</v>
      </c>
      <c r="J353" s="29" t="n">
        <v>4792.76972</v>
      </c>
      <c r="K353" s="29" t="n">
        <v>4769.97694</v>
      </c>
      <c r="L353" s="29" t="n">
        <v>4716.33597</v>
      </c>
      <c r="M353" s="29" t="n">
        <v>4718.85043</v>
      </c>
      <c r="N353" s="29" t="n">
        <v>4531.36057</v>
      </c>
      <c r="O353" s="29" t="n">
        <v>4556.93783</v>
      </c>
      <c r="Q353" s="29" t="n">
        <v>4619.62281</v>
      </c>
      <c r="R353" s="29" t="n">
        <v>4667.64047</v>
      </c>
      <c r="S353" s="29" t="n">
        <v>4643.45686</v>
      </c>
      <c r="V353" s="29" t="n">
        <v>4586.97762</v>
      </c>
      <c r="AB353" s="29" t="n">
        <v>4531.91789</v>
      </c>
      <c r="AC353" s="29" t="n">
        <v>4540.0009</v>
      </c>
      <c r="AD353" s="29" t="n">
        <v>0</v>
      </c>
    </row>
    <row r="354" ht="14.25" customHeight="1" s="28">
      <c r="A354" s="29" t="n">
        <v>1777909501</v>
      </c>
      <c r="B354" s="29" t="inlineStr">
        <is>
          <t>XAUUSD</t>
        </is>
      </c>
      <c r="C354" s="29" t="inlineStr">
        <is>
          <t>M15</t>
        </is>
      </c>
      <c r="D354" s="29" t="n">
        <v>4521.33</v>
      </c>
      <c r="E354" s="29" t="n">
        <v>4717.79398</v>
      </c>
      <c r="F354" s="29" t="n">
        <v>4695.2428</v>
      </c>
      <c r="G354" s="29" t="n">
        <v>4518.59282</v>
      </c>
      <c r="H354" s="29" t="n">
        <v>4596.05595</v>
      </c>
      <c r="I354" s="29" t="n">
        <v>4755.40355</v>
      </c>
      <c r="J354" s="29" t="n">
        <v>4792.76972</v>
      </c>
      <c r="K354" s="29" t="n">
        <v>4769.97694</v>
      </c>
      <c r="L354" s="29" t="n">
        <v>4716.33597</v>
      </c>
      <c r="M354" s="29" t="n">
        <v>4718.85043</v>
      </c>
      <c r="N354" s="29" t="n">
        <v>4531.36057</v>
      </c>
      <c r="O354" s="29" t="n">
        <v>4556.93783</v>
      </c>
      <c r="Q354" s="29" t="n">
        <v>4619.82526</v>
      </c>
      <c r="R354" s="29" t="n">
        <v>4667.84292</v>
      </c>
      <c r="S354" s="29" t="n">
        <v>4643.65931</v>
      </c>
      <c r="V354" s="29" t="n">
        <v>4587.18006</v>
      </c>
      <c r="AB354" s="29" t="n">
        <v>4523.98413</v>
      </c>
      <c r="AC354" s="29" t="n">
        <v>4531.99252</v>
      </c>
      <c r="AD354" s="29" t="n">
        <v>0</v>
      </c>
    </row>
    <row r="355" ht="14.25" customHeight="1" s="28">
      <c r="A355" s="29" t="n">
        <v>1777910401</v>
      </c>
      <c r="B355" s="29" t="inlineStr">
        <is>
          <t>XAUUSD</t>
        </is>
      </c>
      <c r="C355" s="29" t="inlineStr">
        <is>
          <t>M15</t>
        </is>
      </c>
      <c r="D355" s="29" t="n">
        <v>4509.88</v>
      </c>
      <c r="E355" s="29" t="n">
        <v>4717.79398</v>
      </c>
      <c r="F355" s="29" t="n">
        <v>4695.2428</v>
      </c>
      <c r="G355" s="29" t="n">
        <v>4518.59282</v>
      </c>
      <c r="H355" s="29" t="n">
        <v>4596.05595</v>
      </c>
      <c r="I355" s="29" t="n">
        <v>4755.40355</v>
      </c>
      <c r="J355" s="29" t="n">
        <v>4792.76972</v>
      </c>
      <c r="K355" s="29" t="n">
        <v>4769.97694</v>
      </c>
      <c r="L355" s="29" t="n">
        <v>4716.33597</v>
      </c>
      <c r="M355" s="29" t="n">
        <v>4718.85043</v>
      </c>
      <c r="N355" s="29" t="n">
        <v>4531.36057</v>
      </c>
      <c r="O355" s="29" t="n">
        <v>4556.93783</v>
      </c>
      <c r="Q355" s="29" t="n">
        <v>4620.0277</v>
      </c>
      <c r="R355" s="29" t="n">
        <v>4668.04537</v>
      </c>
      <c r="S355" s="29" t="n">
        <v>4643.86175</v>
      </c>
      <c r="V355" s="29" t="n">
        <v>4587.38251</v>
      </c>
      <c r="AA355" s="29" t="n">
        <v>4500.86</v>
      </c>
      <c r="AB355" s="29" t="n">
        <v>4518.02761</v>
      </c>
      <c r="AC355" s="29" t="n">
        <v>4525.01006</v>
      </c>
      <c r="AD355" s="29" t="n">
        <v>0</v>
      </c>
    </row>
    <row r="356" ht="14.25" customHeight="1" s="28">
      <c r="A356" s="29" t="n">
        <v>1777911301</v>
      </c>
      <c r="B356" s="29" t="inlineStr">
        <is>
          <t>XAUUSD</t>
        </is>
      </c>
      <c r="C356" s="29" t="inlineStr">
        <is>
          <t>M15</t>
        </is>
      </c>
      <c r="D356" s="29" t="n">
        <v>4515.03</v>
      </c>
      <c r="E356" s="29" t="n">
        <v>4717.79398</v>
      </c>
      <c r="F356" s="29" t="n">
        <v>4695.2428</v>
      </c>
      <c r="G356" s="29" t="n">
        <v>4518.59282</v>
      </c>
      <c r="H356" s="29" t="n">
        <v>4596.05595</v>
      </c>
      <c r="I356" s="29" t="n">
        <v>4755.40355</v>
      </c>
      <c r="J356" s="29" t="n">
        <v>4792.76972</v>
      </c>
      <c r="K356" s="29" t="n">
        <v>4769.97694</v>
      </c>
      <c r="L356" s="29" t="n">
        <v>4716.33597</v>
      </c>
      <c r="M356" s="29" t="n">
        <v>4718.85043</v>
      </c>
      <c r="N356" s="29" t="n">
        <v>4531.36057</v>
      </c>
      <c r="O356" s="29" t="n">
        <v>4556.93783</v>
      </c>
      <c r="Q356" s="29" t="n">
        <v>4620.23015</v>
      </c>
      <c r="R356" s="29" t="n">
        <v>4668.24781</v>
      </c>
      <c r="S356" s="29" t="n">
        <v>4644.0642</v>
      </c>
      <c r="V356" s="29" t="n">
        <v>4587.58496</v>
      </c>
      <c r="AB356" s="29" t="n">
        <v>4514.68386</v>
      </c>
      <c r="AC356" s="29" t="n">
        <v>4519.84696</v>
      </c>
      <c r="AD356" s="29" t="n">
        <v>0</v>
      </c>
    </row>
    <row r="357" ht="14.25" customHeight="1" s="28">
      <c r="A357" s="29" t="n">
        <v>1777912201</v>
      </c>
      <c r="B357" s="29" t="inlineStr">
        <is>
          <t>XAUUSD</t>
        </is>
      </c>
      <c r="C357" s="29" t="inlineStr">
        <is>
          <t>M15</t>
        </is>
      </c>
      <c r="D357" s="29" t="n">
        <v>4512.59</v>
      </c>
      <c r="E357" s="29" t="n">
        <v>4717.79398</v>
      </c>
      <c r="F357" s="29" t="n">
        <v>4695.2428</v>
      </c>
      <c r="G357" s="29" t="n">
        <v>4518.59282</v>
      </c>
      <c r="H357" s="29" t="n">
        <v>4596.05595</v>
      </c>
      <c r="I357" s="29" t="n">
        <v>4755.40355</v>
      </c>
      <c r="J357" s="29" t="n">
        <v>4792.76972</v>
      </c>
      <c r="K357" s="29" t="n">
        <v>4769.97694</v>
      </c>
      <c r="L357" s="29" t="n">
        <v>4716.33597</v>
      </c>
      <c r="M357" s="29" t="n">
        <v>4718.85043</v>
      </c>
      <c r="N357" s="29" t="n">
        <v>4531.36057</v>
      </c>
      <c r="O357" s="29" t="n">
        <v>4556.93783</v>
      </c>
      <c r="Q357" s="29" t="n">
        <v>4620.43259</v>
      </c>
      <c r="R357" s="29" t="n">
        <v>4668.45026</v>
      </c>
      <c r="S357" s="29" t="n">
        <v>4644.26665</v>
      </c>
      <c r="V357" s="29" t="n">
        <v>4587.7874</v>
      </c>
      <c r="AB357" s="29" t="n">
        <v>4513.70295</v>
      </c>
      <c r="AC357" s="29" t="n">
        <v>4516.77496</v>
      </c>
      <c r="AD357" s="29" t="n">
        <v>0</v>
      </c>
    </row>
    <row r="358" ht="14.25" customHeight="1" s="28">
      <c r="A358" s="29" t="n">
        <v>1777913101</v>
      </c>
      <c r="B358" s="29" t="inlineStr">
        <is>
          <t>XAUUSD</t>
        </is>
      </c>
      <c r="C358" s="29" t="inlineStr">
        <is>
          <t>M15</t>
        </is>
      </c>
      <c r="D358" s="29" t="n">
        <v>4510.69</v>
      </c>
      <c r="E358" s="29" t="n">
        <v>4717.79398</v>
      </c>
      <c r="F358" s="29" t="n">
        <v>4695.2428</v>
      </c>
      <c r="G358" s="29" t="n">
        <v>4518.59282</v>
      </c>
      <c r="H358" s="29" t="n">
        <v>4596.05595</v>
      </c>
      <c r="I358" s="29" t="n">
        <v>4755.40355</v>
      </c>
      <c r="J358" s="29" t="n">
        <v>4792.76972</v>
      </c>
      <c r="K358" s="29" t="n">
        <v>4769.97694</v>
      </c>
      <c r="L358" s="29" t="n">
        <v>4716.33597</v>
      </c>
      <c r="M358" s="29" t="n">
        <v>4718.85043</v>
      </c>
      <c r="N358" s="29" t="n">
        <v>4531.36057</v>
      </c>
      <c r="O358" s="29" t="n">
        <v>4556.93783</v>
      </c>
      <c r="Q358" s="29" t="n">
        <v>4620.63504</v>
      </c>
      <c r="R358" s="29" t="n">
        <v>4668.6527</v>
      </c>
      <c r="S358" s="29" t="n">
        <v>4644.46909</v>
      </c>
      <c r="V358" s="29" t="n">
        <v>4587.98985</v>
      </c>
      <c r="AB358" s="29" t="n">
        <v>4514.63593</v>
      </c>
      <c r="AC358" s="29" t="n">
        <v>4515.70544</v>
      </c>
      <c r="AD358" s="29" t="n">
        <v>0</v>
      </c>
    </row>
    <row r="359" ht="14.25" customHeight="1" s="28">
      <c r="A359" s="29" t="n">
        <v>1777914001</v>
      </c>
      <c r="B359" s="29" t="inlineStr">
        <is>
          <t>XAUUSD</t>
        </is>
      </c>
      <c r="C359" s="29" t="inlineStr">
        <is>
          <t>M15</t>
        </is>
      </c>
      <c r="D359" s="29" t="n">
        <v>4522.39</v>
      </c>
      <c r="E359" s="29" t="n">
        <v>4717.79398</v>
      </c>
      <c r="F359" s="29" t="n">
        <v>4695.2428</v>
      </c>
      <c r="G359" s="29" t="n">
        <v>4518.59282</v>
      </c>
      <c r="H359" s="29" t="n">
        <v>4596.05595</v>
      </c>
      <c r="I359" s="29" t="n">
        <v>4755.40355</v>
      </c>
      <c r="J359" s="29" t="n">
        <v>4792.76972</v>
      </c>
      <c r="K359" s="29" t="n">
        <v>4769.97694</v>
      </c>
      <c r="L359" s="29" t="n">
        <v>4716.33597</v>
      </c>
      <c r="M359" s="29" t="n">
        <v>4718.85043</v>
      </c>
      <c r="N359" s="29" t="n">
        <v>4531.36057</v>
      </c>
      <c r="O359" s="29" t="n">
        <v>4556.93783</v>
      </c>
      <c r="Q359" s="29" t="n">
        <v>4620.83748</v>
      </c>
      <c r="R359" s="29" t="n">
        <v>4668.85515</v>
      </c>
      <c r="S359" s="29" t="n">
        <v>4644.67154</v>
      </c>
      <c r="V359" s="29" t="n">
        <v>4588.19229</v>
      </c>
      <c r="AB359" s="29" t="n">
        <v>4516.79679</v>
      </c>
      <c r="AC359" s="29" t="n">
        <v>4516.25111</v>
      </c>
      <c r="AD359" s="29" t="n">
        <v>1</v>
      </c>
    </row>
    <row r="360" ht="14.25" customHeight="1" s="28">
      <c r="A360" s="29" t="n">
        <v>1777914901</v>
      </c>
      <c r="B360" s="29" t="inlineStr">
        <is>
          <t>XAUUSD</t>
        </is>
      </c>
      <c r="C360" s="29" t="inlineStr">
        <is>
          <t>M15</t>
        </is>
      </c>
      <c r="D360" s="29" t="n">
        <v>4524.38</v>
      </c>
      <c r="E360" s="29" t="n">
        <v>4717.79398</v>
      </c>
      <c r="F360" s="29" t="n">
        <v>4695.2428</v>
      </c>
      <c r="G360" s="29" t="n">
        <v>4518.59282</v>
      </c>
      <c r="H360" s="29" t="n">
        <v>4596.05595</v>
      </c>
      <c r="I360" s="29" t="n">
        <v>4755.40355</v>
      </c>
      <c r="J360" s="29" t="n">
        <v>4792.76972</v>
      </c>
      <c r="K360" s="29" t="n">
        <v>4769.97694</v>
      </c>
      <c r="L360" s="29" t="n">
        <v>4716.33597</v>
      </c>
      <c r="M360" s="29" t="n">
        <v>4718.85043</v>
      </c>
      <c r="N360" s="29" t="n">
        <v>4531.36057</v>
      </c>
      <c r="O360" s="29" t="n">
        <v>4556.93783</v>
      </c>
      <c r="Q360" s="29" t="n">
        <v>4621.03993</v>
      </c>
      <c r="R360" s="29" t="n">
        <v>4669.05759</v>
      </c>
      <c r="S360" s="29" t="n">
        <v>4644.87398</v>
      </c>
      <c r="V360" s="29" t="n">
        <v>4588.39474</v>
      </c>
      <c r="AB360" s="29" t="n">
        <v>4519.04827</v>
      </c>
      <c r="AC360" s="29" t="n">
        <v>4517.64969</v>
      </c>
      <c r="AD360" s="29" t="n">
        <v>0</v>
      </c>
    </row>
    <row r="361" ht="14.25" customHeight="1" s="28">
      <c r="A361" s="29" t="n">
        <v>1777915801</v>
      </c>
      <c r="B361" s="29" t="inlineStr">
        <is>
          <t>XAUUSD</t>
        </is>
      </c>
      <c r="C361" s="29" t="inlineStr">
        <is>
          <t>M15</t>
        </is>
      </c>
      <c r="D361" s="29" t="n">
        <v>4526.1</v>
      </c>
      <c r="E361" s="29" t="n">
        <v>4717.79398</v>
      </c>
      <c r="F361" s="29" t="n">
        <v>4695.2428</v>
      </c>
      <c r="G361" s="29" t="n">
        <v>4518.59282</v>
      </c>
      <c r="H361" s="29" t="n">
        <v>4596.05595</v>
      </c>
      <c r="I361" s="29" t="n">
        <v>4755.40355</v>
      </c>
      <c r="J361" s="29" t="n">
        <v>4792.76972</v>
      </c>
      <c r="K361" s="29" t="n">
        <v>4769.97694</v>
      </c>
      <c r="L361" s="29" t="n">
        <v>4716.33597</v>
      </c>
      <c r="M361" s="29" t="n">
        <v>4718.85043</v>
      </c>
      <c r="N361" s="29" t="n">
        <v>4531.36057</v>
      </c>
      <c r="O361" s="29" t="n">
        <v>4556.93783</v>
      </c>
      <c r="Q361" s="29" t="n">
        <v>4621.24238</v>
      </c>
      <c r="R361" s="29" t="n">
        <v>4669.26004</v>
      </c>
      <c r="S361" s="29" t="n">
        <v>4645.07643</v>
      </c>
      <c r="V361" s="29" t="n">
        <v>4588.59718</v>
      </c>
      <c r="AB361" s="29" t="n">
        <v>4520.6637</v>
      </c>
      <c r="AC361" s="29" t="n">
        <v>4519.1567</v>
      </c>
      <c r="AD361" s="29" t="n">
        <v>0</v>
      </c>
    </row>
    <row r="362" ht="14.25" customHeight="1" s="28">
      <c r="A362" s="29" t="n">
        <v>1777916701</v>
      </c>
      <c r="B362" s="29" t="inlineStr">
        <is>
          <t>XAUUSD</t>
        </is>
      </c>
      <c r="C362" s="29" t="inlineStr">
        <is>
          <t>M15</t>
        </is>
      </c>
      <c r="D362" s="29" t="n">
        <v>4522.35</v>
      </c>
      <c r="E362" s="29" t="n">
        <v>4717.79398</v>
      </c>
      <c r="F362" s="29" t="n">
        <v>4695.2428</v>
      </c>
      <c r="G362" s="29" t="n">
        <v>4518.59282</v>
      </c>
      <c r="H362" s="29" t="n">
        <v>4596.05595</v>
      </c>
      <c r="I362" s="29" t="n">
        <v>4755.40355</v>
      </c>
      <c r="J362" s="29" t="n">
        <v>4792.76972</v>
      </c>
      <c r="K362" s="29" t="n">
        <v>4769.97694</v>
      </c>
      <c r="L362" s="29" t="n">
        <v>4716.33597</v>
      </c>
      <c r="M362" s="29" t="n">
        <v>4718.85043</v>
      </c>
      <c r="N362" s="29" t="n">
        <v>4531.36057</v>
      </c>
      <c r="O362" s="29" t="n">
        <v>4556.93783</v>
      </c>
      <c r="Q362" s="29" t="n">
        <v>4621.44482</v>
      </c>
      <c r="R362" s="29" t="n">
        <v>4669.46249</v>
      </c>
      <c r="S362" s="29" t="n">
        <v>4645.27887</v>
      </c>
      <c r="V362" s="29" t="n">
        <v>4588.79963</v>
      </c>
      <c r="AB362" s="29" t="n">
        <v>4521.27447</v>
      </c>
      <c r="AC362" s="29" t="n">
        <v>4520.21558</v>
      </c>
      <c r="AD362" s="29" t="n">
        <v>0</v>
      </c>
    </row>
    <row r="363" ht="14.25" customHeight="1" s="28">
      <c r="A363" s="29" t="n">
        <v>1777917601</v>
      </c>
      <c r="B363" s="29" t="inlineStr">
        <is>
          <t>XAUUSD</t>
        </is>
      </c>
      <c r="C363" s="29" t="inlineStr">
        <is>
          <t>M15</t>
        </is>
      </c>
      <c r="D363" s="29" t="n">
        <v>4520.01</v>
      </c>
      <c r="E363" s="29" t="n">
        <v>4717.79398</v>
      </c>
      <c r="F363" s="29" t="n">
        <v>4695.2428</v>
      </c>
      <c r="G363" s="29" t="n">
        <v>4518.59282</v>
      </c>
      <c r="H363" s="29" t="n">
        <v>4596.05595</v>
      </c>
      <c r="I363" s="29" t="n">
        <v>4755.40355</v>
      </c>
      <c r="J363" s="29" t="n">
        <v>4792.76972</v>
      </c>
      <c r="K363" s="29" t="n">
        <v>4769.97694</v>
      </c>
      <c r="L363" s="29" t="n">
        <v>4716.33597</v>
      </c>
      <c r="M363" s="29" t="n">
        <v>4718.85043</v>
      </c>
      <c r="N363" s="29" t="n">
        <v>4531.36057</v>
      </c>
      <c r="O363" s="29" t="n">
        <v>4556.93783</v>
      </c>
      <c r="Q363" s="29" t="n">
        <v>4621.64727</v>
      </c>
      <c r="R363" s="29" t="n">
        <v>4669.66493</v>
      </c>
      <c r="S363" s="29" t="n">
        <v>4645.48132</v>
      </c>
      <c r="V363" s="29" t="n">
        <v>4589.00208</v>
      </c>
      <c r="AB363" s="29" t="n">
        <v>4520.90726</v>
      </c>
      <c r="AC363" s="29" t="n">
        <v>4520.56142</v>
      </c>
      <c r="AD363" s="29" t="n">
        <v>0</v>
      </c>
    </row>
    <row r="364" ht="14.25" customHeight="1" s="28">
      <c r="A364" s="29" t="n">
        <v>1777918501</v>
      </c>
      <c r="B364" s="29" t="inlineStr">
        <is>
          <t>XAUUSD</t>
        </is>
      </c>
      <c r="C364" s="29" t="inlineStr">
        <is>
          <t>M15</t>
        </is>
      </c>
      <c r="D364" s="29" t="n">
        <v>4511.95</v>
      </c>
      <c r="E364" s="29" t="n">
        <v>4717.79398</v>
      </c>
      <c r="F364" s="29" t="n">
        <v>4695.2428</v>
      </c>
      <c r="G364" s="29" t="n">
        <v>4518.59282</v>
      </c>
      <c r="H364" s="29" t="n">
        <v>4596.05595</v>
      </c>
      <c r="I364" s="29" t="n">
        <v>4755.40355</v>
      </c>
      <c r="J364" s="29" t="n">
        <v>4792.76972</v>
      </c>
      <c r="K364" s="29" t="n">
        <v>4769.97694</v>
      </c>
      <c r="L364" s="29" t="n">
        <v>4716.33597</v>
      </c>
      <c r="M364" s="29" t="n">
        <v>4718.85043</v>
      </c>
      <c r="N364" s="29" t="n">
        <v>4531.36057</v>
      </c>
      <c r="O364" s="29" t="n">
        <v>4556.93783</v>
      </c>
      <c r="Q364" s="29" t="n">
        <v>4621.84971</v>
      </c>
      <c r="R364" s="29" t="n">
        <v>4669.86738</v>
      </c>
      <c r="S364" s="29" t="n">
        <v>4645.68377</v>
      </c>
      <c r="V364" s="29" t="n">
        <v>4589.20452</v>
      </c>
      <c r="AB364" s="29" t="n">
        <v>4519.79381</v>
      </c>
      <c r="AC364" s="29" t="n">
        <v>4520.17761</v>
      </c>
      <c r="AD364" s="29" t="n">
        <v>1</v>
      </c>
    </row>
    <row r="365" ht="14.25" customHeight="1" s="28">
      <c r="A365" s="29" t="n">
        <v>1777919401</v>
      </c>
      <c r="B365" s="29" t="inlineStr">
        <is>
          <t>XAUUSD</t>
        </is>
      </c>
      <c r="C365" s="29" t="inlineStr">
        <is>
          <t>M15</t>
        </is>
      </c>
      <c r="D365" s="29" t="n">
        <v>4511.86</v>
      </c>
      <c r="E365" s="29" t="n">
        <v>4717.79398</v>
      </c>
      <c r="F365" s="29" t="n">
        <v>4695.2428</v>
      </c>
      <c r="G365" s="29" t="n">
        <v>4518.59282</v>
      </c>
      <c r="H365" s="29" t="n">
        <v>4596.05595</v>
      </c>
      <c r="I365" s="29" t="n">
        <v>4755.40355</v>
      </c>
      <c r="J365" s="29" t="n">
        <v>4792.76972</v>
      </c>
      <c r="K365" s="29" t="n">
        <v>4769.97694</v>
      </c>
      <c r="L365" s="29" t="n">
        <v>4716.33597</v>
      </c>
      <c r="M365" s="29" t="n">
        <v>4718.85043</v>
      </c>
      <c r="N365" s="29" t="n">
        <v>4531.36057</v>
      </c>
      <c r="O365" s="29" t="n">
        <v>4556.93783</v>
      </c>
      <c r="Q365" s="29" t="n">
        <v>4622.05216</v>
      </c>
      <c r="R365" s="29" t="n">
        <v>4670.06982</v>
      </c>
      <c r="S365" s="29" t="n">
        <v>4645.88621</v>
      </c>
      <c r="V365" s="29" t="n">
        <v>4589.40697</v>
      </c>
      <c r="AB365" s="29" t="n">
        <v>4518.50828</v>
      </c>
      <c r="AC365" s="29" t="n">
        <v>4519.34294</v>
      </c>
      <c r="AD365" s="29" t="n">
        <v>0</v>
      </c>
    </row>
    <row r="366" ht="14.25" customHeight="1" s="28">
      <c r="A366" s="29" t="n">
        <v>1777920301</v>
      </c>
      <c r="B366" s="29" t="inlineStr">
        <is>
          <t>XAUUSD</t>
        </is>
      </c>
      <c r="C366" s="29" t="inlineStr">
        <is>
          <t>M15</t>
        </is>
      </c>
      <c r="D366" s="29" t="n">
        <v>4516.4</v>
      </c>
      <c r="E366" s="29" t="n">
        <v>4717.79398</v>
      </c>
      <c r="F366" s="29" t="n">
        <v>4695.2428</v>
      </c>
      <c r="G366" s="29" t="n">
        <v>4518.59282</v>
      </c>
      <c r="H366" s="29" t="n">
        <v>4596.05595</v>
      </c>
      <c r="I366" s="29" t="n">
        <v>4755.40355</v>
      </c>
      <c r="J366" s="29" t="n">
        <v>4792.76972</v>
      </c>
      <c r="K366" s="29" t="n">
        <v>4769.97694</v>
      </c>
      <c r="L366" s="29" t="n">
        <v>4716.33597</v>
      </c>
      <c r="M366" s="29" t="n">
        <v>4718.85043</v>
      </c>
      <c r="N366" s="29" t="n">
        <v>4531.36057</v>
      </c>
      <c r="O366" s="29" t="n">
        <v>4556.93783</v>
      </c>
      <c r="Q366" s="29" t="n">
        <v>4622.2546</v>
      </c>
      <c r="R366" s="29" t="n">
        <v>4670.27227</v>
      </c>
      <c r="S366" s="29" t="n">
        <v>4646.08866</v>
      </c>
      <c r="V366" s="29" t="n">
        <v>4589.60941</v>
      </c>
      <c r="AB366" s="29" t="n">
        <v>4517.41568</v>
      </c>
      <c r="AC366" s="29" t="n">
        <v>4518.37931</v>
      </c>
      <c r="AD366" s="29" t="n">
        <v>0</v>
      </c>
    </row>
    <row r="367" ht="14.25" customHeight="1" s="28">
      <c r="A367" s="29" t="n">
        <v>1777921201</v>
      </c>
      <c r="B367" s="29" t="inlineStr">
        <is>
          <t>XAUUSD</t>
        </is>
      </c>
      <c r="C367" s="29" t="inlineStr">
        <is>
          <t>M15</t>
        </is>
      </c>
      <c r="D367" s="29" t="n">
        <v>4519.05</v>
      </c>
      <c r="E367" s="29" t="n">
        <v>4717.79398</v>
      </c>
      <c r="F367" s="29" t="n">
        <v>4695.2428</v>
      </c>
      <c r="G367" s="29" t="n">
        <v>4518.59282</v>
      </c>
      <c r="H367" s="29" t="n">
        <v>4596.05595</v>
      </c>
      <c r="I367" s="29" t="n">
        <v>4755.40355</v>
      </c>
      <c r="J367" s="29" t="n">
        <v>4792.76972</v>
      </c>
      <c r="K367" s="29" t="n">
        <v>4769.97694</v>
      </c>
      <c r="L367" s="29" t="n">
        <v>4716.33597</v>
      </c>
      <c r="M367" s="29" t="n">
        <v>4718.85043</v>
      </c>
      <c r="N367" s="29" t="n">
        <v>4531.36057</v>
      </c>
      <c r="O367" s="29" t="n">
        <v>4556.93783</v>
      </c>
      <c r="Q367" s="29" t="n">
        <v>4622.45705</v>
      </c>
      <c r="R367" s="29" t="n">
        <v>4670.47471</v>
      </c>
      <c r="S367" s="29" t="n">
        <v>4646.2911</v>
      </c>
      <c r="V367" s="29" t="n">
        <v>4589.81186</v>
      </c>
      <c r="AB367" s="29" t="n">
        <v>4516.69738</v>
      </c>
      <c r="AC367" s="29" t="n">
        <v>4517.53835</v>
      </c>
      <c r="AD367" s="29" t="n">
        <v>0</v>
      </c>
    </row>
    <row r="368" ht="14.25" customHeight="1" s="28">
      <c r="A368" s="29" t="n">
        <v>1777922101</v>
      </c>
      <c r="B368" s="29" t="inlineStr">
        <is>
          <t>XAUUSD</t>
        </is>
      </c>
      <c r="C368" s="29" t="inlineStr">
        <is>
          <t>M15</t>
        </is>
      </c>
      <c r="D368" s="29" t="n">
        <v>4522.42</v>
      </c>
      <c r="E368" s="29" t="n">
        <v>4717.79398</v>
      </c>
      <c r="F368" s="29" t="n">
        <v>4695.2428</v>
      </c>
      <c r="G368" s="29" t="n">
        <v>4518.59282</v>
      </c>
      <c r="H368" s="29" t="n">
        <v>4596.05595</v>
      </c>
      <c r="I368" s="29" t="n">
        <v>4755.40355</v>
      </c>
      <c r="J368" s="29" t="n">
        <v>4792.76972</v>
      </c>
      <c r="K368" s="29" t="n">
        <v>4769.97694</v>
      </c>
      <c r="L368" s="29" t="n">
        <v>4716.33597</v>
      </c>
      <c r="M368" s="29" t="n">
        <v>4718.85043</v>
      </c>
      <c r="N368" s="29" t="n">
        <v>4531.36057</v>
      </c>
      <c r="O368" s="29" t="n">
        <v>4556.93783</v>
      </c>
      <c r="Q368" s="29" t="n">
        <v>4622.6595</v>
      </c>
      <c r="R368" s="29" t="n">
        <v>4670.67716</v>
      </c>
      <c r="S368" s="29" t="n">
        <v>4646.49355</v>
      </c>
      <c r="V368" s="29" t="n">
        <v>4590.0143</v>
      </c>
      <c r="AB368" s="29" t="n">
        <v>4516.46243</v>
      </c>
      <c r="AC368" s="29" t="n">
        <v>4517.00039</v>
      </c>
      <c r="AD368" s="29" t="n">
        <v>0</v>
      </c>
    </row>
    <row r="369" ht="14.25" customHeight="1" s="28">
      <c r="A369" s="29" t="n">
        <v>1777923001</v>
      </c>
      <c r="B369" s="29" t="inlineStr">
        <is>
          <t>XAUUSD</t>
        </is>
      </c>
      <c r="C369" s="29" t="inlineStr">
        <is>
          <t>M15</t>
        </is>
      </c>
      <c r="D369" s="29" t="n">
        <v>4521.16</v>
      </c>
      <c r="E369" s="29" t="n">
        <v>4717.79398</v>
      </c>
      <c r="F369" s="29" t="n">
        <v>4695.2428</v>
      </c>
      <c r="G369" s="29" t="n">
        <v>4518.59282</v>
      </c>
      <c r="H369" s="29" t="n">
        <v>4596.05595</v>
      </c>
      <c r="I369" s="29" t="n">
        <v>4755.40355</v>
      </c>
      <c r="J369" s="29" t="n">
        <v>4792.76972</v>
      </c>
      <c r="K369" s="29" t="n">
        <v>4769.97694</v>
      </c>
      <c r="L369" s="29" t="n">
        <v>4716.33597</v>
      </c>
      <c r="M369" s="29" t="n">
        <v>4718.85043</v>
      </c>
      <c r="N369" s="29" t="n">
        <v>4531.36057</v>
      </c>
      <c r="O369" s="29" t="n">
        <v>4556.93783</v>
      </c>
      <c r="Q369" s="29" t="n">
        <v>4622.86194</v>
      </c>
      <c r="R369" s="29" t="n">
        <v>4670.87961</v>
      </c>
      <c r="S369" s="29" t="n">
        <v>4646.69599</v>
      </c>
      <c r="V369" s="29" t="n">
        <v>4590.21675</v>
      </c>
      <c r="AB369" s="29" t="n">
        <v>4516.63686</v>
      </c>
      <c r="AC369" s="29" t="n">
        <v>4516.81862</v>
      </c>
      <c r="AD369" s="29" t="n">
        <v>0</v>
      </c>
    </row>
    <row r="370" ht="14.25" customHeight="1" s="28">
      <c r="A370" s="29" t="n">
        <v>1777923901</v>
      </c>
      <c r="B370" s="29" t="inlineStr">
        <is>
          <t>XAUUSD</t>
        </is>
      </c>
      <c r="C370" s="29" t="inlineStr">
        <is>
          <t>M15</t>
        </is>
      </c>
      <c r="D370" s="29" t="n">
        <v>4517.46</v>
      </c>
      <c r="E370" s="29" t="n">
        <v>4717.79398</v>
      </c>
      <c r="F370" s="29" t="n">
        <v>4695.2428</v>
      </c>
      <c r="G370" s="29" t="n">
        <v>4518.59282</v>
      </c>
      <c r="H370" s="29" t="n">
        <v>4596.05595</v>
      </c>
      <c r="I370" s="29" t="n">
        <v>4755.40355</v>
      </c>
      <c r="J370" s="29" t="n">
        <v>4792.76972</v>
      </c>
      <c r="K370" s="29" t="n">
        <v>4769.97694</v>
      </c>
      <c r="L370" s="29" t="n">
        <v>4716.33597</v>
      </c>
      <c r="M370" s="29" t="n">
        <v>4718.85043</v>
      </c>
      <c r="N370" s="29" t="n">
        <v>4531.36057</v>
      </c>
      <c r="O370" s="29" t="n">
        <v>4556.93783</v>
      </c>
      <c r="Q370" s="29" t="n">
        <v>4623.06439</v>
      </c>
      <c r="R370" s="29" t="n">
        <v>4671.08205</v>
      </c>
      <c r="S370" s="29" t="n">
        <v>4646.89844</v>
      </c>
      <c r="V370" s="29" t="n">
        <v>4590.4192</v>
      </c>
      <c r="AB370" s="29" t="n">
        <v>4517.16653</v>
      </c>
      <c r="AC370" s="29" t="n">
        <v>4516.99258</v>
      </c>
      <c r="AD370" s="29" t="n">
        <v>1</v>
      </c>
    </row>
    <row r="371" ht="14.25" customHeight="1" s="28">
      <c r="A371" s="29" t="n">
        <v>1777924801</v>
      </c>
      <c r="B371" s="29" t="inlineStr">
        <is>
          <t>XAUUSD</t>
        </is>
      </c>
      <c r="C371" s="29" t="inlineStr">
        <is>
          <t>M15</t>
        </is>
      </c>
      <c r="D371" s="29" t="n">
        <v>4514.74</v>
      </c>
      <c r="E371" s="29" t="n">
        <v>4717.79398</v>
      </c>
      <c r="F371" s="29" t="n">
        <v>4695.2428</v>
      </c>
      <c r="G371" s="29" t="n">
        <v>4518.59282</v>
      </c>
      <c r="H371" s="29" t="n">
        <v>4596.05595</v>
      </c>
      <c r="I371" s="29" t="n">
        <v>4755.40355</v>
      </c>
      <c r="J371" s="29" t="n">
        <v>4792.76972</v>
      </c>
      <c r="K371" s="29" t="n">
        <v>4769.97694</v>
      </c>
      <c r="L371" s="29" t="n">
        <v>4716.33597</v>
      </c>
      <c r="M371" s="29" t="n">
        <v>4718.85043</v>
      </c>
      <c r="N371" s="29" t="n">
        <v>4531.36057</v>
      </c>
      <c r="O371" s="29" t="n">
        <v>4556.93783</v>
      </c>
      <c r="Q371" s="29" t="n">
        <v>4623.26683</v>
      </c>
      <c r="R371" s="29" t="n">
        <v>4671.2845</v>
      </c>
      <c r="S371" s="29" t="n">
        <v>4647.10089</v>
      </c>
      <c r="V371" s="29" t="n">
        <v>4590.62164</v>
      </c>
      <c r="AB371" s="29" t="n">
        <v>4517.98711</v>
      </c>
      <c r="AC371" s="29" t="n">
        <v>4517.48985</v>
      </c>
      <c r="AD371" s="29" t="n">
        <v>0</v>
      </c>
    </row>
    <row r="372" ht="14.25" customHeight="1" s="28">
      <c r="A372" s="29" t="n">
        <v>1777925701</v>
      </c>
      <c r="B372" s="29" t="inlineStr">
        <is>
          <t>XAUUSD</t>
        </is>
      </c>
      <c r="C372" s="29" t="inlineStr">
        <is>
          <t>M15</t>
        </is>
      </c>
      <c r="D372" s="29" t="n">
        <v>4515.21</v>
      </c>
      <c r="E372" s="29" t="n">
        <v>4717.79398</v>
      </c>
      <c r="F372" s="29" t="n">
        <v>4695.2428</v>
      </c>
      <c r="G372" s="29" t="n">
        <v>4518.59282</v>
      </c>
      <c r="H372" s="29" t="n">
        <v>4596.05595</v>
      </c>
      <c r="I372" s="29" t="n">
        <v>4755.40355</v>
      </c>
      <c r="J372" s="29" t="n">
        <v>4792.76972</v>
      </c>
      <c r="K372" s="29" t="n">
        <v>4769.97694</v>
      </c>
      <c r="L372" s="29" t="n">
        <v>4716.33597</v>
      </c>
      <c r="M372" s="29" t="n">
        <v>4718.85043</v>
      </c>
      <c r="N372" s="29" t="n">
        <v>4531.36057</v>
      </c>
      <c r="O372" s="29" t="n">
        <v>4556.93783</v>
      </c>
      <c r="Q372" s="29" t="n">
        <v>4623.46928</v>
      </c>
      <c r="R372" s="29" t="n">
        <v>4671.48694</v>
      </c>
      <c r="S372" s="29" t="n">
        <v>4647.30333</v>
      </c>
      <c r="V372" s="29" t="n">
        <v>4590.82409</v>
      </c>
      <c r="AB372" s="29" t="n">
        <v>4518.96045</v>
      </c>
      <c r="AC372" s="29" t="n">
        <v>4518.22515</v>
      </c>
      <c r="AD372" s="29" t="n">
        <v>0</v>
      </c>
    </row>
    <row r="373" ht="14.25" customHeight="1" s="28">
      <c r="A373" s="29" t="n">
        <v>1777926601</v>
      </c>
      <c r="B373" s="29" t="inlineStr">
        <is>
          <t>XAUUSD</t>
        </is>
      </c>
      <c r="C373" s="29" t="inlineStr">
        <is>
          <t>M15</t>
        </is>
      </c>
      <c r="D373" s="29" t="n">
        <v>4518.75</v>
      </c>
      <c r="E373" s="29" t="n">
        <v>4717.79398</v>
      </c>
      <c r="F373" s="29" t="n">
        <v>4695.2428</v>
      </c>
      <c r="G373" s="29" t="n">
        <v>4518.59282</v>
      </c>
      <c r="H373" s="29" t="n">
        <v>4596.05595</v>
      </c>
      <c r="I373" s="29" t="n">
        <v>4755.40355</v>
      </c>
      <c r="J373" s="29" t="n">
        <v>4792.76972</v>
      </c>
      <c r="K373" s="29" t="n">
        <v>4769.97694</v>
      </c>
      <c r="L373" s="29" t="n">
        <v>4716.33597</v>
      </c>
      <c r="M373" s="29" t="n">
        <v>4718.85043</v>
      </c>
      <c r="N373" s="29" t="n">
        <v>4531.36057</v>
      </c>
      <c r="O373" s="29" t="n">
        <v>4556.93783</v>
      </c>
      <c r="Q373" s="29" t="n">
        <v>4623.67172</v>
      </c>
      <c r="R373" s="29" t="n">
        <v>4671.68939</v>
      </c>
      <c r="S373" s="29" t="n">
        <v>4647.50578</v>
      </c>
      <c r="V373" s="29" t="n">
        <v>4591.02653</v>
      </c>
      <c r="AB373" s="29" t="n">
        <v>4519.86715</v>
      </c>
      <c r="AC373" s="29" t="n">
        <v>4519.04615</v>
      </c>
      <c r="AD373" s="29" t="n">
        <v>0</v>
      </c>
    </row>
    <row r="374" ht="14.25" customHeight="1" s="28">
      <c r="A374" s="29" t="n">
        <v>1777927501</v>
      </c>
      <c r="B374" s="29" t="inlineStr">
        <is>
          <t>XAUUSD</t>
        </is>
      </c>
      <c r="C374" s="29" t="inlineStr">
        <is>
          <t>M15</t>
        </is>
      </c>
      <c r="D374" s="29" t="n">
        <v>4523.84</v>
      </c>
      <c r="E374" s="29" t="n">
        <v>4717.79398</v>
      </c>
      <c r="F374" s="29" t="n">
        <v>4695.2428</v>
      </c>
      <c r="G374" s="29" t="n">
        <v>4518.59282</v>
      </c>
      <c r="H374" s="29" t="n">
        <v>4596.05595</v>
      </c>
      <c r="I374" s="29" t="n">
        <v>4755.40355</v>
      </c>
      <c r="J374" s="29" t="n">
        <v>4792.76972</v>
      </c>
      <c r="K374" s="29" t="n">
        <v>4769.97694</v>
      </c>
      <c r="L374" s="29" t="n">
        <v>4716.33597</v>
      </c>
      <c r="M374" s="29" t="n">
        <v>4718.85043</v>
      </c>
      <c r="N374" s="29" t="n">
        <v>4531.36057</v>
      </c>
      <c r="O374" s="29" t="n">
        <v>4556.93783</v>
      </c>
      <c r="Q374" s="29" t="n">
        <v>4623.87417</v>
      </c>
      <c r="R374" s="29" t="n">
        <v>4671.89183</v>
      </c>
      <c r="S374" s="29" t="n">
        <v>4647.70822</v>
      </c>
      <c r="V374" s="29" t="n">
        <v>4591.22898</v>
      </c>
      <c r="AB374" s="29" t="n">
        <v>4520.45224</v>
      </c>
      <c r="AC374" s="29" t="n">
        <v>4519.74919</v>
      </c>
      <c r="AD374" s="29" t="n">
        <v>0</v>
      </c>
    </row>
    <row r="375" ht="14.25" customHeight="1" s="28">
      <c r="A375" s="29" t="n">
        <v>1777932001</v>
      </c>
      <c r="B375" s="29" t="inlineStr">
        <is>
          <t>XAUUSD</t>
        </is>
      </c>
      <c r="C375" s="29" t="inlineStr">
        <is>
          <t>M15</t>
        </is>
      </c>
      <c r="D375" s="29" t="n">
        <v>4521.1</v>
      </c>
      <c r="E375" s="29" t="n">
        <v>4717.79398</v>
      </c>
      <c r="F375" s="29" t="n">
        <v>4695.2428</v>
      </c>
      <c r="G375" s="29" t="n">
        <v>4518.59282</v>
      </c>
      <c r="H375" s="29" t="n">
        <v>4596.05595</v>
      </c>
      <c r="I375" s="29" t="n">
        <v>4755.40355</v>
      </c>
      <c r="J375" s="29" t="n">
        <v>4792.76972</v>
      </c>
      <c r="K375" s="29" t="n">
        <v>4769.97694</v>
      </c>
      <c r="L375" s="29" t="n">
        <v>4716.33597</v>
      </c>
      <c r="M375" s="29" t="n">
        <v>4718.85043</v>
      </c>
      <c r="N375" s="29" t="n">
        <v>4531.36057</v>
      </c>
      <c r="O375" s="29" t="n">
        <v>4556.93783</v>
      </c>
      <c r="Q375" s="29" t="n">
        <v>4624.07662</v>
      </c>
      <c r="R375" s="29" t="n">
        <v>4672.09428</v>
      </c>
      <c r="S375" s="29" t="n">
        <v>4647.91067</v>
      </c>
      <c r="V375" s="29" t="n">
        <v>4591.43142</v>
      </c>
      <c r="AB375" s="29" t="n">
        <v>4520.53403</v>
      </c>
      <c r="AC375" s="29" t="n">
        <v>4520.14161</v>
      </c>
      <c r="AD375" s="29" t="n">
        <v>0</v>
      </c>
    </row>
    <row r="376" ht="14.25" customHeight="1" s="28">
      <c r="A376" s="29" t="n">
        <v>1777932901</v>
      </c>
      <c r="B376" s="29" t="inlineStr">
        <is>
          <t>XAUUSD</t>
        </is>
      </c>
      <c r="C376" s="29" t="inlineStr">
        <is>
          <t>M15</t>
        </is>
      </c>
      <c r="D376" s="29" t="n">
        <v>4519.66</v>
      </c>
      <c r="E376" s="29" t="n">
        <v>4717.79398</v>
      </c>
      <c r="F376" s="29" t="n">
        <v>4695.2428</v>
      </c>
      <c r="G376" s="29" t="n">
        <v>4518.59282</v>
      </c>
      <c r="H376" s="29" t="n">
        <v>4596.05595</v>
      </c>
      <c r="I376" s="29" t="n">
        <v>4755.40355</v>
      </c>
      <c r="J376" s="29" t="n">
        <v>4792.76972</v>
      </c>
      <c r="K376" s="29" t="n">
        <v>4769.97694</v>
      </c>
      <c r="L376" s="29" t="n">
        <v>4716.33597</v>
      </c>
      <c r="M376" s="29" t="n">
        <v>4718.85043</v>
      </c>
      <c r="N376" s="29" t="n">
        <v>4531.36057</v>
      </c>
      <c r="O376" s="29" t="n">
        <v>4556.93783</v>
      </c>
      <c r="Q376" s="29" t="n">
        <v>4624.27906</v>
      </c>
      <c r="R376" s="29" t="n">
        <v>4672.29673</v>
      </c>
      <c r="S376" s="29" t="n">
        <v>4648.11311</v>
      </c>
      <c r="V376" s="29" t="n">
        <v>4591.63387</v>
      </c>
      <c r="AB376" s="29" t="n">
        <v>4520.23738</v>
      </c>
      <c r="AC376" s="29" t="n">
        <v>4520.1895</v>
      </c>
      <c r="AD376" s="29" t="n">
        <v>0</v>
      </c>
    </row>
    <row r="377" ht="14.25" customHeight="1" s="28">
      <c r="A377" s="29" t="n">
        <v>1777933801</v>
      </c>
      <c r="B377" s="29" t="inlineStr">
        <is>
          <t>XAUUSD</t>
        </is>
      </c>
      <c r="C377" s="29" t="inlineStr">
        <is>
          <t>M15</t>
        </is>
      </c>
      <c r="D377" s="29" t="n">
        <v>4519.02</v>
      </c>
      <c r="E377" s="29" t="n">
        <v>4717.79398</v>
      </c>
      <c r="F377" s="29" t="n">
        <v>4695.2428</v>
      </c>
      <c r="G377" s="29" t="n">
        <v>4518.59282</v>
      </c>
      <c r="H377" s="29" t="n">
        <v>4596.05595</v>
      </c>
      <c r="I377" s="29" t="n">
        <v>4755.40355</v>
      </c>
      <c r="J377" s="29" t="n">
        <v>4792.76972</v>
      </c>
      <c r="K377" s="29" t="n">
        <v>4769.97694</v>
      </c>
      <c r="L377" s="29" t="n">
        <v>4716.33597</v>
      </c>
      <c r="M377" s="29" t="n">
        <v>4718.85043</v>
      </c>
      <c r="N377" s="29" t="n">
        <v>4531.36057</v>
      </c>
      <c r="O377" s="29" t="n">
        <v>4556.93783</v>
      </c>
      <c r="Q377" s="29" t="n">
        <v>4624.48151</v>
      </c>
      <c r="R377" s="29" t="n">
        <v>4672.49917</v>
      </c>
      <c r="S377" s="29" t="n">
        <v>4648.31556</v>
      </c>
      <c r="V377" s="29" t="n">
        <v>4591.83632</v>
      </c>
      <c r="AB377" s="29" t="n">
        <v>4519.7573</v>
      </c>
      <c r="AC377" s="29" t="n">
        <v>4519.9734</v>
      </c>
      <c r="AD377" s="29" t="n">
        <v>1</v>
      </c>
    </row>
    <row r="378" ht="14.25" customHeight="1" s="28">
      <c r="A378" s="29" t="n">
        <v>1777934701</v>
      </c>
      <c r="B378" s="29" t="inlineStr">
        <is>
          <t>XAUUSD</t>
        </is>
      </c>
      <c r="C378" s="29" t="inlineStr">
        <is>
          <t>M15</t>
        </is>
      </c>
      <c r="D378" s="29" t="n">
        <v>4517.52</v>
      </c>
      <c r="E378" s="29" t="n">
        <v>4717.79398</v>
      </c>
      <c r="F378" s="29" t="n">
        <v>4695.2428</v>
      </c>
      <c r="G378" s="29" t="n">
        <v>4518.59282</v>
      </c>
      <c r="H378" s="29" t="n">
        <v>4596.05595</v>
      </c>
      <c r="I378" s="29" t="n">
        <v>4755.40355</v>
      </c>
      <c r="J378" s="29" t="n">
        <v>4792.76972</v>
      </c>
      <c r="K378" s="29" t="n">
        <v>4769.97694</v>
      </c>
      <c r="L378" s="29" t="n">
        <v>4716.33597</v>
      </c>
      <c r="M378" s="29" t="n">
        <v>4718.85043</v>
      </c>
      <c r="N378" s="29" t="n">
        <v>4531.36057</v>
      </c>
      <c r="O378" s="29" t="n">
        <v>4556.93783</v>
      </c>
      <c r="Q378" s="29" t="n">
        <v>4624.68395</v>
      </c>
      <c r="R378" s="29" t="n">
        <v>4672.70162</v>
      </c>
      <c r="S378" s="29" t="n">
        <v>4648.518</v>
      </c>
      <c r="V378" s="29" t="n">
        <v>4592.03876</v>
      </c>
      <c r="AB378" s="29" t="n">
        <v>4519.30251</v>
      </c>
      <c r="AC378" s="29" t="n">
        <v>4519.63796</v>
      </c>
      <c r="AD378" s="29" t="n">
        <v>0</v>
      </c>
    </row>
    <row r="379" ht="14.25" customHeight="1" s="28">
      <c r="A379" s="29" t="n">
        <v>1777935601</v>
      </c>
      <c r="B379" s="29" t="inlineStr">
        <is>
          <t>XAUUSD</t>
        </is>
      </c>
      <c r="C379" s="29" t="inlineStr">
        <is>
          <t>M15</t>
        </is>
      </c>
      <c r="D379" s="29" t="n">
        <v>4520.44</v>
      </c>
      <c r="E379" s="29" t="n">
        <v>4717.79398</v>
      </c>
      <c r="F379" s="29" t="n">
        <v>4695.2428</v>
      </c>
      <c r="G379" s="29" t="n">
        <v>4518.59282</v>
      </c>
      <c r="H379" s="29" t="n">
        <v>4596.05595</v>
      </c>
      <c r="I379" s="29" t="n">
        <v>4755.40355</v>
      </c>
      <c r="J379" s="29" t="n">
        <v>4792.76972</v>
      </c>
      <c r="K379" s="29" t="n">
        <v>4769.97694</v>
      </c>
      <c r="L379" s="29" t="n">
        <v>4716.33597</v>
      </c>
      <c r="M379" s="29" t="n">
        <v>4718.85043</v>
      </c>
      <c r="N379" s="29" t="n">
        <v>4531.36057</v>
      </c>
      <c r="O379" s="29" t="n">
        <v>4556.93783</v>
      </c>
      <c r="Q379" s="29" t="n">
        <v>4624.8864</v>
      </c>
      <c r="R379" s="29" t="n">
        <v>4672.90406</v>
      </c>
      <c r="S379" s="29" t="n">
        <v>4648.72045</v>
      </c>
      <c r="V379" s="29" t="n">
        <v>4592.24121</v>
      </c>
      <c r="AB379" s="29" t="n">
        <v>4519.06874</v>
      </c>
      <c r="AC379" s="29" t="n">
        <v>4519.35335</v>
      </c>
      <c r="AD379" s="29" t="n">
        <v>0</v>
      </c>
    </row>
    <row r="380" ht="14.25" customHeight="1" s="28">
      <c r="A380" s="29" t="n">
        <v>1777936501</v>
      </c>
      <c r="B380" s="29" t="inlineStr">
        <is>
          <t>XAUUSD</t>
        </is>
      </c>
      <c r="C380" s="29" t="inlineStr">
        <is>
          <t>M15</t>
        </is>
      </c>
      <c r="D380" s="29" t="n">
        <v>4521.13</v>
      </c>
      <c r="E380" s="29" t="n">
        <v>4717.79398</v>
      </c>
      <c r="F380" s="29" t="n">
        <v>4695.2428</v>
      </c>
      <c r="G380" s="29" t="n">
        <v>4518.59282</v>
      </c>
      <c r="H380" s="29" t="n">
        <v>4596.05595</v>
      </c>
      <c r="I380" s="29" t="n">
        <v>4755.40355</v>
      </c>
      <c r="J380" s="29" t="n">
        <v>4792.76972</v>
      </c>
      <c r="K380" s="29" t="n">
        <v>4769.97694</v>
      </c>
      <c r="L380" s="29" t="n">
        <v>4716.33597</v>
      </c>
      <c r="M380" s="29" t="n">
        <v>4718.85043</v>
      </c>
      <c r="N380" s="29" t="n">
        <v>4531.36057</v>
      </c>
      <c r="O380" s="29" t="n">
        <v>4556.93783</v>
      </c>
      <c r="Q380" s="29" t="n">
        <v>4625.08884</v>
      </c>
      <c r="R380" s="29" t="n">
        <v>4673.10651</v>
      </c>
      <c r="S380" s="29" t="n">
        <v>4648.9229</v>
      </c>
      <c r="V380" s="29" t="n">
        <v>4592.44365</v>
      </c>
      <c r="AB380" s="29" t="n">
        <v>4519.0811</v>
      </c>
      <c r="AC380" s="29" t="n">
        <v>4519.21723</v>
      </c>
      <c r="AD380" s="29" t="n">
        <v>0</v>
      </c>
    </row>
    <row r="381" ht="14.25" customHeight="1" s="28">
      <c r="A381" s="29" t="n">
        <v>1777937401</v>
      </c>
      <c r="B381" s="29" t="inlineStr">
        <is>
          <t>XAUUSD</t>
        </is>
      </c>
      <c r="C381" s="29" t="inlineStr">
        <is>
          <t>M15</t>
        </is>
      </c>
      <c r="D381" s="29" t="n">
        <v>4518.52</v>
      </c>
      <c r="E381" s="29" t="n">
        <v>4717.79398</v>
      </c>
      <c r="F381" s="29" t="n">
        <v>4695.2428</v>
      </c>
      <c r="G381" s="29" t="n">
        <v>4518.59282</v>
      </c>
      <c r="H381" s="29" t="n">
        <v>4596.05595</v>
      </c>
      <c r="I381" s="29" t="n">
        <v>4755.40355</v>
      </c>
      <c r="J381" s="29" t="n">
        <v>4792.76972</v>
      </c>
      <c r="K381" s="29" t="n">
        <v>4769.97694</v>
      </c>
      <c r="L381" s="29" t="n">
        <v>4716.33597</v>
      </c>
      <c r="M381" s="29" t="n">
        <v>4718.85043</v>
      </c>
      <c r="N381" s="29" t="n">
        <v>4531.36057</v>
      </c>
      <c r="O381" s="29" t="n">
        <v>4556.93783</v>
      </c>
      <c r="Q381" s="29" t="n">
        <v>4625.29129</v>
      </c>
      <c r="R381" s="29" t="n">
        <v>4673.30895</v>
      </c>
      <c r="S381" s="29" t="n">
        <v>4649.12534</v>
      </c>
      <c r="V381" s="29" t="n">
        <v>4592.6461</v>
      </c>
      <c r="AB381" s="29" t="n">
        <v>4519.44966</v>
      </c>
      <c r="AC381" s="29" t="n">
        <v>4519.33344</v>
      </c>
      <c r="AD381" s="29" t="n">
        <v>1</v>
      </c>
    </row>
    <row r="382" ht="14.25" customHeight="1" s="28">
      <c r="A382" s="29" t="n">
        <v>1777938301</v>
      </c>
      <c r="B382" s="29" t="inlineStr">
        <is>
          <t>XAUUSD</t>
        </is>
      </c>
      <c r="C382" s="29" t="inlineStr">
        <is>
          <t>M15</t>
        </is>
      </c>
      <c r="D382" s="29" t="n">
        <v>4519.04</v>
      </c>
      <c r="E382" s="29" t="n">
        <v>4717.79398</v>
      </c>
      <c r="F382" s="29" t="n">
        <v>4695.2428</v>
      </c>
      <c r="G382" s="29" t="n">
        <v>4518.59282</v>
      </c>
      <c r="H382" s="29" t="n">
        <v>4596.05595</v>
      </c>
      <c r="I382" s="29" t="n">
        <v>4755.40355</v>
      </c>
      <c r="J382" s="29" t="n">
        <v>4792.76972</v>
      </c>
      <c r="K382" s="29" t="n">
        <v>4769.97694</v>
      </c>
      <c r="L382" s="29" t="n">
        <v>4716.33597</v>
      </c>
      <c r="M382" s="29" t="n">
        <v>4718.85043</v>
      </c>
      <c r="N382" s="29" t="n">
        <v>4531.36057</v>
      </c>
      <c r="O382" s="29" t="n">
        <v>4556.93783</v>
      </c>
      <c r="Q382" s="29" t="n">
        <v>4625.49374</v>
      </c>
      <c r="R382" s="29" t="n">
        <v>4673.5114</v>
      </c>
      <c r="S382" s="29" t="n">
        <v>4649.32779</v>
      </c>
      <c r="V382" s="29" t="n">
        <v>4592.84854</v>
      </c>
      <c r="AB382" s="29" t="n">
        <v>4520.35726</v>
      </c>
      <c r="AC382" s="29" t="n">
        <v>4519.84535</v>
      </c>
      <c r="AD382" s="29" t="n">
        <v>0</v>
      </c>
    </row>
    <row r="383" ht="14.25" customHeight="1" s="28">
      <c r="A383" s="29" t="n">
        <v>1777939201</v>
      </c>
      <c r="B383" s="29" t="inlineStr">
        <is>
          <t>XAUUSD</t>
        </is>
      </c>
      <c r="C383" s="29" t="inlineStr">
        <is>
          <t>M15</t>
        </is>
      </c>
      <c r="D383" s="29" t="n">
        <v>4527.77</v>
      </c>
      <c r="E383" s="29" t="n">
        <v>4717.79398</v>
      </c>
      <c r="F383" s="29" t="n">
        <v>4695.2428</v>
      </c>
      <c r="G383" s="29" t="n">
        <v>4518.59282</v>
      </c>
      <c r="H383" s="29" t="n">
        <v>4596.05595</v>
      </c>
      <c r="I383" s="29" t="n">
        <v>4755.40355</v>
      </c>
      <c r="J383" s="29" t="n">
        <v>4792.76972</v>
      </c>
      <c r="K383" s="29" t="n">
        <v>4769.97694</v>
      </c>
      <c r="L383" s="29" t="n">
        <v>4716.33597</v>
      </c>
      <c r="M383" s="29" t="n">
        <v>4718.85043</v>
      </c>
      <c r="N383" s="29" t="n">
        <v>4531.36057</v>
      </c>
      <c r="O383" s="29" t="n">
        <v>4556.93783</v>
      </c>
      <c r="Q383" s="29" t="n">
        <v>4625.69618</v>
      </c>
      <c r="R383" s="29" t="n">
        <v>4673.71385</v>
      </c>
      <c r="S383" s="29" t="n">
        <v>4649.53023</v>
      </c>
      <c r="V383" s="29" t="n">
        <v>4593.05099</v>
      </c>
      <c r="AB383" s="29" t="n">
        <v>4521.88741</v>
      </c>
      <c r="AC383" s="29" t="n">
        <v>4520.86638</v>
      </c>
      <c r="AD383" s="29" t="n">
        <v>0</v>
      </c>
    </row>
    <row r="384" ht="14.25" customHeight="1" s="28">
      <c r="A384" s="29" t="n">
        <v>1777940101</v>
      </c>
      <c r="B384" s="29" t="inlineStr">
        <is>
          <t>XAUUSD</t>
        </is>
      </c>
      <c r="C384" s="29" t="inlineStr">
        <is>
          <t>M15</t>
        </is>
      </c>
      <c r="D384" s="29" t="n">
        <v>4517.12</v>
      </c>
      <c r="E384" s="29" t="n">
        <v>4717.79398</v>
      </c>
      <c r="F384" s="29" t="n">
        <v>4695.2428</v>
      </c>
      <c r="G384" s="29" t="n">
        <v>4518.59282</v>
      </c>
      <c r="H384" s="29" t="n">
        <v>4596.05595</v>
      </c>
      <c r="I384" s="29" t="n">
        <v>4755.40355</v>
      </c>
      <c r="J384" s="29" t="n">
        <v>4792.76972</v>
      </c>
      <c r="K384" s="29" t="n">
        <v>4769.97694</v>
      </c>
      <c r="L384" s="29" t="n">
        <v>4716.33597</v>
      </c>
      <c r="M384" s="29" t="n">
        <v>4718.85043</v>
      </c>
      <c r="N384" s="29" t="n">
        <v>4531.36057</v>
      </c>
      <c r="O384" s="29" t="n">
        <v>4556.93783</v>
      </c>
      <c r="Q384" s="29" t="n">
        <v>4625.89863</v>
      </c>
      <c r="R384" s="29" t="n">
        <v>4673.91629</v>
      </c>
      <c r="S384" s="29" t="n">
        <v>4649.73268</v>
      </c>
      <c r="V384" s="29" t="n">
        <v>4593.25344</v>
      </c>
      <c r="AB384" s="29" t="n">
        <v>4523.83946</v>
      </c>
      <c r="AC384" s="29" t="n">
        <v>4522.35292</v>
      </c>
      <c r="AD384" s="29" t="n">
        <v>0</v>
      </c>
    </row>
    <row r="385" ht="14.25" customHeight="1" s="28">
      <c r="A385" s="29" t="n">
        <v>1777941001</v>
      </c>
      <c r="B385" s="29" t="inlineStr">
        <is>
          <t>XAUUSD</t>
        </is>
      </c>
      <c r="C385" s="29" t="inlineStr">
        <is>
          <t>M15</t>
        </is>
      </c>
      <c r="D385" s="29" t="n">
        <v>4523.87</v>
      </c>
      <c r="E385" s="29" t="n">
        <v>4717.79398</v>
      </c>
      <c r="F385" s="29" t="n">
        <v>4695.2428</v>
      </c>
      <c r="G385" s="29" t="n">
        <v>4518.59282</v>
      </c>
      <c r="H385" s="29" t="n">
        <v>4596.05595</v>
      </c>
      <c r="I385" s="29" t="n">
        <v>4755.40355</v>
      </c>
      <c r="J385" s="29" t="n">
        <v>4792.76972</v>
      </c>
      <c r="K385" s="29" t="n">
        <v>4769.97694</v>
      </c>
      <c r="L385" s="29" t="n">
        <v>4716.33597</v>
      </c>
      <c r="M385" s="29" t="n">
        <v>4718.85043</v>
      </c>
      <c r="N385" s="29" t="n">
        <v>4531.36057</v>
      </c>
      <c r="O385" s="29" t="n">
        <v>4556.93783</v>
      </c>
      <c r="Q385" s="29" t="n">
        <v>4626.10107</v>
      </c>
      <c r="R385" s="29" t="n">
        <v>4674.11874</v>
      </c>
      <c r="S385" s="29" t="n">
        <v>4649.93512</v>
      </c>
      <c r="V385" s="29" t="n">
        <v>4593.45588</v>
      </c>
      <c r="AB385" s="29" t="n">
        <v>4526.53491</v>
      </c>
      <c r="AC385" s="29" t="n">
        <v>4524.44392</v>
      </c>
      <c r="AD385" s="29" t="n">
        <v>0</v>
      </c>
    </row>
    <row r="386" ht="14.25" customHeight="1" s="28">
      <c r="A386" s="29" t="n">
        <v>1777941901</v>
      </c>
      <c r="B386" s="29" t="inlineStr">
        <is>
          <t>XAUUSD</t>
        </is>
      </c>
      <c r="C386" s="29" t="inlineStr">
        <is>
          <t>M15</t>
        </is>
      </c>
      <c r="D386" s="29" t="n">
        <v>4530.12</v>
      </c>
      <c r="E386" s="29" t="n">
        <v>4717.79398</v>
      </c>
      <c r="F386" s="29" t="n">
        <v>4695.2428</v>
      </c>
      <c r="G386" s="29" t="n">
        <v>4518.59282</v>
      </c>
      <c r="H386" s="29" t="n">
        <v>4596.05595</v>
      </c>
      <c r="I386" s="29" t="n">
        <v>4755.40355</v>
      </c>
      <c r="J386" s="29" t="n">
        <v>4792.76972</v>
      </c>
      <c r="K386" s="29" t="n">
        <v>4769.97694</v>
      </c>
      <c r="L386" s="29" t="n">
        <v>4716.33597</v>
      </c>
      <c r="M386" s="29" t="n">
        <v>4718.85043</v>
      </c>
      <c r="N386" s="29" t="n">
        <v>4531.36057</v>
      </c>
      <c r="O386" s="29" t="n">
        <v>4556.93783</v>
      </c>
      <c r="Q386" s="29" t="n">
        <v>4626.30352</v>
      </c>
      <c r="R386" s="29" t="n">
        <v>4674.32118</v>
      </c>
      <c r="S386" s="29" t="n">
        <v>4650.13757</v>
      </c>
      <c r="V386" s="29" t="n">
        <v>4593.65833</v>
      </c>
      <c r="AB386" s="29" t="n">
        <v>4529.72044</v>
      </c>
      <c r="AC386" s="29" t="n">
        <v>4527.08218</v>
      </c>
      <c r="AD386" s="29" t="n">
        <v>0</v>
      </c>
    </row>
    <row r="387" ht="14.25" customHeight="1" s="28">
      <c r="A387" s="29" t="n">
        <v>1777942801</v>
      </c>
      <c r="B387" s="29" t="inlineStr">
        <is>
          <t>XAUUSD</t>
        </is>
      </c>
      <c r="C387" s="29" t="inlineStr">
        <is>
          <t>M15</t>
        </is>
      </c>
      <c r="D387" s="29" t="n">
        <v>4538.86</v>
      </c>
      <c r="E387" s="29" t="n">
        <v>4717.79398</v>
      </c>
      <c r="F387" s="29" t="n">
        <v>4695.2428</v>
      </c>
      <c r="G387" s="29" t="n">
        <v>4518.59282</v>
      </c>
      <c r="H387" s="29" t="n">
        <v>4596.05595</v>
      </c>
      <c r="I387" s="29" t="n">
        <v>4755.40355</v>
      </c>
      <c r="J387" s="29" t="n">
        <v>4792.76972</v>
      </c>
      <c r="K387" s="29" t="n">
        <v>4769.97694</v>
      </c>
      <c r="L387" s="29" t="n">
        <v>4716.33597</v>
      </c>
      <c r="M387" s="29" t="n">
        <v>4718.85043</v>
      </c>
      <c r="N387" s="29" t="n">
        <v>4531.36057</v>
      </c>
      <c r="O387" s="29" t="n">
        <v>4556.93783</v>
      </c>
      <c r="Q387" s="29" t="n">
        <v>4626.50596</v>
      </c>
      <c r="R387" s="29" t="n">
        <v>4674.52363</v>
      </c>
      <c r="S387" s="29" t="n">
        <v>4650.34002</v>
      </c>
      <c r="V387" s="29" t="n">
        <v>4593.86077</v>
      </c>
      <c r="AB387" s="29" t="n">
        <v>4533.05746</v>
      </c>
      <c r="AC387" s="29" t="n">
        <v>4530.06982</v>
      </c>
      <c r="AD387" s="29" t="n">
        <v>0</v>
      </c>
    </row>
    <row r="388" ht="14.25" customHeight="1" s="28">
      <c r="A388" s="29" t="n">
        <v>1777943701</v>
      </c>
      <c r="B388" s="29" t="inlineStr">
        <is>
          <t>XAUUSD</t>
        </is>
      </c>
      <c r="C388" s="29" t="inlineStr">
        <is>
          <t>M15</t>
        </is>
      </c>
      <c r="D388" s="29" t="n">
        <v>4537.8</v>
      </c>
      <c r="E388" s="29" t="n">
        <v>4717.79398</v>
      </c>
      <c r="F388" s="29" t="n">
        <v>4695.2428</v>
      </c>
      <c r="G388" s="29" t="n">
        <v>4518.59282</v>
      </c>
      <c r="H388" s="29" t="n">
        <v>4596.05595</v>
      </c>
      <c r="I388" s="29" t="n">
        <v>4755.40355</v>
      </c>
      <c r="J388" s="29" t="n">
        <v>4792.76972</v>
      </c>
      <c r="K388" s="29" t="n">
        <v>4769.97694</v>
      </c>
      <c r="L388" s="29" t="n">
        <v>4716.33597</v>
      </c>
      <c r="M388" s="29" t="n">
        <v>4718.85043</v>
      </c>
      <c r="N388" s="29" t="n">
        <v>4531.36057</v>
      </c>
      <c r="O388" s="29" t="n">
        <v>4556.93783</v>
      </c>
      <c r="Q388" s="29" t="n">
        <v>4626.70841</v>
      </c>
      <c r="R388" s="29" t="n">
        <v>4674.72607</v>
      </c>
      <c r="S388" s="29" t="n">
        <v>4650.54246</v>
      </c>
      <c r="V388" s="29" t="n">
        <v>4594.06322</v>
      </c>
      <c r="AB388" s="29" t="n">
        <v>4536.1219</v>
      </c>
      <c r="AC388" s="29" t="n">
        <v>4533.09586</v>
      </c>
      <c r="AD388" s="29" t="n">
        <v>0</v>
      </c>
    </row>
    <row r="389" ht="14.25" customHeight="1" s="28">
      <c r="A389" s="29" t="n">
        <v>1777944601</v>
      </c>
      <c r="B389" s="29" t="inlineStr">
        <is>
          <t>XAUUSD</t>
        </is>
      </c>
      <c r="C389" s="29" t="inlineStr">
        <is>
          <t>M15</t>
        </is>
      </c>
      <c r="D389" s="29" t="n">
        <v>4536.92</v>
      </c>
      <c r="E389" s="29" t="n">
        <v>4717.79398</v>
      </c>
      <c r="F389" s="29" t="n">
        <v>4695.2428</v>
      </c>
      <c r="G389" s="29" t="n">
        <v>4518.59282</v>
      </c>
      <c r="H389" s="29" t="n">
        <v>4596.05595</v>
      </c>
      <c r="I389" s="29" t="n">
        <v>4755.40355</v>
      </c>
      <c r="J389" s="29" t="n">
        <v>4792.76972</v>
      </c>
      <c r="K389" s="29" t="n">
        <v>4769.97694</v>
      </c>
      <c r="L389" s="29" t="n">
        <v>4716.33597</v>
      </c>
      <c r="M389" s="29" t="n">
        <v>4718.85043</v>
      </c>
      <c r="N389" s="29" t="n">
        <v>4531.36057</v>
      </c>
      <c r="O389" s="29" t="n">
        <v>4556.93783</v>
      </c>
      <c r="Q389" s="29" t="n">
        <v>4626.91086</v>
      </c>
      <c r="R389" s="29" t="n">
        <v>4674.92852</v>
      </c>
      <c r="S389" s="29" t="n">
        <v>4650.74491</v>
      </c>
      <c r="V389" s="29" t="n">
        <v>4594.26566</v>
      </c>
      <c r="AB389" s="29" t="n">
        <v>4538.75609</v>
      </c>
      <c r="AC389" s="29" t="n">
        <v>4535.92597</v>
      </c>
      <c r="AD389" s="29" t="n">
        <v>0</v>
      </c>
    </row>
    <row r="390" ht="14.25" customHeight="1" s="28">
      <c r="A390" s="29" t="n">
        <v>1777945501</v>
      </c>
      <c r="B390" s="29" t="inlineStr">
        <is>
          <t>XAUUSD</t>
        </is>
      </c>
      <c r="C390" s="29" t="inlineStr">
        <is>
          <t>M15</t>
        </is>
      </c>
      <c r="D390" s="29" t="n">
        <v>4541.02</v>
      </c>
      <c r="E390" s="29" t="n">
        <v>4717.79398</v>
      </c>
      <c r="F390" s="29" t="n">
        <v>4695.2428</v>
      </c>
      <c r="G390" s="29" t="n">
        <v>4518.59282</v>
      </c>
      <c r="H390" s="29" t="n">
        <v>4596.05595</v>
      </c>
      <c r="I390" s="29" t="n">
        <v>4755.40355</v>
      </c>
      <c r="J390" s="29" t="n">
        <v>4792.76972</v>
      </c>
      <c r="K390" s="29" t="n">
        <v>4769.97694</v>
      </c>
      <c r="L390" s="29" t="n">
        <v>4716.33597</v>
      </c>
      <c r="M390" s="29" t="n">
        <v>4718.85043</v>
      </c>
      <c r="N390" s="29" t="n">
        <v>4531.36057</v>
      </c>
      <c r="O390" s="29" t="n">
        <v>4556.93783</v>
      </c>
      <c r="Q390" s="29" t="n">
        <v>4627.1133</v>
      </c>
      <c r="R390" s="29" t="n">
        <v>4675.13097</v>
      </c>
      <c r="S390" s="29" t="n">
        <v>4650.94735</v>
      </c>
      <c r="V390" s="29" t="n">
        <v>4594.46811</v>
      </c>
      <c r="AB390" s="29" t="n">
        <v>4540.81753</v>
      </c>
      <c r="AC390" s="29" t="n">
        <v>4538.37175</v>
      </c>
      <c r="AD390" s="29" t="n">
        <v>0</v>
      </c>
    </row>
    <row r="391" ht="14.25" customHeight="1" s="28">
      <c r="A391" s="29" t="n">
        <v>1777946401</v>
      </c>
      <c r="B391" s="29" t="inlineStr">
        <is>
          <t>XAUUSD</t>
        </is>
      </c>
      <c r="C391" s="29" t="inlineStr">
        <is>
          <t>M15</t>
        </is>
      </c>
      <c r="D391" s="29" t="n">
        <v>4538.55</v>
      </c>
      <c r="E391" s="29" t="n">
        <v>4717.79398</v>
      </c>
      <c r="F391" s="29" t="n">
        <v>4695.2428</v>
      </c>
      <c r="G391" s="29" t="n">
        <v>4518.59282</v>
      </c>
      <c r="H391" s="29" t="n">
        <v>4596.05595</v>
      </c>
      <c r="I391" s="29" t="n">
        <v>4755.40355</v>
      </c>
      <c r="J391" s="29" t="n">
        <v>4792.76972</v>
      </c>
      <c r="K391" s="29" t="n">
        <v>4769.97694</v>
      </c>
      <c r="L391" s="29" t="n">
        <v>4716.33597</v>
      </c>
      <c r="M391" s="29" t="n">
        <v>4718.85043</v>
      </c>
      <c r="N391" s="29" t="n">
        <v>4531.36057</v>
      </c>
      <c r="O391" s="29" t="n">
        <v>4556.93783</v>
      </c>
      <c r="Q391" s="29" t="n">
        <v>4627.31575</v>
      </c>
      <c r="R391" s="29" t="n">
        <v>4675.33341</v>
      </c>
      <c r="S391" s="29" t="n">
        <v>4651.1498</v>
      </c>
      <c r="V391" s="29" t="n">
        <v>4594.67056</v>
      </c>
      <c r="AB391" s="29" t="n">
        <v>4542.08799</v>
      </c>
      <c r="AC391" s="29" t="n">
        <v>4540.22987</v>
      </c>
      <c r="AD391" s="29" t="n">
        <v>0</v>
      </c>
    </row>
    <row r="392" ht="14.25" customHeight="1" s="28">
      <c r="A392" s="29" t="n">
        <v>1777947301</v>
      </c>
      <c r="B392" s="29" t="inlineStr">
        <is>
          <t>XAUUSD</t>
        </is>
      </c>
      <c r="C392" s="29" t="inlineStr">
        <is>
          <t>M15</t>
        </is>
      </c>
      <c r="D392" s="29" t="n">
        <v>4541.49</v>
      </c>
      <c r="E392" s="29" t="n">
        <v>4717.79398</v>
      </c>
      <c r="F392" s="29" t="n">
        <v>4695.2428</v>
      </c>
      <c r="G392" s="29" t="n">
        <v>4518.59282</v>
      </c>
      <c r="H392" s="29" t="n">
        <v>4596.05595</v>
      </c>
      <c r="I392" s="29" t="n">
        <v>4755.40355</v>
      </c>
      <c r="J392" s="29" t="n">
        <v>4792.76972</v>
      </c>
      <c r="K392" s="29" t="n">
        <v>4769.97694</v>
      </c>
      <c r="L392" s="29" t="n">
        <v>4716.33597</v>
      </c>
      <c r="M392" s="29" t="n">
        <v>4718.85043</v>
      </c>
      <c r="N392" s="29" t="n">
        <v>4531.36057</v>
      </c>
      <c r="O392" s="29" t="n">
        <v>4556.93783</v>
      </c>
      <c r="Q392" s="29" t="n">
        <v>4627.51819</v>
      </c>
      <c r="R392" s="29" t="n">
        <v>4675.53586</v>
      </c>
      <c r="S392" s="29" t="n">
        <v>4651.35224</v>
      </c>
      <c r="V392" s="29" t="n">
        <v>4594.873</v>
      </c>
      <c r="AB392" s="29" t="n">
        <v>4542.56935</v>
      </c>
      <c r="AC392" s="29" t="n">
        <v>4541.39961</v>
      </c>
      <c r="AD392" s="29" t="n">
        <v>0</v>
      </c>
    </row>
    <row r="393" ht="14.25" customHeight="1" s="28">
      <c r="A393" s="29" t="n">
        <v>1777948201</v>
      </c>
      <c r="B393" s="29" t="inlineStr">
        <is>
          <t>XAUUSD</t>
        </is>
      </c>
      <c r="C393" s="29" t="inlineStr">
        <is>
          <t>M15</t>
        </is>
      </c>
      <c r="D393" s="29" t="n">
        <v>4544.58</v>
      </c>
      <c r="E393" s="29" t="n">
        <v>4717.79398</v>
      </c>
      <c r="F393" s="29" t="n">
        <v>4695.2428</v>
      </c>
      <c r="G393" s="29" t="n">
        <v>4518.59282</v>
      </c>
      <c r="H393" s="29" t="n">
        <v>4596.05595</v>
      </c>
      <c r="I393" s="29" t="n">
        <v>4755.40355</v>
      </c>
      <c r="J393" s="29" t="n">
        <v>4792.76972</v>
      </c>
      <c r="K393" s="29" t="n">
        <v>4769.97694</v>
      </c>
      <c r="L393" s="29" t="n">
        <v>4716.33597</v>
      </c>
      <c r="M393" s="29" t="n">
        <v>4718.85043</v>
      </c>
      <c r="N393" s="29" t="n">
        <v>4531.36057</v>
      </c>
      <c r="O393" s="29" t="n">
        <v>4556.93783</v>
      </c>
      <c r="Q393" s="29" t="n">
        <v>4627.72064</v>
      </c>
      <c r="R393" s="29" t="n">
        <v>4675.7383</v>
      </c>
      <c r="S393" s="29" t="n">
        <v>4651.55469</v>
      </c>
      <c r="V393" s="29" t="n">
        <v>4595.07545</v>
      </c>
      <c r="AB393" s="29" t="n">
        <v>4542.20125</v>
      </c>
      <c r="AC393" s="29" t="n">
        <v>4541.80043</v>
      </c>
      <c r="AD393" s="29" t="n">
        <v>0</v>
      </c>
    </row>
    <row r="394" ht="14.25" customHeight="1" s="28">
      <c r="A394" s="29" t="n">
        <v>1777949101</v>
      </c>
      <c r="B394" s="29" t="inlineStr">
        <is>
          <t>XAUUSD</t>
        </is>
      </c>
      <c r="C394" s="29" t="inlineStr">
        <is>
          <t>M15</t>
        </is>
      </c>
      <c r="D394" s="29" t="n">
        <v>4539.17</v>
      </c>
      <c r="E394" s="29" t="n">
        <v>4717.79398</v>
      </c>
      <c r="F394" s="29" t="n">
        <v>4695.2428</v>
      </c>
      <c r="G394" s="29" t="n">
        <v>4518.59282</v>
      </c>
      <c r="H394" s="29" t="n">
        <v>4596.05595</v>
      </c>
      <c r="I394" s="29" t="n">
        <v>4755.40355</v>
      </c>
      <c r="J394" s="29" t="n">
        <v>4792.76972</v>
      </c>
      <c r="K394" s="29" t="n">
        <v>4769.97694</v>
      </c>
      <c r="L394" s="29" t="n">
        <v>4716.33597</v>
      </c>
      <c r="M394" s="29" t="n">
        <v>4718.85043</v>
      </c>
      <c r="N394" s="29" t="n">
        <v>4531.36057</v>
      </c>
      <c r="O394" s="29" t="n">
        <v>4556.93783</v>
      </c>
      <c r="Q394" s="29" t="n">
        <v>4627.92308</v>
      </c>
      <c r="R394" s="29" t="n">
        <v>4675.94075</v>
      </c>
      <c r="S394" s="29" t="n">
        <v>4651.75714</v>
      </c>
      <c r="V394" s="29" t="n">
        <v>4595.27789</v>
      </c>
      <c r="AB394" s="29" t="n">
        <v>4541.01117</v>
      </c>
      <c r="AC394" s="29" t="n">
        <v>4541.4058</v>
      </c>
      <c r="AD394" s="29" t="n">
        <v>1</v>
      </c>
    </row>
    <row r="395" ht="14.25" customHeight="1" s="28">
      <c r="A395" s="29" t="n">
        <v>1777950001</v>
      </c>
      <c r="B395" s="29" t="inlineStr">
        <is>
          <t>XAUUSD</t>
        </is>
      </c>
      <c r="C395" s="29" t="inlineStr">
        <is>
          <t>M15</t>
        </is>
      </c>
      <c r="D395" s="29" t="n">
        <v>4542.12</v>
      </c>
      <c r="E395" s="29" t="n">
        <v>4717.79398</v>
      </c>
      <c r="F395" s="29" t="n">
        <v>4695.2428</v>
      </c>
      <c r="G395" s="29" t="n">
        <v>4518.59282</v>
      </c>
      <c r="H395" s="29" t="n">
        <v>4596.05595</v>
      </c>
      <c r="I395" s="29" t="n">
        <v>4755.40355</v>
      </c>
      <c r="J395" s="29" t="n">
        <v>4792.76972</v>
      </c>
      <c r="K395" s="29" t="n">
        <v>4769.97694</v>
      </c>
      <c r="L395" s="29" t="n">
        <v>4716.33597</v>
      </c>
      <c r="M395" s="29" t="n">
        <v>4718.85043</v>
      </c>
      <c r="N395" s="29" t="n">
        <v>4531.36057</v>
      </c>
      <c r="O395" s="29" t="n">
        <v>4556.93783</v>
      </c>
      <c r="Q395" s="29" t="n">
        <v>4628.12553</v>
      </c>
      <c r="R395" s="29" t="n">
        <v>4676.14319</v>
      </c>
      <c r="S395" s="29" t="n">
        <v>4651.95958</v>
      </c>
      <c r="V395" s="29" t="n">
        <v>4595.48034</v>
      </c>
      <c r="AB395" s="29" t="n">
        <v>4539.35531</v>
      </c>
      <c r="AC395" s="29" t="n">
        <v>4540.38055</v>
      </c>
      <c r="AD395" s="29" t="n">
        <v>0</v>
      </c>
    </row>
    <row r="396" ht="14.25" customHeight="1" s="28">
      <c r="A396" s="29" t="n">
        <v>1777950901</v>
      </c>
      <c r="B396" s="29" t="inlineStr">
        <is>
          <t>XAUUSD</t>
        </is>
      </c>
      <c r="C396" s="29" t="inlineStr">
        <is>
          <t>M15</t>
        </is>
      </c>
      <c r="D396" s="29" t="n">
        <v>4538.07</v>
      </c>
      <c r="E396" s="29" t="n">
        <v>4717.79398</v>
      </c>
      <c r="F396" s="29" t="n">
        <v>4695.2428</v>
      </c>
      <c r="G396" s="29" t="n">
        <v>4518.59282</v>
      </c>
      <c r="H396" s="29" t="n">
        <v>4596.05595</v>
      </c>
      <c r="I396" s="29" t="n">
        <v>4755.40355</v>
      </c>
      <c r="J396" s="29" t="n">
        <v>4792.76972</v>
      </c>
      <c r="K396" s="29" t="n">
        <v>4769.97694</v>
      </c>
      <c r="L396" s="29" t="n">
        <v>4716.33597</v>
      </c>
      <c r="M396" s="29" t="n">
        <v>4718.85043</v>
      </c>
      <c r="N396" s="29" t="n">
        <v>4531.36057</v>
      </c>
      <c r="O396" s="29" t="n">
        <v>4556.93783</v>
      </c>
      <c r="Q396" s="29" t="n">
        <v>4628.32798</v>
      </c>
      <c r="R396" s="29" t="n">
        <v>4676.34564</v>
      </c>
      <c r="S396" s="29" t="n">
        <v>4652.16203</v>
      </c>
      <c r="V396" s="29" t="n">
        <v>4595.68278</v>
      </c>
      <c r="AB396" s="29" t="n">
        <v>4537.3956</v>
      </c>
      <c r="AC396" s="29" t="n">
        <v>4538.88808</v>
      </c>
      <c r="AD396" s="29" t="n">
        <v>0</v>
      </c>
    </row>
    <row r="397" ht="14.25" customHeight="1" s="28">
      <c r="A397" s="29" t="n">
        <v>1777951801</v>
      </c>
      <c r="B397" s="29" t="inlineStr">
        <is>
          <t>XAUUSD</t>
        </is>
      </c>
      <c r="C397" s="29" t="inlineStr">
        <is>
          <t>M15</t>
        </is>
      </c>
      <c r="D397" s="29" t="n">
        <v>4535.98</v>
      </c>
      <c r="E397" s="29" t="n">
        <v>4717.79398</v>
      </c>
      <c r="F397" s="29" t="n">
        <v>4695.2428</v>
      </c>
      <c r="G397" s="29" t="n">
        <v>4518.59282</v>
      </c>
      <c r="H397" s="29" t="n">
        <v>4596.05595</v>
      </c>
      <c r="I397" s="29" t="n">
        <v>4755.40355</v>
      </c>
      <c r="J397" s="29" t="n">
        <v>4792.76972</v>
      </c>
      <c r="K397" s="29" t="n">
        <v>4769.97694</v>
      </c>
      <c r="L397" s="29" t="n">
        <v>4716.33597</v>
      </c>
      <c r="M397" s="29" t="n">
        <v>4718.85043</v>
      </c>
      <c r="N397" s="29" t="n">
        <v>4531.36057</v>
      </c>
      <c r="O397" s="29" t="n">
        <v>4556.93783</v>
      </c>
      <c r="Q397" s="29" t="n">
        <v>4628.53042</v>
      </c>
      <c r="R397" s="29" t="n">
        <v>4676.54809</v>
      </c>
      <c r="S397" s="29" t="n">
        <v>4652.36447</v>
      </c>
      <c r="V397" s="29" t="n">
        <v>4595.88523</v>
      </c>
      <c r="AB397" s="29" t="n">
        <v>4535.49685</v>
      </c>
      <c r="AC397" s="29" t="n">
        <v>4537.19247</v>
      </c>
      <c r="AD397" s="29" t="n">
        <v>0</v>
      </c>
    </row>
    <row r="398" ht="14.25" customHeight="1" s="28">
      <c r="A398" s="29" t="n">
        <v>1777952701</v>
      </c>
      <c r="B398" s="29" t="inlineStr">
        <is>
          <t>XAUUSD</t>
        </is>
      </c>
      <c r="C398" s="29" t="inlineStr">
        <is>
          <t>M15</t>
        </is>
      </c>
      <c r="D398" s="29" t="n">
        <v>4534.67</v>
      </c>
      <c r="E398" s="29" t="n">
        <v>4717.79398</v>
      </c>
      <c r="F398" s="29" t="n">
        <v>4695.2428</v>
      </c>
      <c r="G398" s="29" t="n">
        <v>4518.59282</v>
      </c>
      <c r="H398" s="29" t="n">
        <v>4596.05595</v>
      </c>
      <c r="I398" s="29" t="n">
        <v>4755.40355</v>
      </c>
      <c r="J398" s="29" t="n">
        <v>4792.76972</v>
      </c>
      <c r="K398" s="29" t="n">
        <v>4769.97694</v>
      </c>
      <c r="L398" s="29" t="n">
        <v>4716.33597</v>
      </c>
      <c r="M398" s="29" t="n">
        <v>4718.85043</v>
      </c>
      <c r="N398" s="29" t="n">
        <v>4531.36057</v>
      </c>
      <c r="O398" s="29" t="n">
        <v>4556.93783</v>
      </c>
      <c r="Q398" s="29" t="n">
        <v>4628.73287</v>
      </c>
      <c r="R398" s="29" t="n">
        <v>4676.75053</v>
      </c>
      <c r="S398" s="29" t="n">
        <v>4652.56692</v>
      </c>
      <c r="V398" s="29" t="n">
        <v>4596.08768</v>
      </c>
      <c r="AB398" s="29" t="n">
        <v>4533.94874</v>
      </c>
      <c r="AC398" s="29" t="n">
        <v>4535.5706</v>
      </c>
      <c r="AD398" s="29" t="n">
        <v>0</v>
      </c>
    </row>
    <row r="399" ht="14.25" customHeight="1" s="28">
      <c r="A399" s="29" t="n">
        <v>1777953601</v>
      </c>
      <c r="B399" s="29" t="inlineStr">
        <is>
          <t>XAUUSD</t>
        </is>
      </c>
      <c r="C399" s="29" t="inlineStr">
        <is>
          <t>M15</t>
        </is>
      </c>
      <c r="D399" s="29" t="n">
        <v>4532.97</v>
      </c>
      <c r="E399" s="29" t="n">
        <v>4717.79398</v>
      </c>
      <c r="F399" s="29" t="n">
        <v>4695.2428</v>
      </c>
      <c r="G399" s="29" t="n">
        <v>4518.59282</v>
      </c>
      <c r="H399" s="29" t="n">
        <v>4596.05595</v>
      </c>
      <c r="I399" s="29" t="n">
        <v>4755.40355</v>
      </c>
      <c r="J399" s="29" t="n">
        <v>4792.76972</v>
      </c>
      <c r="K399" s="29" t="n">
        <v>4769.97694</v>
      </c>
      <c r="L399" s="29" t="n">
        <v>4716.33597</v>
      </c>
      <c r="M399" s="29" t="n">
        <v>4718.85043</v>
      </c>
      <c r="N399" s="29" t="n">
        <v>4531.36057</v>
      </c>
      <c r="O399" s="29" t="n">
        <v>4556.93783</v>
      </c>
      <c r="Q399" s="29" t="n">
        <v>4628.93531</v>
      </c>
      <c r="R399" s="29" t="n">
        <v>4676.95298</v>
      </c>
      <c r="S399" s="29" t="n">
        <v>4652.76936</v>
      </c>
      <c r="V399" s="29" t="n">
        <v>4596.29012</v>
      </c>
      <c r="AB399" s="29" t="n">
        <v>4532.99222</v>
      </c>
      <c r="AC399" s="29" t="n">
        <v>4534.28141</v>
      </c>
      <c r="AD399" s="29" t="n">
        <v>0</v>
      </c>
    </row>
    <row r="400" ht="14.25" customHeight="1" s="28">
      <c r="A400" s="29" t="n">
        <v>1777954501</v>
      </c>
      <c r="B400" s="29" t="inlineStr">
        <is>
          <t>XAUUSD</t>
        </is>
      </c>
      <c r="C400" s="29" t="inlineStr">
        <is>
          <t>M15</t>
        </is>
      </c>
      <c r="D400" s="29" t="n">
        <v>4529.71</v>
      </c>
      <c r="E400" s="29" t="n">
        <v>4717.79398</v>
      </c>
      <c r="F400" s="29" t="n">
        <v>4695.2428</v>
      </c>
      <c r="G400" s="29" t="n">
        <v>4518.59282</v>
      </c>
      <c r="H400" s="29" t="n">
        <v>4596.05595</v>
      </c>
      <c r="I400" s="29" t="n">
        <v>4755.40355</v>
      </c>
      <c r="J400" s="29" t="n">
        <v>4792.76972</v>
      </c>
      <c r="K400" s="29" t="n">
        <v>4769.97694</v>
      </c>
      <c r="L400" s="29" t="n">
        <v>4716.33597</v>
      </c>
      <c r="M400" s="29" t="n">
        <v>4718.85043</v>
      </c>
      <c r="N400" s="29" t="n">
        <v>4531.36057</v>
      </c>
      <c r="O400" s="29" t="n">
        <v>4556.93783</v>
      </c>
      <c r="Q400" s="29" t="n">
        <v>4629.13776</v>
      </c>
      <c r="R400" s="29" t="n">
        <v>4677.15542</v>
      </c>
      <c r="S400" s="29" t="n">
        <v>4652.97181</v>
      </c>
      <c r="V400" s="29" t="n">
        <v>4596.49257</v>
      </c>
      <c r="AB400" s="29" t="n">
        <v>4532.81797</v>
      </c>
      <c r="AC400" s="29" t="n">
        <v>4533.54969</v>
      </c>
      <c r="AD400" s="29" t="n">
        <v>0</v>
      </c>
    </row>
    <row r="401" ht="14.25" customHeight="1" s="28">
      <c r="A401" s="29" t="n">
        <v>1777955401</v>
      </c>
      <c r="B401" s="29" t="inlineStr">
        <is>
          <t>XAUUSD</t>
        </is>
      </c>
      <c r="C401" s="29" t="inlineStr">
        <is>
          <t>M15</t>
        </is>
      </c>
      <c r="D401" s="29" t="n">
        <v>4531.71</v>
      </c>
      <c r="E401" s="29" t="n">
        <v>4717.79398</v>
      </c>
      <c r="F401" s="29" t="n">
        <v>4695.2428</v>
      </c>
      <c r="G401" s="29" t="n">
        <v>4518.59282</v>
      </c>
      <c r="H401" s="29" t="n">
        <v>4596.05595</v>
      </c>
      <c r="I401" s="29" t="n">
        <v>4755.40355</v>
      </c>
      <c r="J401" s="29" t="n">
        <v>4792.76972</v>
      </c>
      <c r="K401" s="29" t="n">
        <v>4769.97694</v>
      </c>
      <c r="L401" s="29" t="n">
        <v>4716.33597</v>
      </c>
      <c r="M401" s="29" t="n">
        <v>4718.85043</v>
      </c>
      <c r="N401" s="29" t="n">
        <v>4531.36057</v>
      </c>
      <c r="O401" s="29" t="n">
        <v>4556.93783</v>
      </c>
      <c r="Q401" s="29" t="n">
        <v>4629.3402</v>
      </c>
      <c r="R401" s="29" t="n">
        <v>4677.35787</v>
      </c>
      <c r="S401" s="29" t="n">
        <v>4653.17426</v>
      </c>
      <c r="V401" s="29" t="n">
        <v>4596.69501</v>
      </c>
      <c r="AB401" s="29" t="n">
        <v>4533.58094</v>
      </c>
      <c r="AC401" s="29" t="n">
        <v>4533.56532</v>
      </c>
      <c r="AD401" s="29" t="n">
        <v>1</v>
      </c>
    </row>
    <row r="402" ht="14.25" customHeight="1" s="28">
      <c r="A402" s="29" t="n">
        <v>1777956301</v>
      </c>
      <c r="B402" s="29" t="inlineStr">
        <is>
          <t>XAUUSD</t>
        </is>
      </c>
      <c r="C402" s="29" t="inlineStr">
        <is>
          <t>M15</t>
        </is>
      </c>
      <c r="D402" s="29" t="n">
        <v>4533.58</v>
      </c>
      <c r="E402" s="29" t="n">
        <v>4717.79398</v>
      </c>
      <c r="F402" s="29" t="n">
        <v>4695.2428</v>
      </c>
      <c r="G402" s="29" t="n">
        <v>4518.59282</v>
      </c>
      <c r="H402" s="29" t="n">
        <v>4596.05595</v>
      </c>
      <c r="I402" s="29" t="n">
        <v>4755.40355</v>
      </c>
      <c r="J402" s="29" t="n">
        <v>4792.76972</v>
      </c>
      <c r="K402" s="29" t="n">
        <v>4769.97694</v>
      </c>
      <c r="L402" s="29" t="n">
        <v>4716.33597</v>
      </c>
      <c r="M402" s="29" t="n">
        <v>4718.85043</v>
      </c>
      <c r="N402" s="29" t="n">
        <v>4531.36057</v>
      </c>
      <c r="O402" s="29" t="n">
        <v>4556.93783</v>
      </c>
      <c r="Q402" s="29" t="n">
        <v>4629.54265</v>
      </c>
      <c r="R402" s="29" t="n">
        <v>4677.56031</v>
      </c>
      <c r="S402" s="29" t="n">
        <v>4653.3767</v>
      </c>
      <c r="V402" s="29" t="n">
        <v>4596.89746</v>
      </c>
      <c r="AB402" s="29" t="n">
        <v>4535.16184</v>
      </c>
      <c r="AC402" s="29" t="n">
        <v>4534.36358</v>
      </c>
      <c r="AD402" s="29" t="n">
        <v>0</v>
      </c>
    </row>
    <row r="403" ht="14.25" customHeight="1" s="28">
      <c r="A403" s="29" t="n">
        <v>1777957201</v>
      </c>
      <c r="B403" s="29" t="inlineStr">
        <is>
          <t>XAUUSD</t>
        </is>
      </c>
      <c r="C403" s="29" t="inlineStr">
        <is>
          <t>M15</t>
        </is>
      </c>
      <c r="D403" s="29" t="n">
        <v>4540.2</v>
      </c>
      <c r="E403" s="29" t="n">
        <v>4717.79398</v>
      </c>
      <c r="F403" s="29" t="n">
        <v>4695.2428</v>
      </c>
      <c r="G403" s="29" t="n">
        <v>4518.59282</v>
      </c>
      <c r="H403" s="29" t="n">
        <v>4596.05595</v>
      </c>
      <c r="I403" s="29" t="n">
        <v>4755.40355</v>
      </c>
      <c r="J403" s="29" t="n">
        <v>4792.76972</v>
      </c>
      <c r="K403" s="29" t="n">
        <v>4769.97694</v>
      </c>
      <c r="L403" s="29" t="n">
        <v>4716.33597</v>
      </c>
      <c r="M403" s="29" t="n">
        <v>4718.85043</v>
      </c>
      <c r="N403" s="29" t="n">
        <v>4531.36057</v>
      </c>
      <c r="O403" s="29" t="n">
        <v>4556.93783</v>
      </c>
      <c r="Q403" s="29" t="n">
        <v>4629.7451</v>
      </c>
      <c r="R403" s="29" t="n">
        <v>4677.76276</v>
      </c>
      <c r="S403" s="29" t="n">
        <v>4653.57915</v>
      </c>
      <c r="V403" s="29" t="n">
        <v>4597.0999</v>
      </c>
      <c r="AB403" s="29" t="n">
        <v>4537.31816</v>
      </c>
      <c r="AC403" s="29" t="n">
        <v>4535.84087</v>
      </c>
      <c r="AD403" s="29" t="n">
        <v>0</v>
      </c>
    </row>
    <row r="404" ht="14.25" customHeight="1" s="28">
      <c r="A404" s="29" t="n">
        <v>1777958101</v>
      </c>
      <c r="B404" s="29" t="inlineStr">
        <is>
          <t>XAUUSD</t>
        </is>
      </c>
      <c r="C404" s="29" t="inlineStr">
        <is>
          <t>M15</t>
        </is>
      </c>
      <c r="D404" s="29" t="n">
        <v>4540.11</v>
      </c>
      <c r="E404" s="29" t="n">
        <v>4717.79398</v>
      </c>
      <c r="F404" s="29" t="n">
        <v>4695.2428</v>
      </c>
      <c r="G404" s="29" t="n">
        <v>4518.59282</v>
      </c>
      <c r="H404" s="29" t="n">
        <v>4596.05595</v>
      </c>
      <c r="I404" s="29" t="n">
        <v>4755.40355</v>
      </c>
      <c r="J404" s="29" t="n">
        <v>4792.76972</v>
      </c>
      <c r="K404" s="29" t="n">
        <v>4769.97694</v>
      </c>
      <c r="L404" s="29" t="n">
        <v>4716.33597</v>
      </c>
      <c r="M404" s="29" t="n">
        <v>4718.85043</v>
      </c>
      <c r="N404" s="29" t="n">
        <v>4531.36057</v>
      </c>
      <c r="O404" s="29" t="n">
        <v>4556.93783</v>
      </c>
      <c r="Q404" s="29" t="n">
        <v>4629.94754</v>
      </c>
      <c r="R404" s="29" t="n">
        <v>4677.96521</v>
      </c>
      <c r="S404" s="29" t="n">
        <v>4653.78159</v>
      </c>
      <c r="V404" s="29" t="n">
        <v>4597.30235</v>
      </c>
      <c r="AB404" s="29" t="n">
        <v>4539.63197</v>
      </c>
      <c r="AC404" s="29" t="n">
        <v>4537.73642</v>
      </c>
      <c r="AD404" s="29" t="n">
        <v>0</v>
      </c>
    </row>
    <row r="405" ht="14.25" customHeight="1" s="28">
      <c r="A405" s="29" t="n">
        <v>1777959001</v>
      </c>
      <c r="B405" s="29" t="inlineStr">
        <is>
          <t>XAUUSD</t>
        </is>
      </c>
      <c r="C405" s="29" t="inlineStr">
        <is>
          <t>M15</t>
        </is>
      </c>
      <c r="D405" s="29" t="n">
        <v>4545.86</v>
      </c>
      <c r="E405" s="29" t="n">
        <v>4717.79398</v>
      </c>
      <c r="F405" s="29" t="n">
        <v>4695.2428</v>
      </c>
      <c r="G405" s="29" t="n">
        <v>4518.59282</v>
      </c>
      <c r="H405" s="29" t="n">
        <v>4596.05595</v>
      </c>
      <c r="I405" s="29" t="n">
        <v>4755.40355</v>
      </c>
      <c r="J405" s="29" t="n">
        <v>4792.76972</v>
      </c>
      <c r="K405" s="29" t="n">
        <v>4769.97694</v>
      </c>
      <c r="L405" s="29" t="n">
        <v>4716.33597</v>
      </c>
      <c r="M405" s="29" t="n">
        <v>4718.85043</v>
      </c>
      <c r="N405" s="29" t="n">
        <v>4531.36057</v>
      </c>
      <c r="O405" s="29" t="n">
        <v>4556.93783</v>
      </c>
      <c r="Q405" s="29" t="n">
        <v>4630.14999</v>
      </c>
      <c r="R405" s="29" t="n">
        <v>4678.16765</v>
      </c>
      <c r="S405" s="29" t="n">
        <v>4653.98404</v>
      </c>
      <c r="V405" s="29" t="n">
        <v>4597.50479</v>
      </c>
      <c r="AB405" s="29" t="n">
        <v>4541.85448</v>
      </c>
      <c r="AC405" s="29" t="n">
        <v>4539.79545</v>
      </c>
      <c r="AD405" s="29" t="n">
        <v>0</v>
      </c>
    </row>
    <row r="406" ht="14.25" customHeight="1" s="28">
      <c r="A406" s="29" t="n">
        <v>1777959901</v>
      </c>
      <c r="B406" s="29" t="inlineStr">
        <is>
          <t>XAUUSD</t>
        </is>
      </c>
      <c r="C406" s="29" t="inlineStr">
        <is>
          <t>M15</t>
        </is>
      </c>
      <c r="D406" s="29" t="n">
        <v>4545.73</v>
      </c>
      <c r="E406" s="29" t="n">
        <v>4717.79398</v>
      </c>
      <c r="F406" s="29" t="n">
        <v>4695.2428</v>
      </c>
      <c r="G406" s="29" t="n">
        <v>4518.59282</v>
      </c>
      <c r="H406" s="29" t="n">
        <v>4596.05595</v>
      </c>
      <c r="I406" s="29" t="n">
        <v>4755.40355</v>
      </c>
      <c r="J406" s="29" t="n">
        <v>4792.76972</v>
      </c>
      <c r="K406" s="29" t="n">
        <v>4769.97694</v>
      </c>
      <c r="L406" s="29" t="n">
        <v>4716.33597</v>
      </c>
      <c r="M406" s="29" t="n">
        <v>4718.85043</v>
      </c>
      <c r="N406" s="29" t="n">
        <v>4531.36057</v>
      </c>
      <c r="O406" s="29" t="n">
        <v>4556.93783</v>
      </c>
      <c r="Q406" s="29" t="n">
        <v>4630.35243</v>
      </c>
      <c r="R406" s="29" t="n">
        <v>4678.3701</v>
      </c>
      <c r="S406" s="29" t="n">
        <v>4654.18648</v>
      </c>
      <c r="V406" s="29" t="n">
        <v>4597.70724</v>
      </c>
      <c r="AB406" s="29" t="n">
        <v>4543.62782</v>
      </c>
      <c r="AC406" s="29" t="n">
        <v>4541.71164</v>
      </c>
      <c r="AD406" s="29" t="n">
        <v>0</v>
      </c>
    </row>
    <row r="407" ht="14.25" customHeight="1" s="28">
      <c r="A407" s="29" t="n">
        <v>1777960801</v>
      </c>
      <c r="B407" s="29" t="inlineStr">
        <is>
          <t>XAUUSD</t>
        </is>
      </c>
      <c r="C407" s="29" t="inlineStr">
        <is>
          <t>M15</t>
        </is>
      </c>
      <c r="D407" s="29" t="n">
        <v>4543.66</v>
      </c>
      <c r="E407" s="29" t="n">
        <v>4717.79398</v>
      </c>
      <c r="F407" s="29" t="n">
        <v>4695.2428</v>
      </c>
      <c r="G407" s="29" t="n">
        <v>4518.59282</v>
      </c>
      <c r="H407" s="29" t="n">
        <v>4596.05595</v>
      </c>
      <c r="I407" s="29" t="n">
        <v>4755.40355</v>
      </c>
      <c r="J407" s="29" t="n">
        <v>4792.76972</v>
      </c>
      <c r="K407" s="29" t="n">
        <v>4769.97694</v>
      </c>
      <c r="L407" s="29" t="n">
        <v>4716.33597</v>
      </c>
      <c r="M407" s="29" t="n">
        <v>4718.85043</v>
      </c>
      <c r="N407" s="29" t="n">
        <v>4531.36057</v>
      </c>
      <c r="O407" s="29" t="n">
        <v>4556.93783</v>
      </c>
      <c r="Q407" s="29" t="n">
        <v>4630.55488</v>
      </c>
      <c r="R407" s="29" t="n">
        <v>4678.57254</v>
      </c>
      <c r="S407" s="29" t="n">
        <v>4654.38893</v>
      </c>
      <c r="V407" s="29" t="n">
        <v>4597.90969</v>
      </c>
      <c r="AB407" s="29" t="n">
        <v>4544.8969</v>
      </c>
      <c r="AC407" s="29" t="n">
        <v>4543.30427</v>
      </c>
      <c r="AD407" s="29" t="n">
        <v>0</v>
      </c>
    </row>
    <row r="408" ht="14.25" customHeight="1" s="28">
      <c r="A408" s="29" t="n">
        <v>1777961701</v>
      </c>
      <c r="B408" s="29" t="inlineStr">
        <is>
          <t>XAUUSD</t>
        </is>
      </c>
      <c r="C408" s="29" t="inlineStr">
        <is>
          <t>M15</t>
        </is>
      </c>
      <c r="D408" s="29" t="n">
        <v>4536.86</v>
      </c>
      <c r="E408" s="29" t="n">
        <v>4717.79398</v>
      </c>
      <c r="F408" s="29" t="n">
        <v>4695.2428</v>
      </c>
      <c r="G408" s="29" t="n">
        <v>4518.59282</v>
      </c>
      <c r="H408" s="29" t="n">
        <v>4596.05595</v>
      </c>
      <c r="I408" s="29" t="n">
        <v>4755.40355</v>
      </c>
      <c r="J408" s="29" t="n">
        <v>4792.76972</v>
      </c>
      <c r="K408" s="29" t="n">
        <v>4769.97694</v>
      </c>
      <c r="L408" s="29" t="n">
        <v>4716.33597</v>
      </c>
      <c r="M408" s="29" t="n">
        <v>4718.85043</v>
      </c>
      <c r="N408" s="29" t="n">
        <v>4531.36057</v>
      </c>
      <c r="O408" s="29" t="n">
        <v>4556.93783</v>
      </c>
      <c r="Q408" s="29" t="n">
        <v>4630.75732</v>
      </c>
      <c r="R408" s="29" t="n">
        <v>4678.77499</v>
      </c>
      <c r="S408" s="29" t="n">
        <v>4654.59138</v>
      </c>
      <c r="V408" s="29" t="n">
        <v>4598.11213</v>
      </c>
      <c r="AB408" s="29" t="n">
        <v>4545.77755</v>
      </c>
      <c r="AC408" s="29" t="n">
        <v>4544.54091</v>
      </c>
      <c r="AD408" s="29" t="n">
        <v>0</v>
      </c>
    </row>
    <row r="409" ht="14.25" customHeight="1" s="28">
      <c r="A409" s="29" t="n">
        <v>1777962601</v>
      </c>
      <c r="B409" s="29" t="inlineStr">
        <is>
          <t>XAUUSD</t>
        </is>
      </c>
      <c r="C409" s="29" t="inlineStr">
        <is>
          <t>M15</t>
        </is>
      </c>
      <c r="D409" s="29" t="n">
        <v>4546.17</v>
      </c>
      <c r="E409" s="29" t="n">
        <v>4717.79398</v>
      </c>
      <c r="F409" s="29" t="n">
        <v>4695.2428</v>
      </c>
      <c r="G409" s="29" t="n">
        <v>4518.59282</v>
      </c>
      <c r="H409" s="29" t="n">
        <v>4596.05595</v>
      </c>
      <c r="I409" s="29" t="n">
        <v>4755.40355</v>
      </c>
      <c r="J409" s="29" t="n">
        <v>4792.76972</v>
      </c>
      <c r="K409" s="29" t="n">
        <v>4769.97694</v>
      </c>
      <c r="L409" s="29" t="n">
        <v>4716.33597</v>
      </c>
      <c r="M409" s="29" t="n">
        <v>4718.85043</v>
      </c>
      <c r="N409" s="29" t="n">
        <v>4531.36057</v>
      </c>
      <c r="O409" s="29" t="n">
        <v>4556.93783</v>
      </c>
      <c r="Q409" s="29" t="n">
        <v>4630.95977</v>
      </c>
      <c r="R409" s="29" t="n">
        <v>4678.97743</v>
      </c>
      <c r="S409" s="29" t="n">
        <v>4654.79382</v>
      </c>
      <c r="V409" s="29" t="n">
        <v>4598.31458</v>
      </c>
      <c r="AB409" s="29" t="n">
        <v>4546.57778</v>
      </c>
      <c r="AC409" s="29" t="n">
        <v>4545.55934</v>
      </c>
      <c r="AD409" s="29" t="n">
        <v>0</v>
      </c>
    </row>
    <row r="410" ht="14.25" customHeight="1" s="28">
      <c r="A410" s="29" t="n">
        <v>1777963501</v>
      </c>
      <c r="B410" s="29" t="inlineStr">
        <is>
          <t>XAUUSD</t>
        </is>
      </c>
      <c r="C410" s="29" t="inlineStr">
        <is>
          <t>M15</t>
        </is>
      </c>
      <c r="D410" s="29" t="n">
        <v>4548.12</v>
      </c>
      <c r="E410" s="29" t="n">
        <v>4717.79398</v>
      </c>
      <c r="F410" s="29" t="n">
        <v>4695.2428</v>
      </c>
      <c r="G410" s="29" t="n">
        <v>4518.59282</v>
      </c>
      <c r="H410" s="29" t="n">
        <v>4596.05595</v>
      </c>
      <c r="I410" s="29" t="n">
        <v>4755.40355</v>
      </c>
      <c r="J410" s="29" t="n">
        <v>4792.76972</v>
      </c>
      <c r="K410" s="29" t="n">
        <v>4769.97694</v>
      </c>
      <c r="L410" s="29" t="n">
        <v>4716.33597</v>
      </c>
      <c r="M410" s="29" t="n">
        <v>4718.85043</v>
      </c>
      <c r="N410" s="29" t="n">
        <v>4531.36057</v>
      </c>
      <c r="O410" s="29" t="n">
        <v>4556.93783</v>
      </c>
      <c r="Q410" s="29" t="n">
        <v>4631.16221</v>
      </c>
      <c r="R410" s="29" t="n">
        <v>4679.17988</v>
      </c>
      <c r="S410" s="29" t="n">
        <v>4654.99627</v>
      </c>
      <c r="V410" s="29" t="n">
        <v>4598.51702</v>
      </c>
      <c r="AB410" s="29" t="n">
        <v>4547.20034</v>
      </c>
      <c r="AC410" s="29" t="n">
        <v>4546.37984</v>
      </c>
      <c r="AD410" s="29" t="n">
        <v>0</v>
      </c>
    </row>
    <row r="411" ht="14.25" customHeight="1" s="28">
      <c r="A411" s="29" t="n">
        <v>1777964401</v>
      </c>
      <c r="B411" s="29" t="inlineStr">
        <is>
          <t>XAUUSD</t>
        </is>
      </c>
      <c r="C411" s="29" t="inlineStr">
        <is>
          <t>M15</t>
        </is>
      </c>
      <c r="D411" s="29" t="n">
        <v>4554.04</v>
      </c>
      <c r="E411" s="29" t="n">
        <v>4717.79398</v>
      </c>
      <c r="F411" s="29" t="n">
        <v>4695.2428</v>
      </c>
      <c r="G411" s="29" t="n">
        <v>4518.59282</v>
      </c>
      <c r="H411" s="29" t="n">
        <v>4596.05595</v>
      </c>
      <c r="I411" s="29" t="n">
        <v>4755.40355</v>
      </c>
      <c r="J411" s="29" t="n">
        <v>4792.76972</v>
      </c>
      <c r="K411" s="29" t="n">
        <v>4769.97694</v>
      </c>
      <c r="L411" s="29" t="n">
        <v>4716.33597</v>
      </c>
      <c r="M411" s="29" t="n">
        <v>4718.85043</v>
      </c>
      <c r="N411" s="29" t="n">
        <v>4531.36057</v>
      </c>
      <c r="O411" s="29" t="n">
        <v>4556.93783</v>
      </c>
      <c r="Q411" s="29" t="n">
        <v>4631.36466</v>
      </c>
      <c r="R411" s="29" t="n">
        <v>4679.38232</v>
      </c>
      <c r="S411" s="29" t="n">
        <v>4655.19871</v>
      </c>
      <c r="V411" s="29" t="n">
        <v>4598.71947</v>
      </c>
      <c r="AB411" s="29" t="n">
        <v>4547.73801</v>
      </c>
      <c r="AC411" s="29" t="n">
        <v>4547.05893</v>
      </c>
      <c r="AD411" s="29" t="n">
        <v>0</v>
      </c>
    </row>
    <row r="412" ht="14.25" customHeight="1" s="28">
      <c r="A412" s="29" t="n">
        <v>1777965301</v>
      </c>
      <c r="B412" s="29" t="inlineStr">
        <is>
          <t>XAUUSD</t>
        </is>
      </c>
      <c r="C412" s="29" t="inlineStr">
        <is>
          <t>M15</t>
        </is>
      </c>
      <c r="D412" s="29" t="n">
        <v>4548.94</v>
      </c>
      <c r="E412" s="29" t="n">
        <v>4717.79398</v>
      </c>
      <c r="F412" s="29" t="n">
        <v>4695.2428</v>
      </c>
      <c r="G412" s="29" t="n">
        <v>4518.59282</v>
      </c>
      <c r="H412" s="29" t="n">
        <v>4596.05595</v>
      </c>
      <c r="I412" s="29" t="n">
        <v>4755.40355</v>
      </c>
      <c r="J412" s="29" t="n">
        <v>4792.76972</v>
      </c>
      <c r="K412" s="29" t="n">
        <v>4769.97694</v>
      </c>
      <c r="L412" s="29" t="n">
        <v>4716.33597</v>
      </c>
      <c r="M412" s="29" t="n">
        <v>4718.85043</v>
      </c>
      <c r="N412" s="29" t="n">
        <v>4531.36057</v>
      </c>
      <c r="O412" s="29" t="n">
        <v>4556.93783</v>
      </c>
      <c r="Q412" s="29" t="n">
        <v>4631.56711</v>
      </c>
      <c r="R412" s="29" t="n">
        <v>4679.58477</v>
      </c>
      <c r="S412" s="29" t="n">
        <v>4655.40116</v>
      </c>
      <c r="V412" s="29" t="n">
        <v>4598.92191</v>
      </c>
      <c r="AB412" s="29" t="n">
        <v>4548.21468</v>
      </c>
      <c r="AC412" s="29" t="n">
        <v>4547.6368</v>
      </c>
      <c r="AD412" s="29" t="n">
        <v>0</v>
      </c>
    </row>
    <row r="413" ht="14.25" customHeight="1" s="28">
      <c r="A413" s="29" t="n">
        <v>1777966201</v>
      </c>
      <c r="B413" s="29" t="inlineStr">
        <is>
          <t>XAUUSD</t>
        </is>
      </c>
      <c r="C413" s="29" t="inlineStr">
        <is>
          <t>M15</t>
        </is>
      </c>
      <c r="D413" s="29" t="n">
        <v>4551.29</v>
      </c>
      <c r="E413" s="29" t="n">
        <v>4717.79398</v>
      </c>
      <c r="F413" s="29" t="n">
        <v>4695.2428</v>
      </c>
      <c r="G413" s="29" t="n">
        <v>4518.59282</v>
      </c>
      <c r="H413" s="29" t="n">
        <v>4596.05595</v>
      </c>
      <c r="I413" s="29" t="n">
        <v>4755.40355</v>
      </c>
      <c r="J413" s="29" t="n">
        <v>4792.76972</v>
      </c>
      <c r="K413" s="29" t="n">
        <v>4769.97694</v>
      </c>
      <c r="L413" s="29" t="n">
        <v>4716.33597</v>
      </c>
      <c r="M413" s="29" t="n">
        <v>4718.85043</v>
      </c>
      <c r="N413" s="29" t="n">
        <v>4531.36057</v>
      </c>
      <c r="O413" s="29" t="n">
        <v>4556.93783</v>
      </c>
      <c r="Q413" s="29" t="n">
        <v>4631.76955</v>
      </c>
      <c r="R413" s="29" t="n">
        <v>4679.78722</v>
      </c>
      <c r="S413" s="29" t="n">
        <v>4655.6036</v>
      </c>
      <c r="V413" s="29" t="n">
        <v>4599.12436</v>
      </c>
      <c r="AB413" s="29" t="n">
        <v>4548.9321</v>
      </c>
      <c r="AC413" s="29" t="n">
        <v>4548.28445</v>
      </c>
      <c r="AD413" s="29" t="n">
        <v>0</v>
      </c>
    </row>
    <row r="414" ht="14.25" customHeight="1" s="28">
      <c r="A414" s="29" t="n">
        <v>1777967101</v>
      </c>
      <c r="B414" s="29" t="inlineStr">
        <is>
          <t>XAUUSD</t>
        </is>
      </c>
      <c r="C414" s="29" t="inlineStr">
        <is>
          <t>M15</t>
        </is>
      </c>
      <c r="D414" s="29" t="n">
        <v>4545.57</v>
      </c>
      <c r="E414" s="29" t="n">
        <v>4717.79398</v>
      </c>
      <c r="F414" s="29" t="n">
        <v>4695.2428</v>
      </c>
      <c r="G414" s="29" t="n">
        <v>4518.59282</v>
      </c>
      <c r="H414" s="29" t="n">
        <v>4596.05595</v>
      </c>
      <c r="I414" s="29" t="n">
        <v>4755.40355</v>
      </c>
      <c r="J414" s="29" t="n">
        <v>4792.76972</v>
      </c>
      <c r="K414" s="29" t="n">
        <v>4769.97694</v>
      </c>
      <c r="L414" s="29" t="n">
        <v>4716.33597</v>
      </c>
      <c r="M414" s="29" t="n">
        <v>4718.85043</v>
      </c>
      <c r="N414" s="29" t="n">
        <v>4531.36057</v>
      </c>
      <c r="O414" s="29" t="n">
        <v>4556.93783</v>
      </c>
      <c r="Q414" s="29" t="n">
        <v>4631.972</v>
      </c>
      <c r="R414" s="29" t="n">
        <v>4679.98966</v>
      </c>
      <c r="S414" s="29" t="n">
        <v>4655.80605</v>
      </c>
      <c r="V414" s="29" t="n">
        <v>4599.32681</v>
      </c>
      <c r="AB414" s="29" t="n">
        <v>4549.90845</v>
      </c>
      <c r="AC414" s="29" t="n">
        <v>4549.09645</v>
      </c>
      <c r="AD414" s="29" t="n">
        <v>0</v>
      </c>
    </row>
    <row r="415" ht="14.25" customHeight="1" s="28">
      <c r="A415" s="29" t="n">
        <v>1777968001</v>
      </c>
      <c r="B415" s="29" t="inlineStr">
        <is>
          <t>XAUUSD</t>
        </is>
      </c>
      <c r="C415" s="29" t="inlineStr">
        <is>
          <t>M15</t>
        </is>
      </c>
      <c r="D415" s="29" t="n">
        <v>4551.12</v>
      </c>
      <c r="E415" s="29" t="n">
        <v>4717.79398</v>
      </c>
      <c r="F415" s="29" t="n">
        <v>4695.2428</v>
      </c>
      <c r="G415" s="29" t="n">
        <v>4518.59282</v>
      </c>
      <c r="H415" s="29" t="n">
        <v>4596.05595</v>
      </c>
      <c r="I415" s="29" t="n">
        <v>4755.40355</v>
      </c>
      <c r="J415" s="29" t="n">
        <v>4792.76972</v>
      </c>
      <c r="K415" s="29" t="n">
        <v>4769.97694</v>
      </c>
      <c r="L415" s="29" t="n">
        <v>4716.33597</v>
      </c>
      <c r="M415" s="29" t="n">
        <v>4718.85043</v>
      </c>
      <c r="N415" s="29" t="n">
        <v>4531.36057</v>
      </c>
      <c r="O415" s="29" t="n">
        <v>4556.93783</v>
      </c>
      <c r="Q415" s="29" t="n">
        <v>4632.17444</v>
      </c>
      <c r="R415" s="29" t="n">
        <v>4680.19211</v>
      </c>
      <c r="S415" s="29" t="n">
        <v>4656.0085</v>
      </c>
      <c r="V415" s="29" t="n">
        <v>4599.52925</v>
      </c>
      <c r="AB415" s="29" t="n">
        <v>4551.30899</v>
      </c>
      <c r="AC415" s="29" t="n">
        <v>4550.20272</v>
      </c>
      <c r="AD415" s="29" t="n">
        <v>0</v>
      </c>
    </row>
    <row r="416" ht="14.25" customHeight="1" s="28">
      <c r="A416" s="29" t="n">
        <v>1777968901</v>
      </c>
      <c r="B416" s="29" t="inlineStr">
        <is>
          <t>XAUUSD</t>
        </is>
      </c>
      <c r="C416" s="29" t="inlineStr">
        <is>
          <t>M15</t>
        </is>
      </c>
      <c r="D416" s="29" t="n">
        <v>4551.48</v>
      </c>
      <c r="E416" s="29" t="n">
        <v>4717.79398</v>
      </c>
      <c r="F416" s="29" t="n">
        <v>4695.2428</v>
      </c>
      <c r="G416" s="29" t="n">
        <v>4518.59282</v>
      </c>
      <c r="H416" s="29" t="n">
        <v>4596.05595</v>
      </c>
      <c r="I416" s="29" t="n">
        <v>4755.40355</v>
      </c>
      <c r="J416" s="29" t="n">
        <v>4792.76972</v>
      </c>
      <c r="K416" s="29" t="n">
        <v>4769.97694</v>
      </c>
      <c r="L416" s="29" t="n">
        <v>4716.33597</v>
      </c>
      <c r="M416" s="29" t="n">
        <v>4718.85043</v>
      </c>
      <c r="N416" s="29" t="n">
        <v>4531.36057</v>
      </c>
      <c r="O416" s="29" t="n">
        <v>4556.93783</v>
      </c>
      <c r="Q416" s="29" t="n">
        <v>4632.37689</v>
      </c>
      <c r="R416" s="29" t="n">
        <v>4680.39455</v>
      </c>
      <c r="S416" s="29" t="n">
        <v>4656.21094</v>
      </c>
      <c r="V416" s="29" t="n">
        <v>4599.7317</v>
      </c>
      <c r="AB416" s="29" t="n">
        <v>4552.84139</v>
      </c>
      <c r="AC416" s="29" t="n">
        <v>4551.52206</v>
      </c>
      <c r="AD416" s="29" t="n">
        <v>0</v>
      </c>
    </row>
    <row r="417" ht="14.25" customHeight="1" s="28">
      <c r="A417" s="29" t="n">
        <v>1777969801</v>
      </c>
      <c r="B417" s="29" t="inlineStr">
        <is>
          <t>XAUUSD</t>
        </is>
      </c>
      <c r="C417" s="29" t="inlineStr">
        <is>
          <t>M15</t>
        </is>
      </c>
      <c r="D417" s="29" t="n">
        <v>4550.32</v>
      </c>
      <c r="E417" s="29" t="n">
        <v>4717.79398</v>
      </c>
      <c r="F417" s="29" t="n">
        <v>4695.2428</v>
      </c>
      <c r="G417" s="29" t="n">
        <v>4518.59282</v>
      </c>
      <c r="H417" s="29" t="n">
        <v>4596.05595</v>
      </c>
      <c r="I417" s="29" t="n">
        <v>4755.40355</v>
      </c>
      <c r="J417" s="29" t="n">
        <v>4792.76972</v>
      </c>
      <c r="K417" s="29" t="n">
        <v>4769.97694</v>
      </c>
      <c r="L417" s="29" t="n">
        <v>4716.33597</v>
      </c>
      <c r="M417" s="29" t="n">
        <v>4718.85043</v>
      </c>
      <c r="N417" s="29" t="n">
        <v>4531.36057</v>
      </c>
      <c r="O417" s="29" t="n">
        <v>4556.93783</v>
      </c>
      <c r="Q417" s="29" t="n">
        <v>4632.57933</v>
      </c>
      <c r="R417" s="29" t="n">
        <v>4680.597</v>
      </c>
      <c r="S417" s="29" t="n">
        <v>4656.41339</v>
      </c>
      <c r="V417" s="29" t="n">
        <v>4599.93414</v>
      </c>
      <c r="AB417" s="29" t="n">
        <v>4554.25508</v>
      </c>
      <c r="AC417" s="29" t="n">
        <v>4552.88857</v>
      </c>
      <c r="AD417" s="29" t="n">
        <v>0</v>
      </c>
    </row>
    <row r="418" ht="14.25" customHeight="1" s="28">
      <c r="A418" s="29" t="n">
        <v>1777970701</v>
      </c>
      <c r="B418" s="29" t="inlineStr">
        <is>
          <t>XAUUSD</t>
        </is>
      </c>
      <c r="C418" s="29" t="inlineStr">
        <is>
          <t>M15</t>
        </is>
      </c>
      <c r="D418" s="29" t="n">
        <v>4558.34</v>
      </c>
      <c r="E418" s="29" t="n">
        <v>4717.79398</v>
      </c>
      <c r="F418" s="29" t="n">
        <v>4695.2428</v>
      </c>
      <c r="G418" s="29" t="n">
        <v>4518.59282</v>
      </c>
      <c r="H418" s="29" t="n">
        <v>4596.05595</v>
      </c>
      <c r="I418" s="29" t="n">
        <v>4755.40355</v>
      </c>
      <c r="J418" s="29" t="n">
        <v>4792.76972</v>
      </c>
      <c r="K418" s="29" t="n">
        <v>4769.97694</v>
      </c>
      <c r="L418" s="29" t="n">
        <v>4716.33597</v>
      </c>
      <c r="M418" s="29" t="n">
        <v>4718.85043</v>
      </c>
      <c r="N418" s="29" t="n">
        <v>4531.36057</v>
      </c>
      <c r="O418" s="29" t="n">
        <v>4556.93783</v>
      </c>
      <c r="Q418" s="29" t="n">
        <v>4632.78178</v>
      </c>
      <c r="R418" s="29" t="n">
        <v>4680.79944</v>
      </c>
      <c r="S418" s="29" t="n">
        <v>4656.61583</v>
      </c>
      <c r="V418" s="29" t="n">
        <v>4600.13659</v>
      </c>
      <c r="AB418" s="29" t="n">
        <v>4555.30266</v>
      </c>
      <c r="AC418" s="29" t="n">
        <v>4554.09561</v>
      </c>
      <c r="AD418" s="29" t="n">
        <v>0</v>
      </c>
    </row>
    <row r="419" ht="14.25" customHeight="1" s="28">
      <c r="A419" s="29" t="n">
        <v>1777971601</v>
      </c>
      <c r="B419" s="29" t="inlineStr">
        <is>
          <t>XAUUSD</t>
        </is>
      </c>
      <c r="C419" s="29" t="inlineStr">
        <is>
          <t>M15</t>
        </is>
      </c>
      <c r="D419" s="29" t="n">
        <v>4557.61</v>
      </c>
      <c r="E419" s="29" t="n">
        <v>4717.79398</v>
      </c>
      <c r="F419" s="29" t="n">
        <v>4695.2428</v>
      </c>
      <c r="G419" s="29" t="n">
        <v>4518.59282</v>
      </c>
      <c r="H419" s="29" t="n">
        <v>4596.05595</v>
      </c>
      <c r="I419" s="29" t="n">
        <v>4755.40355</v>
      </c>
      <c r="J419" s="29" t="n">
        <v>4792.76972</v>
      </c>
      <c r="K419" s="29" t="n">
        <v>4769.97694</v>
      </c>
      <c r="L419" s="29" t="n">
        <v>4716.33597</v>
      </c>
      <c r="M419" s="29" t="n">
        <v>4718.85043</v>
      </c>
      <c r="N419" s="29" t="n">
        <v>4531.36057</v>
      </c>
      <c r="O419" s="29" t="n">
        <v>4556.93783</v>
      </c>
      <c r="Q419" s="29" t="n">
        <v>4632.98423</v>
      </c>
      <c r="R419" s="29" t="n">
        <v>4681.00189</v>
      </c>
      <c r="S419" s="29" t="n">
        <v>4656.81828</v>
      </c>
      <c r="V419" s="29" t="n">
        <v>4600.33903</v>
      </c>
      <c r="AB419" s="29" t="n">
        <v>4555.56282</v>
      </c>
      <c r="AC419" s="29" t="n">
        <v>4554.82922</v>
      </c>
      <c r="AD419" s="29" t="n">
        <v>0</v>
      </c>
    </row>
    <row r="420" ht="14.25" customHeight="1" s="28">
      <c r="A420" s="29" t="n">
        <v>1777972501</v>
      </c>
      <c r="B420" s="29" t="inlineStr">
        <is>
          <t>XAUUSD</t>
        </is>
      </c>
      <c r="C420" s="29" t="inlineStr">
        <is>
          <t>M15</t>
        </is>
      </c>
      <c r="D420" s="29" t="n">
        <v>4552.3</v>
      </c>
      <c r="E420" s="29" t="n">
        <v>4717.79398</v>
      </c>
      <c r="F420" s="29" t="n">
        <v>4695.2428</v>
      </c>
      <c r="G420" s="29" t="n">
        <v>4518.59282</v>
      </c>
      <c r="H420" s="29" t="n">
        <v>4596.05595</v>
      </c>
      <c r="I420" s="29" t="n">
        <v>4755.40355</v>
      </c>
      <c r="J420" s="29" t="n">
        <v>4792.76972</v>
      </c>
      <c r="K420" s="29" t="n">
        <v>4769.97694</v>
      </c>
      <c r="L420" s="29" t="n">
        <v>4716.33597</v>
      </c>
      <c r="M420" s="29" t="n">
        <v>4718.85043</v>
      </c>
      <c r="N420" s="29" t="n">
        <v>4531.36057</v>
      </c>
      <c r="O420" s="29" t="n">
        <v>4556.93783</v>
      </c>
      <c r="Q420" s="29" t="n">
        <v>4633.18667</v>
      </c>
      <c r="R420" s="29" t="n">
        <v>4681.20434</v>
      </c>
      <c r="S420" s="29" t="n">
        <v>4657.02072</v>
      </c>
      <c r="V420" s="29" t="n">
        <v>4600.54148</v>
      </c>
      <c r="AB420" s="29" t="n">
        <v>4554.98614</v>
      </c>
      <c r="AC420" s="29" t="n">
        <v>4554.90768</v>
      </c>
      <c r="AD420" s="29" t="n">
        <v>0</v>
      </c>
    </row>
    <row r="421" ht="14.25" customHeight="1" s="28">
      <c r="A421" s="29" t="n">
        <v>1777973401</v>
      </c>
      <c r="B421" s="29" t="inlineStr">
        <is>
          <t>XAUUSD</t>
        </is>
      </c>
      <c r="C421" s="29" t="inlineStr">
        <is>
          <t>M15</t>
        </is>
      </c>
      <c r="D421" s="29" t="n">
        <v>4555.5</v>
      </c>
      <c r="E421" s="29" t="n">
        <v>4717.79398</v>
      </c>
      <c r="F421" s="29" t="n">
        <v>4695.2428</v>
      </c>
      <c r="G421" s="29" t="n">
        <v>4518.59282</v>
      </c>
      <c r="H421" s="29" t="n">
        <v>4596.05595</v>
      </c>
      <c r="I421" s="29" t="n">
        <v>4755.40355</v>
      </c>
      <c r="J421" s="29" t="n">
        <v>4792.76972</v>
      </c>
      <c r="K421" s="29" t="n">
        <v>4769.97694</v>
      </c>
      <c r="L421" s="29" t="n">
        <v>4716.33597</v>
      </c>
      <c r="M421" s="29" t="n">
        <v>4718.85043</v>
      </c>
      <c r="N421" s="29" t="n">
        <v>4531.36057</v>
      </c>
      <c r="O421" s="29" t="n">
        <v>4556.93783</v>
      </c>
      <c r="Q421" s="29" t="n">
        <v>4633.38912</v>
      </c>
      <c r="R421" s="29" t="n">
        <v>4681.40678</v>
      </c>
      <c r="S421" s="29" t="n">
        <v>4657.22317</v>
      </c>
      <c r="V421" s="29" t="n">
        <v>4600.74393</v>
      </c>
      <c r="AB421" s="29" t="n">
        <v>4553.80154</v>
      </c>
      <c r="AC421" s="29" t="n">
        <v>4554.35461</v>
      </c>
      <c r="AD421" s="29" t="n">
        <v>1</v>
      </c>
    </row>
    <row r="422" ht="14.25" customHeight="1" s="28">
      <c r="A422" s="29" t="n">
        <v>1777974301</v>
      </c>
      <c r="B422" s="29" t="inlineStr">
        <is>
          <t>XAUUSD</t>
        </is>
      </c>
      <c r="C422" s="29" t="inlineStr">
        <is>
          <t>M15</t>
        </is>
      </c>
      <c r="D422" s="29" t="n">
        <v>4556.21</v>
      </c>
      <c r="E422" s="29" t="n">
        <v>4717.79398</v>
      </c>
      <c r="F422" s="29" t="n">
        <v>4695.2428</v>
      </c>
      <c r="G422" s="29" t="n">
        <v>4518.59282</v>
      </c>
      <c r="H422" s="29" t="n">
        <v>4596.05595</v>
      </c>
      <c r="I422" s="29" t="n">
        <v>4755.40355</v>
      </c>
      <c r="J422" s="29" t="n">
        <v>4792.76972</v>
      </c>
      <c r="K422" s="29" t="n">
        <v>4769.97694</v>
      </c>
      <c r="L422" s="29" t="n">
        <v>4716.33597</v>
      </c>
      <c r="M422" s="29" t="n">
        <v>4718.85043</v>
      </c>
      <c r="N422" s="29" t="n">
        <v>4531.36057</v>
      </c>
      <c r="O422" s="29" t="n">
        <v>4556.93783</v>
      </c>
      <c r="Q422" s="29" t="n">
        <v>4633.59156</v>
      </c>
      <c r="R422" s="29" t="n">
        <v>4681.60923</v>
      </c>
      <c r="S422" s="29" t="n">
        <v>4657.42562</v>
      </c>
      <c r="V422" s="29" t="n">
        <v>4600.94637</v>
      </c>
      <c r="AB422" s="29" t="n">
        <v>4552.18957</v>
      </c>
      <c r="AC422" s="29" t="n">
        <v>4553.27209</v>
      </c>
      <c r="AD422" s="29" t="n">
        <v>0</v>
      </c>
    </row>
    <row r="423" ht="14.25" customHeight="1" s="28">
      <c r="A423" s="29" t="n">
        <v>1777975201</v>
      </c>
      <c r="B423" s="29" t="inlineStr">
        <is>
          <t>XAUUSD</t>
        </is>
      </c>
      <c r="C423" s="29" t="inlineStr">
        <is>
          <t>M15</t>
        </is>
      </c>
      <c r="D423" s="29" t="n">
        <v>4553.01</v>
      </c>
      <c r="E423" s="29" t="n">
        <v>4717.79398</v>
      </c>
      <c r="F423" s="29" t="n">
        <v>4695.2428</v>
      </c>
      <c r="G423" s="29" t="n">
        <v>4518.59282</v>
      </c>
      <c r="H423" s="29" t="n">
        <v>4596.05595</v>
      </c>
      <c r="I423" s="29" t="n">
        <v>4755.40355</v>
      </c>
      <c r="J423" s="29" t="n">
        <v>4792.76972</v>
      </c>
      <c r="K423" s="29" t="n">
        <v>4769.97694</v>
      </c>
      <c r="L423" s="29" t="n">
        <v>4716.33597</v>
      </c>
      <c r="M423" s="29" t="n">
        <v>4718.85043</v>
      </c>
      <c r="N423" s="29" t="n">
        <v>4531.36057</v>
      </c>
      <c r="O423" s="29" t="n">
        <v>4556.93783</v>
      </c>
      <c r="Q423" s="29" t="n">
        <v>4633.79401</v>
      </c>
      <c r="R423" s="29" t="n">
        <v>4681.81167</v>
      </c>
      <c r="S423" s="29" t="n">
        <v>4657.62806</v>
      </c>
      <c r="V423" s="29" t="n">
        <v>4601.14882</v>
      </c>
      <c r="AB423" s="29" t="n">
        <v>4550.49676</v>
      </c>
      <c r="AC423" s="29" t="n">
        <v>4551.88442</v>
      </c>
      <c r="AD423" s="29" t="n">
        <v>0</v>
      </c>
    </row>
    <row r="424" ht="14.25" customHeight="1" s="28">
      <c r="A424" s="29" t="n">
        <v>1777976101</v>
      </c>
      <c r="B424" s="29" t="inlineStr">
        <is>
          <t>XAUUSD</t>
        </is>
      </c>
      <c r="C424" s="29" t="inlineStr">
        <is>
          <t>M15</t>
        </is>
      </c>
      <c r="D424" s="29" t="n">
        <v>4547.92</v>
      </c>
      <c r="E424" s="29" t="n">
        <v>4717.79398</v>
      </c>
      <c r="F424" s="29" t="n">
        <v>4695.2428</v>
      </c>
      <c r="G424" s="29" t="n">
        <v>4518.59282</v>
      </c>
      <c r="H424" s="29" t="n">
        <v>4596.05595</v>
      </c>
      <c r="I424" s="29" t="n">
        <v>4755.40355</v>
      </c>
      <c r="J424" s="29" t="n">
        <v>4792.76972</v>
      </c>
      <c r="K424" s="29" t="n">
        <v>4769.97694</v>
      </c>
      <c r="L424" s="29" t="n">
        <v>4716.33597</v>
      </c>
      <c r="M424" s="29" t="n">
        <v>4718.85043</v>
      </c>
      <c r="N424" s="29" t="n">
        <v>4531.36057</v>
      </c>
      <c r="O424" s="29" t="n">
        <v>4556.93783</v>
      </c>
      <c r="Q424" s="29" t="n">
        <v>4633.99645</v>
      </c>
      <c r="R424" s="29" t="n">
        <v>4682.01412</v>
      </c>
      <c r="S424" s="29" t="n">
        <v>4657.83051</v>
      </c>
      <c r="V424" s="29" t="n">
        <v>4601.35126</v>
      </c>
      <c r="AB424" s="29" t="n">
        <v>4549.2311</v>
      </c>
      <c r="AC424" s="29" t="n">
        <v>4550.55776</v>
      </c>
      <c r="AD424" s="29" t="n">
        <v>0</v>
      </c>
    </row>
    <row r="425" ht="14.25" customHeight="1" s="28">
      <c r="A425" s="29" t="n">
        <v>1777977001</v>
      </c>
      <c r="B425" s="29" t="inlineStr">
        <is>
          <t>XAUUSD</t>
        </is>
      </c>
      <c r="C425" s="29" t="inlineStr">
        <is>
          <t>M15</t>
        </is>
      </c>
      <c r="D425" s="29" t="n">
        <v>4545.13</v>
      </c>
      <c r="E425" s="29" t="n">
        <v>4717.79398</v>
      </c>
      <c r="F425" s="29" t="n">
        <v>4695.2428</v>
      </c>
      <c r="G425" s="29" t="n">
        <v>4518.59282</v>
      </c>
      <c r="H425" s="29" t="n">
        <v>4596.05595</v>
      </c>
      <c r="I425" s="29" t="n">
        <v>4755.40355</v>
      </c>
      <c r="J425" s="29" t="n">
        <v>4792.76972</v>
      </c>
      <c r="K425" s="29" t="n">
        <v>4769.97694</v>
      </c>
      <c r="L425" s="29" t="n">
        <v>4716.33597</v>
      </c>
      <c r="M425" s="29" t="n">
        <v>4718.85043</v>
      </c>
      <c r="N425" s="29" t="n">
        <v>4531.36057</v>
      </c>
      <c r="O425" s="29" t="n">
        <v>4556.93783</v>
      </c>
      <c r="Q425" s="29" t="n">
        <v>4634.1989</v>
      </c>
      <c r="R425" s="29" t="n">
        <v>4682.21656</v>
      </c>
      <c r="S425" s="29" t="n">
        <v>4658.03295</v>
      </c>
      <c r="V425" s="29" t="n">
        <v>4601.55371</v>
      </c>
      <c r="AB425" s="29" t="n">
        <v>4548.92382</v>
      </c>
      <c r="AC425" s="29" t="n">
        <v>4549.74079</v>
      </c>
      <c r="AD425" s="29" t="n">
        <v>0</v>
      </c>
    </row>
    <row r="426" ht="14.25" customHeight="1" s="28">
      <c r="A426" s="29" t="n">
        <v>1777977901</v>
      </c>
      <c r="B426" s="29" t="inlineStr">
        <is>
          <t>XAUUSD</t>
        </is>
      </c>
      <c r="C426" s="29" t="inlineStr">
        <is>
          <t>M15</t>
        </is>
      </c>
      <c r="D426" s="29" t="n">
        <v>4543.73</v>
      </c>
      <c r="E426" s="29" t="n">
        <v>4717.79398</v>
      </c>
      <c r="F426" s="29" t="n">
        <v>4695.2428</v>
      </c>
      <c r="G426" s="29" t="n">
        <v>4518.59282</v>
      </c>
      <c r="H426" s="29" t="n">
        <v>4596.05595</v>
      </c>
      <c r="I426" s="29" t="n">
        <v>4755.40355</v>
      </c>
      <c r="J426" s="29" t="n">
        <v>4792.76972</v>
      </c>
      <c r="K426" s="29" t="n">
        <v>4769.97694</v>
      </c>
      <c r="L426" s="29" t="n">
        <v>4716.33597</v>
      </c>
      <c r="M426" s="29" t="n">
        <v>4718.85043</v>
      </c>
      <c r="N426" s="29" t="n">
        <v>4531.36057</v>
      </c>
      <c r="O426" s="29" t="n">
        <v>4556.93783</v>
      </c>
      <c r="Q426" s="29" t="n">
        <v>4634.40135</v>
      </c>
      <c r="R426" s="29" t="n">
        <v>4682.41901</v>
      </c>
      <c r="S426" s="29" t="n">
        <v>4658.2354</v>
      </c>
      <c r="V426" s="29" t="n">
        <v>4601.75615</v>
      </c>
      <c r="AB426" s="29" t="n">
        <v>4549.87029</v>
      </c>
      <c r="AC426" s="29" t="n">
        <v>4549.80554</v>
      </c>
      <c r="AD426" s="29" t="n">
        <v>1</v>
      </c>
    </row>
    <row r="427" ht="14.25" customHeight="1" s="28">
      <c r="A427" s="29" t="n">
        <v>1777978801</v>
      </c>
      <c r="B427" s="29" t="inlineStr">
        <is>
          <t>XAUUSD</t>
        </is>
      </c>
      <c r="C427" s="29" t="inlineStr">
        <is>
          <t>M15</t>
        </is>
      </c>
      <c r="D427" s="29" t="n">
        <v>4552.62</v>
      </c>
      <c r="E427" s="29" t="n">
        <v>4717.79398</v>
      </c>
      <c r="F427" s="29" t="n">
        <v>4695.2428</v>
      </c>
      <c r="G427" s="29" t="n">
        <v>4518.59282</v>
      </c>
      <c r="H427" s="29" t="n">
        <v>4596.05595</v>
      </c>
      <c r="I427" s="29" t="n">
        <v>4755.40355</v>
      </c>
      <c r="J427" s="29" t="n">
        <v>4792.76972</v>
      </c>
      <c r="K427" s="29" t="n">
        <v>4769.97694</v>
      </c>
      <c r="L427" s="29" t="n">
        <v>4716.33597</v>
      </c>
      <c r="M427" s="29" t="n">
        <v>4718.85043</v>
      </c>
      <c r="N427" s="29" t="n">
        <v>4531.36057</v>
      </c>
      <c r="O427" s="29" t="n">
        <v>4556.93783</v>
      </c>
      <c r="Q427" s="29" t="n">
        <v>4634.60379</v>
      </c>
      <c r="R427" s="29" t="n">
        <v>4682.62146</v>
      </c>
      <c r="S427" s="29" t="n">
        <v>4658.43784</v>
      </c>
      <c r="V427" s="29" t="n">
        <v>4601.9586</v>
      </c>
      <c r="AA427" s="29" t="n">
        <v>4540</v>
      </c>
      <c r="AB427" s="29" t="n">
        <v>4552.13222</v>
      </c>
      <c r="AC427" s="29" t="n">
        <v>4550.96888</v>
      </c>
      <c r="AD427" s="29" t="n">
        <v>0</v>
      </c>
    </row>
    <row r="428" ht="14.25" customHeight="1" s="28">
      <c r="A428" s="29" t="n">
        <v>1777979701</v>
      </c>
      <c r="B428" s="29" t="inlineStr">
        <is>
          <t>XAUUSD</t>
        </is>
      </c>
      <c r="C428" s="29" t="inlineStr">
        <is>
          <t>M15</t>
        </is>
      </c>
      <c r="D428" s="29" t="n">
        <v>4556.17</v>
      </c>
      <c r="E428" s="29" t="n">
        <v>4717.79398</v>
      </c>
      <c r="F428" s="29" t="n">
        <v>4695.2428</v>
      </c>
      <c r="G428" s="29" t="n">
        <v>4518.59282</v>
      </c>
      <c r="H428" s="29" t="n">
        <v>4596.05595</v>
      </c>
      <c r="I428" s="29" t="n">
        <v>4755.40355</v>
      </c>
      <c r="J428" s="29" t="n">
        <v>4792.76972</v>
      </c>
      <c r="K428" s="29" t="n">
        <v>4769.97694</v>
      </c>
      <c r="L428" s="29" t="n">
        <v>4716.33597</v>
      </c>
      <c r="M428" s="29" t="n">
        <v>4718.85043</v>
      </c>
      <c r="N428" s="29" t="n">
        <v>4531.36057</v>
      </c>
      <c r="O428" s="29" t="n">
        <v>4556.93783</v>
      </c>
      <c r="Q428" s="29" t="n">
        <v>4634.80624</v>
      </c>
      <c r="R428" s="29" t="n">
        <v>4682.8239</v>
      </c>
      <c r="S428" s="29" t="n">
        <v>4658.64029</v>
      </c>
      <c r="V428" s="29" t="n">
        <v>4602.16105</v>
      </c>
      <c r="AB428" s="29" t="n">
        <v>4555.2737</v>
      </c>
      <c r="AC428" s="29" t="n">
        <v>4553.12129</v>
      </c>
      <c r="AD428" s="29" t="n">
        <v>0</v>
      </c>
    </row>
    <row r="429" ht="14.25" customHeight="1" s="28">
      <c r="A429" s="29" t="n">
        <v>1777980601</v>
      </c>
      <c r="B429" s="29" t="inlineStr">
        <is>
          <t>XAUUSD</t>
        </is>
      </c>
      <c r="C429" s="29" t="inlineStr">
        <is>
          <t>M15</t>
        </is>
      </c>
      <c r="D429" s="29" t="n">
        <v>4563.32</v>
      </c>
      <c r="E429" s="29" t="n">
        <v>4717.79398</v>
      </c>
      <c r="F429" s="29" t="n">
        <v>4695.2428</v>
      </c>
      <c r="G429" s="29" t="n">
        <v>4518.59282</v>
      </c>
      <c r="H429" s="29" t="n">
        <v>4596.05595</v>
      </c>
      <c r="I429" s="29" t="n">
        <v>4755.40355</v>
      </c>
      <c r="J429" s="29" t="n">
        <v>4792.76972</v>
      </c>
      <c r="K429" s="29" t="n">
        <v>4769.97694</v>
      </c>
      <c r="L429" s="29" t="n">
        <v>4716.33597</v>
      </c>
      <c r="M429" s="29" t="n">
        <v>4718.85043</v>
      </c>
      <c r="N429" s="29" t="n">
        <v>4531.36057</v>
      </c>
      <c r="O429" s="29" t="n">
        <v>4556.93783</v>
      </c>
      <c r="Q429" s="29" t="n">
        <v>4635.00868</v>
      </c>
      <c r="R429" s="29" t="n">
        <v>4683.02635</v>
      </c>
      <c r="S429" s="29" t="n">
        <v>4658.84274</v>
      </c>
      <c r="V429" s="29" t="n">
        <v>4602.36349</v>
      </c>
      <c r="AB429" s="29" t="n">
        <v>4558.87452</v>
      </c>
      <c r="AC429" s="29" t="n">
        <v>4555.9979</v>
      </c>
      <c r="AD429" s="29" t="n">
        <v>0</v>
      </c>
    </row>
    <row r="430" ht="14.25" customHeight="1" s="28">
      <c r="A430" s="29" t="n">
        <v>1777981501</v>
      </c>
      <c r="B430" s="29" t="inlineStr">
        <is>
          <t>XAUUSD</t>
        </is>
      </c>
      <c r="C430" s="29" t="inlineStr">
        <is>
          <t>M15</t>
        </is>
      </c>
      <c r="D430" s="29" t="n">
        <v>4562.6</v>
      </c>
      <c r="E430" s="29" t="n">
        <v>4717.79398</v>
      </c>
      <c r="F430" s="29" t="n">
        <v>4695.2428</v>
      </c>
      <c r="G430" s="29" t="n">
        <v>4518.59282</v>
      </c>
      <c r="H430" s="29" t="n">
        <v>4596.05595</v>
      </c>
      <c r="I430" s="29" t="n">
        <v>4755.40355</v>
      </c>
      <c r="J430" s="29" t="n">
        <v>4792.76972</v>
      </c>
      <c r="K430" s="29" t="n">
        <v>4769.97694</v>
      </c>
      <c r="L430" s="29" t="n">
        <v>4716.33597</v>
      </c>
      <c r="M430" s="29" t="n">
        <v>4718.85043</v>
      </c>
      <c r="N430" s="29" t="n">
        <v>4531.36057</v>
      </c>
      <c r="O430" s="29" t="n">
        <v>4556.93783</v>
      </c>
      <c r="Q430" s="29" t="n">
        <v>4635.21113</v>
      </c>
      <c r="R430" s="29" t="n">
        <v>4683.22879</v>
      </c>
      <c r="S430" s="29" t="n">
        <v>4659.04518</v>
      </c>
      <c r="V430" s="29" t="n">
        <v>4602.56594</v>
      </c>
      <c r="AB430" s="29" t="n">
        <v>4562.40143</v>
      </c>
      <c r="AC430" s="29" t="n">
        <v>4559.19967</v>
      </c>
      <c r="AD430" s="29" t="n">
        <v>0</v>
      </c>
    </row>
    <row r="431" ht="14.25" customHeight="1" s="28">
      <c r="A431" s="29" t="n">
        <v>1777982401</v>
      </c>
      <c r="B431" s="29" t="inlineStr">
        <is>
          <t>XAUUSD</t>
        </is>
      </c>
      <c r="C431" s="29" t="inlineStr">
        <is>
          <t>M15</t>
        </is>
      </c>
      <c r="D431" s="29" t="n">
        <v>4565</v>
      </c>
      <c r="E431" s="29" t="n">
        <v>4717.79398</v>
      </c>
      <c r="F431" s="29" t="n">
        <v>4695.2428</v>
      </c>
      <c r="G431" s="29" t="n">
        <v>4518.59282</v>
      </c>
      <c r="H431" s="29" t="n">
        <v>4596.05595</v>
      </c>
      <c r="I431" s="29" t="n">
        <v>4755.40355</v>
      </c>
      <c r="J431" s="29" t="n">
        <v>4792.76972</v>
      </c>
      <c r="K431" s="29" t="n">
        <v>4769.97694</v>
      </c>
      <c r="L431" s="29" t="n">
        <v>4716.33597</v>
      </c>
      <c r="M431" s="29" t="n">
        <v>4718.85043</v>
      </c>
      <c r="N431" s="29" t="n">
        <v>4531.36057</v>
      </c>
      <c r="O431" s="29" t="n">
        <v>4556.93783</v>
      </c>
      <c r="Q431" s="29" t="n">
        <v>4635.41357</v>
      </c>
      <c r="R431" s="29" t="n">
        <v>4683.43124</v>
      </c>
      <c r="S431" s="29" t="n">
        <v>4659.24763</v>
      </c>
      <c r="V431" s="29" t="n">
        <v>4602.76838</v>
      </c>
      <c r="AB431" s="29" t="n">
        <v>4565.61475</v>
      </c>
      <c r="AC431" s="29" t="n">
        <v>4562.40721</v>
      </c>
      <c r="AD431" s="29" t="n">
        <v>0</v>
      </c>
    </row>
    <row r="432" ht="14.25" customHeight="1" s="28">
      <c r="A432" s="29" t="n">
        <v>1777983301</v>
      </c>
      <c r="B432" s="29" t="inlineStr">
        <is>
          <t>XAUUSD</t>
        </is>
      </c>
      <c r="C432" s="29" t="inlineStr">
        <is>
          <t>M15</t>
        </is>
      </c>
      <c r="D432" s="29" t="n">
        <v>4573.81</v>
      </c>
      <c r="E432" s="29" t="n">
        <v>4717.79398</v>
      </c>
      <c r="F432" s="29" t="n">
        <v>4695.2428</v>
      </c>
      <c r="G432" s="29" t="n">
        <v>4518.59282</v>
      </c>
      <c r="H432" s="29" t="n">
        <v>4596.05595</v>
      </c>
      <c r="I432" s="29" t="n">
        <v>4755.40355</v>
      </c>
      <c r="J432" s="29" t="n">
        <v>4792.76972</v>
      </c>
      <c r="K432" s="29" t="n">
        <v>4769.97694</v>
      </c>
      <c r="L432" s="29" t="n">
        <v>4716.33597</v>
      </c>
      <c r="M432" s="29" t="n">
        <v>4718.85043</v>
      </c>
      <c r="N432" s="29" t="n">
        <v>4531.36057</v>
      </c>
      <c r="O432" s="29" t="n">
        <v>4556.93783</v>
      </c>
      <c r="Q432" s="29" t="n">
        <v>4635.61602</v>
      </c>
      <c r="R432" s="29" t="n">
        <v>4683.63368</v>
      </c>
      <c r="S432" s="29" t="n">
        <v>4659.45007</v>
      </c>
      <c r="V432" s="29" t="n">
        <v>4602.97083</v>
      </c>
      <c r="AB432" s="29" t="n">
        <v>4568.31576</v>
      </c>
      <c r="AC432" s="29" t="n">
        <v>4565.36148</v>
      </c>
      <c r="AD432" s="29" t="n">
        <v>0</v>
      </c>
    </row>
    <row r="433" ht="14.25" customHeight="1" s="28">
      <c r="A433" s="29" t="n">
        <v>1777984201</v>
      </c>
      <c r="B433" s="29" t="inlineStr">
        <is>
          <t>XAUUSD</t>
        </is>
      </c>
      <c r="C433" s="29" t="inlineStr">
        <is>
          <t>M15</t>
        </is>
      </c>
      <c r="D433" s="29" t="n">
        <v>4567.11</v>
      </c>
      <c r="E433" s="29" t="n">
        <v>4717.79398</v>
      </c>
      <c r="F433" s="29" t="n">
        <v>4695.2428</v>
      </c>
      <c r="G433" s="29" t="n">
        <v>4518.59282</v>
      </c>
      <c r="H433" s="29" t="n">
        <v>4596.05595</v>
      </c>
      <c r="I433" s="29" t="n">
        <v>4755.40355</v>
      </c>
      <c r="J433" s="29" t="n">
        <v>4792.76972</v>
      </c>
      <c r="K433" s="29" t="n">
        <v>4769.97694</v>
      </c>
      <c r="L433" s="29" t="n">
        <v>4716.33597</v>
      </c>
      <c r="M433" s="29" t="n">
        <v>4718.85043</v>
      </c>
      <c r="N433" s="29" t="n">
        <v>4531.36057</v>
      </c>
      <c r="O433" s="29" t="n">
        <v>4556.93783</v>
      </c>
      <c r="Q433" s="29" t="n">
        <v>4635.81847</v>
      </c>
      <c r="R433" s="29" t="n">
        <v>4683.83613</v>
      </c>
      <c r="S433" s="29" t="n">
        <v>4659.65252</v>
      </c>
      <c r="V433" s="29" t="n">
        <v>4603.17327</v>
      </c>
      <c r="AB433" s="29" t="n">
        <v>4570.29627</v>
      </c>
      <c r="AC433" s="29" t="n">
        <v>4567.82888</v>
      </c>
      <c r="AD433" s="29" t="n">
        <v>0</v>
      </c>
    </row>
    <row r="434" ht="14.25" customHeight="1" s="28">
      <c r="A434" s="29" t="n">
        <v>1777985101</v>
      </c>
      <c r="B434" s="29" t="inlineStr">
        <is>
          <t>XAUUSD</t>
        </is>
      </c>
      <c r="C434" s="29" t="inlineStr">
        <is>
          <t>M15</t>
        </is>
      </c>
      <c r="D434" s="29" t="n">
        <v>4564.68</v>
      </c>
      <c r="E434" s="29" t="n">
        <v>4717.79398</v>
      </c>
      <c r="F434" s="29" t="n">
        <v>4695.2428</v>
      </c>
      <c r="G434" s="29" t="n">
        <v>4518.59282</v>
      </c>
      <c r="H434" s="29" t="n">
        <v>4596.05595</v>
      </c>
      <c r="I434" s="29" t="n">
        <v>4755.40355</v>
      </c>
      <c r="J434" s="29" t="n">
        <v>4792.76972</v>
      </c>
      <c r="K434" s="29" t="n">
        <v>4769.97694</v>
      </c>
      <c r="L434" s="29" t="n">
        <v>4716.33597</v>
      </c>
      <c r="M434" s="29" t="n">
        <v>4718.85043</v>
      </c>
      <c r="N434" s="29" t="n">
        <v>4531.36057</v>
      </c>
      <c r="O434" s="29" t="n">
        <v>4556.93783</v>
      </c>
      <c r="Q434" s="29" t="n">
        <v>4636.02091</v>
      </c>
      <c r="R434" s="29" t="n">
        <v>4684.03858</v>
      </c>
      <c r="S434" s="29" t="n">
        <v>4659.85496</v>
      </c>
      <c r="V434" s="29" t="n">
        <v>4603.37572</v>
      </c>
      <c r="AB434" s="29" t="n">
        <v>4571.91455</v>
      </c>
      <c r="AC434" s="29" t="n">
        <v>4569.87171</v>
      </c>
      <c r="AD434" s="29" t="n">
        <v>0</v>
      </c>
    </row>
    <row r="435" ht="14.25" customHeight="1" s="28">
      <c r="A435" s="29" t="n">
        <v>1777986001</v>
      </c>
      <c r="B435" s="29" t="inlineStr">
        <is>
          <t>XAUUSD</t>
        </is>
      </c>
      <c r="C435" s="29" t="inlineStr">
        <is>
          <t>M15</t>
        </is>
      </c>
      <c r="D435" s="29" t="n">
        <v>4578.78</v>
      </c>
      <c r="E435" s="29" t="n">
        <v>4717.79398</v>
      </c>
      <c r="F435" s="29" t="n">
        <v>4695.2428</v>
      </c>
      <c r="G435" s="29" t="n">
        <v>4518.59282</v>
      </c>
      <c r="H435" s="29" t="n">
        <v>4596.05595</v>
      </c>
      <c r="I435" s="29" t="n">
        <v>4755.40355</v>
      </c>
      <c r="J435" s="29" t="n">
        <v>4792.76972</v>
      </c>
      <c r="K435" s="29" t="n">
        <v>4769.97694</v>
      </c>
      <c r="L435" s="29" t="n">
        <v>4716.33597</v>
      </c>
      <c r="M435" s="29" t="n">
        <v>4718.85043</v>
      </c>
      <c r="N435" s="29" t="n">
        <v>4531.36057</v>
      </c>
      <c r="O435" s="29" t="n">
        <v>4556.93783</v>
      </c>
      <c r="Q435" s="29" t="n">
        <v>4636.22336</v>
      </c>
      <c r="R435" s="29" t="n">
        <v>4684.24102</v>
      </c>
      <c r="S435" s="29" t="n">
        <v>4660.05741</v>
      </c>
      <c r="V435" s="29" t="n">
        <v>4603.57817</v>
      </c>
      <c r="AB435" s="29" t="n">
        <v>4573.49659</v>
      </c>
      <c r="AC435" s="29" t="n">
        <v>4571.68415</v>
      </c>
      <c r="AD435" s="29" t="n">
        <v>0</v>
      </c>
    </row>
    <row r="436" ht="14.25" customHeight="1" s="28">
      <c r="A436" s="29" t="n">
        <v>1777986901</v>
      </c>
      <c r="B436" s="29" t="inlineStr">
        <is>
          <t>XAUUSD</t>
        </is>
      </c>
      <c r="C436" s="29" t="inlineStr">
        <is>
          <t>M15</t>
        </is>
      </c>
      <c r="D436" s="29" t="n">
        <v>4576.85</v>
      </c>
      <c r="E436" s="29" t="n">
        <v>4717.79398</v>
      </c>
      <c r="F436" s="29" t="n">
        <v>4695.2428</v>
      </c>
      <c r="G436" s="29" t="n">
        <v>4518.59282</v>
      </c>
      <c r="H436" s="29" t="n">
        <v>4596.05595</v>
      </c>
      <c r="I436" s="29" t="n">
        <v>4755.40355</v>
      </c>
      <c r="J436" s="29" t="n">
        <v>4792.76972</v>
      </c>
      <c r="K436" s="29" t="n">
        <v>4769.97694</v>
      </c>
      <c r="L436" s="29" t="n">
        <v>4716.33597</v>
      </c>
      <c r="M436" s="29" t="n">
        <v>4718.85043</v>
      </c>
      <c r="N436" s="29" t="n">
        <v>4531.36057</v>
      </c>
      <c r="O436" s="29" t="n">
        <v>4556.93783</v>
      </c>
      <c r="Q436" s="29" t="n">
        <v>4636.4258</v>
      </c>
      <c r="R436" s="29" t="n">
        <v>4684.44347</v>
      </c>
      <c r="S436" s="29" t="n">
        <v>4660.25986</v>
      </c>
      <c r="V436" s="29" t="n">
        <v>4603.78061</v>
      </c>
      <c r="AB436" s="29" t="n">
        <v>4574.9018</v>
      </c>
      <c r="AC436" s="29" t="n">
        <v>4573.29297</v>
      </c>
      <c r="AD436" s="29" t="n">
        <v>0</v>
      </c>
    </row>
    <row r="437" ht="14.25" customHeight="1" s="28">
      <c r="A437" s="29" t="n">
        <v>1777987801</v>
      </c>
      <c r="B437" s="29" t="inlineStr">
        <is>
          <t>XAUUSD</t>
        </is>
      </c>
      <c r="C437" s="29" t="inlineStr">
        <is>
          <t>M15</t>
        </is>
      </c>
      <c r="D437" s="29" t="n">
        <v>4574.12</v>
      </c>
      <c r="E437" s="29" t="n">
        <v>4717.79398</v>
      </c>
      <c r="F437" s="29" t="n">
        <v>4695.2428</v>
      </c>
      <c r="G437" s="29" t="n">
        <v>4518.59282</v>
      </c>
      <c r="H437" s="29" t="n">
        <v>4596.05595</v>
      </c>
      <c r="I437" s="29" t="n">
        <v>4755.40355</v>
      </c>
      <c r="J437" s="29" t="n">
        <v>4792.76972</v>
      </c>
      <c r="K437" s="29" t="n">
        <v>4769.97694</v>
      </c>
      <c r="L437" s="29" t="n">
        <v>4716.33597</v>
      </c>
      <c r="M437" s="29" t="n">
        <v>4718.85043</v>
      </c>
      <c r="N437" s="29" t="n">
        <v>4531.36057</v>
      </c>
      <c r="O437" s="29" t="n">
        <v>4556.93783</v>
      </c>
      <c r="Q437" s="29" t="n">
        <v>4636.62825</v>
      </c>
      <c r="R437" s="29" t="n">
        <v>4684.64591</v>
      </c>
      <c r="S437" s="29" t="n">
        <v>4660.4623</v>
      </c>
      <c r="V437" s="29" t="n">
        <v>4603.98306</v>
      </c>
      <c r="AB437" s="29" t="n">
        <v>4576.36918</v>
      </c>
      <c r="AC437" s="29" t="n">
        <v>4574.83108</v>
      </c>
      <c r="AD437" s="29" t="n">
        <v>0</v>
      </c>
    </row>
    <row r="438" ht="14.25" customHeight="1" s="28">
      <c r="A438" s="29" t="n">
        <v>1777988701</v>
      </c>
      <c r="B438" s="29" t="inlineStr">
        <is>
          <t>XAUUSD</t>
        </is>
      </c>
      <c r="C438" s="29" t="inlineStr">
        <is>
          <t>M15</t>
        </is>
      </c>
      <c r="D438" s="29" t="n">
        <v>4579.4</v>
      </c>
      <c r="E438" s="29" t="n">
        <v>4717.79398</v>
      </c>
      <c r="F438" s="29" t="n">
        <v>4695.2428</v>
      </c>
      <c r="G438" s="29" t="n">
        <v>4518.59282</v>
      </c>
      <c r="H438" s="29" t="n">
        <v>4596.05595</v>
      </c>
      <c r="I438" s="29" t="n">
        <v>4755.40355</v>
      </c>
      <c r="J438" s="29" t="n">
        <v>4792.76972</v>
      </c>
      <c r="K438" s="29" t="n">
        <v>4769.97694</v>
      </c>
      <c r="L438" s="29" t="n">
        <v>4716.33597</v>
      </c>
      <c r="M438" s="29" t="n">
        <v>4718.85043</v>
      </c>
      <c r="N438" s="29" t="n">
        <v>4531.36057</v>
      </c>
      <c r="O438" s="29" t="n">
        <v>4556.93783</v>
      </c>
      <c r="Q438" s="29" t="n">
        <v>4636.83069</v>
      </c>
      <c r="R438" s="29" t="n">
        <v>4684.84836</v>
      </c>
      <c r="S438" s="29" t="n">
        <v>4660.66475</v>
      </c>
      <c r="V438" s="29" t="n">
        <v>4604.1855</v>
      </c>
      <c r="AB438" s="29" t="n">
        <v>4578.05835</v>
      </c>
      <c r="AC438" s="29" t="n">
        <v>4576.44471</v>
      </c>
      <c r="AD438" s="29" t="n">
        <v>0</v>
      </c>
    </row>
    <row r="439" ht="14.25" customHeight="1" s="28">
      <c r="A439" s="29" t="n">
        <v>1777989601</v>
      </c>
      <c r="B439" s="29" t="inlineStr">
        <is>
          <t>XAUUSD</t>
        </is>
      </c>
      <c r="C439" s="29" t="inlineStr">
        <is>
          <t>M15</t>
        </is>
      </c>
      <c r="D439" s="29" t="n">
        <v>4573.57</v>
      </c>
      <c r="E439" s="29" t="n">
        <v>4717.79398</v>
      </c>
      <c r="F439" s="29" t="n">
        <v>4695.2428</v>
      </c>
      <c r="G439" s="29" t="n">
        <v>4518.59282</v>
      </c>
      <c r="H439" s="29" t="n">
        <v>4596.05595</v>
      </c>
      <c r="I439" s="29" t="n">
        <v>4755.40355</v>
      </c>
      <c r="J439" s="29" t="n">
        <v>4792.76972</v>
      </c>
      <c r="K439" s="29" t="n">
        <v>4769.97694</v>
      </c>
      <c r="L439" s="29" t="n">
        <v>4716.33597</v>
      </c>
      <c r="M439" s="29" t="n">
        <v>4718.85043</v>
      </c>
      <c r="N439" s="29" t="n">
        <v>4531.36057</v>
      </c>
      <c r="O439" s="29" t="n">
        <v>4556.93783</v>
      </c>
      <c r="Q439" s="29" t="n">
        <v>4637.03314</v>
      </c>
      <c r="R439" s="29" t="n">
        <v>4685.0508</v>
      </c>
      <c r="S439" s="29" t="n">
        <v>4660.86719</v>
      </c>
      <c r="V439" s="29" t="n">
        <v>4604.38795</v>
      </c>
      <c r="AB439" s="29" t="n">
        <v>4579.74212</v>
      </c>
      <c r="AC439" s="29" t="n">
        <v>4578.09342</v>
      </c>
      <c r="AD439" s="29" t="n">
        <v>0</v>
      </c>
    </row>
    <row r="440" ht="14.25" customHeight="1" s="28">
      <c r="A440" s="29" t="n">
        <v>1777990501</v>
      </c>
      <c r="B440" s="29" t="inlineStr">
        <is>
          <t>XAUUSD</t>
        </is>
      </c>
      <c r="C440" s="29" t="inlineStr">
        <is>
          <t>M15</t>
        </is>
      </c>
      <c r="D440" s="29" t="n">
        <v>4584.37</v>
      </c>
      <c r="E440" s="29" t="n">
        <v>4717.79398</v>
      </c>
      <c r="F440" s="29" t="n">
        <v>4695.2428</v>
      </c>
      <c r="G440" s="29" t="n">
        <v>4518.59282</v>
      </c>
      <c r="H440" s="29" t="n">
        <v>4596.05595</v>
      </c>
      <c r="I440" s="29" t="n">
        <v>4755.40355</v>
      </c>
      <c r="J440" s="29" t="n">
        <v>4792.76972</v>
      </c>
      <c r="K440" s="29" t="n">
        <v>4769.97694</v>
      </c>
      <c r="L440" s="29" t="n">
        <v>4716.33597</v>
      </c>
      <c r="M440" s="29" t="n">
        <v>4718.85043</v>
      </c>
      <c r="N440" s="29" t="n">
        <v>4531.36057</v>
      </c>
      <c r="O440" s="29" t="n">
        <v>4556.93783</v>
      </c>
      <c r="Q440" s="29" t="n">
        <v>4637.23559</v>
      </c>
      <c r="R440" s="29" t="n">
        <v>4685.25325</v>
      </c>
      <c r="S440" s="29" t="n">
        <v>4661.06964</v>
      </c>
      <c r="V440" s="29" t="n">
        <v>4604.59039</v>
      </c>
      <c r="Z440" s="29" t="n">
        <v>4586.56</v>
      </c>
      <c r="AB440" s="29" t="n">
        <v>4581.29573</v>
      </c>
      <c r="AC440" s="29" t="n">
        <v>4579.69457</v>
      </c>
      <c r="AD440" s="29" t="n">
        <v>0</v>
      </c>
    </row>
    <row r="441" ht="14.25" customHeight="1" s="28">
      <c r="A441" s="29" t="n">
        <v>1777991401</v>
      </c>
      <c r="B441" s="29" t="inlineStr">
        <is>
          <t>XAUUSD</t>
        </is>
      </c>
      <c r="C441" s="29" t="inlineStr">
        <is>
          <t>M15</t>
        </is>
      </c>
      <c r="D441" s="29" t="n">
        <v>4582.96</v>
      </c>
      <c r="E441" s="29" t="n">
        <v>4717.79398</v>
      </c>
      <c r="F441" s="29" t="n">
        <v>4695.2428</v>
      </c>
      <c r="G441" s="29" t="n">
        <v>4518.59282</v>
      </c>
      <c r="H441" s="29" t="n">
        <v>4596.05595</v>
      </c>
      <c r="I441" s="29" t="n">
        <v>4755.40355</v>
      </c>
      <c r="J441" s="29" t="n">
        <v>4792.76972</v>
      </c>
      <c r="K441" s="29" t="n">
        <v>4769.97694</v>
      </c>
      <c r="L441" s="29" t="n">
        <v>4716.33597</v>
      </c>
      <c r="M441" s="29" t="n">
        <v>4718.85043</v>
      </c>
      <c r="N441" s="29" t="n">
        <v>4531.36057</v>
      </c>
      <c r="O441" s="29" t="n">
        <v>4556.93783</v>
      </c>
      <c r="Q441" s="29" t="n">
        <v>4637.43803</v>
      </c>
      <c r="R441" s="29" t="n">
        <v>4685.4557</v>
      </c>
      <c r="S441" s="29" t="n">
        <v>4661.27208</v>
      </c>
      <c r="V441" s="29" t="n">
        <v>4604.79284</v>
      </c>
      <c r="AB441" s="29" t="n">
        <v>4582.02693</v>
      </c>
      <c r="AC441" s="29" t="n">
        <v>4580.86075</v>
      </c>
      <c r="AD441" s="29" t="n">
        <v>0</v>
      </c>
    </row>
    <row r="442" ht="14.25" customHeight="1" s="28">
      <c r="A442" s="29" t="n">
        <v>1777992301</v>
      </c>
      <c r="B442" s="29" t="inlineStr">
        <is>
          <t>XAUUSD</t>
        </is>
      </c>
      <c r="C442" s="29" t="inlineStr">
        <is>
          <t>M15</t>
        </is>
      </c>
      <c r="D442" s="29" t="n">
        <v>4582.46</v>
      </c>
      <c r="E442" s="29" t="n">
        <v>4717.79398</v>
      </c>
      <c r="F442" s="29" t="n">
        <v>4695.2428</v>
      </c>
      <c r="G442" s="29" t="n">
        <v>4518.59282</v>
      </c>
      <c r="H442" s="29" t="n">
        <v>4596.05595</v>
      </c>
      <c r="I442" s="29" t="n">
        <v>4755.40355</v>
      </c>
      <c r="J442" s="29" t="n">
        <v>4792.76972</v>
      </c>
      <c r="K442" s="29" t="n">
        <v>4769.97694</v>
      </c>
      <c r="L442" s="29" t="n">
        <v>4716.33597</v>
      </c>
      <c r="M442" s="29" t="n">
        <v>4718.85043</v>
      </c>
      <c r="N442" s="29" t="n">
        <v>4531.36057</v>
      </c>
      <c r="O442" s="29" t="n">
        <v>4556.93783</v>
      </c>
      <c r="Q442" s="29" t="n">
        <v>4637.64048</v>
      </c>
      <c r="R442" s="29" t="n">
        <v>4685.65814</v>
      </c>
      <c r="S442" s="29" t="n">
        <v>4661.47453</v>
      </c>
      <c r="V442" s="29" t="n">
        <v>4604.99529</v>
      </c>
      <c r="AB442" s="29" t="n">
        <v>4581.6362</v>
      </c>
      <c r="AC442" s="29" t="n">
        <v>4581.24847</v>
      </c>
      <c r="AD442" s="29" t="n">
        <v>0</v>
      </c>
    </row>
    <row r="443" ht="14.25" customHeight="1" s="28">
      <c r="A443" s="29" t="n">
        <v>1777993201</v>
      </c>
      <c r="B443" s="29" t="inlineStr">
        <is>
          <t>XAUUSD</t>
        </is>
      </c>
      <c r="C443" s="29" t="inlineStr">
        <is>
          <t>M15</t>
        </is>
      </c>
      <c r="D443" s="29" t="n">
        <v>4580.89</v>
      </c>
      <c r="E443" s="29" t="n">
        <v>4717.79398</v>
      </c>
      <c r="F443" s="29" t="n">
        <v>4695.2428</v>
      </c>
      <c r="G443" s="29" t="n">
        <v>4518.59282</v>
      </c>
      <c r="H443" s="29" t="n">
        <v>4596.05595</v>
      </c>
      <c r="I443" s="29" t="n">
        <v>4755.40355</v>
      </c>
      <c r="J443" s="29" t="n">
        <v>4792.76972</v>
      </c>
      <c r="K443" s="29" t="n">
        <v>4769.97694</v>
      </c>
      <c r="L443" s="29" t="n">
        <v>4716.33597</v>
      </c>
      <c r="M443" s="29" t="n">
        <v>4718.85043</v>
      </c>
      <c r="N443" s="29" t="n">
        <v>4531.36057</v>
      </c>
      <c r="O443" s="29" t="n">
        <v>4556.93783</v>
      </c>
      <c r="Q443" s="29" t="n">
        <v>4637.84292</v>
      </c>
      <c r="R443" s="29" t="n">
        <v>4685.86059</v>
      </c>
      <c r="S443" s="29" t="n">
        <v>4661.67698</v>
      </c>
      <c r="V443" s="29" t="n">
        <v>4605.19773</v>
      </c>
      <c r="AB443" s="29" t="n">
        <v>4580.00739</v>
      </c>
      <c r="AC443" s="29" t="n">
        <v>4580.62793</v>
      </c>
      <c r="AD443" s="29" t="n">
        <v>1</v>
      </c>
    </row>
    <row r="444" ht="14.25" customHeight="1" s="28">
      <c r="A444" s="29" t="n">
        <v>1777994101</v>
      </c>
      <c r="B444" s="29" t="inlineStr">
        <is>
          <t>XAUUSD</t>
        </is>
      </c>
      <c r="C444" s="29" t="inlineStr">
        <is>
          <t>M15</t>
        </is>
      </c>
      <c r="D444" s="29" t="n">
        <v>4578.99</v>
      </c>
      <c r="E444" s="29" t="n">
        <v>4717.79398</v>
      </c>
      <c r="F444" s="29" t="n">
        <v>4695.2428</v>
      </c>
      <c r="G444" s="29" t="n">
        <v>4518.59282</v>
      </c>
      <c r="H444" s="29" t="n">
        <v>4596.05595</v>
      </c>
      <c r="I444" s="29" t="n">
        <v>4755.40355</v>
      </c>
      <c r="J444" s="29" t="n">
        <v>4792.76972</v>
      </c>
      <c r="K444" s="29" t="n">
        <v>4769.97694</v>
      </c>
      <c r="L444" s="29" t="n">
        <v>4716.33597</v>
      </c>
      <c r="M444" s="29" t="n">
        <v>4718.85043</v>
      </c>
      <c r="N444" s="29" t="n">
        <v>4531.36057</v>
      </c>
      <c r="O444" s="29" t="n">
        <v>4556.93783</v>
      </c>
      <c r="Q444" s="29" t="n">
        <v>4638.04537</v>
      </c>
      <c r="R444" s="29" t="n">
        <v>4686.06303</v>
      </c>
      <c r="S444" s="29" t="n">
        <v>4661.87942</v>
      </c>
      <c r="V444" s="29" t="n">
        <v>4605.40018</v>
      </c>
      <c r="AB444" s="29" t="n">
        <v>4577.21094</v>
      </c>
      <c r="AC444" s="29" t="n">
        <v>4578.91944</v>
      </c>
      <c r="AD444" s="29" t="n">
        <v>0</v>
      </c>
    </row>
    <row r="445" ht="14.25" customHeight="1" s="28">
      <c r="A445" s="29" t="n">
        <v>1777995001</v>
      </c>
      <c r="B445" s="29" t="inlineStr">
        <is>
          <t>XAUUSD</t>
        </is>
      </c>
      <c r="C445" s="29" t="inlineStr">
        <is>
          <t>M15</t>
        </is>
      </c>
      <c r="D445" s="29" t="n">
        <v>4572.95</v>
      </c>
      <c r="E445" s="29" t="n">
        <v>4717.79398</v>
      </c>
      <c r="F445" s="29" t="n">
        <v>4695.2428</v>
      </c>
      <c r="G445" s="29" t="n">
        <v>4518.59282</v>
      </c>
      <c r="H445" s="29" t="n">
        <v>4596.05595</v>
      </c>
      <c r="I445" s="29" t="n">
        <v>4755.40355</v>
      </c>
      <c r="J445" s="29" t="n">
        <v>4792.76972</v>
      </c>
      <c r="K445" s="29" t="n">
        <v>4769.97694</v>
      </c>
      <c r="L445" s="29" t="n">
        <v>4716.33597</v>
      </c>
      <c r="M445" s="29" t="n">
        <v>4718.85043</v>
      </c>
      <c r="N445" s="29" t="n">
        <v>4531.36057</v>
      </c>
      <c r="O445" s="29" t="n">
        <v>4556.93783</v>
      </c>
      <c r="Q445" s="29" t="n">
        <v>4638.24781</v>
      </c>
      <c r="R445" s="29" t="n">
        <v>4686.26548</v>
      </c>
      <c r="S445" s="29" t="n">
        <v>4662.08187</v>
      </c>
      <c r="V445" s="29" t="n">
        <v>4605.60262</v>
      </c>
      <c r="AB445" s="29" t="n">
        <v>4573.51374</v>
      </c>
      <c r="AC445" s="29" t="n">
        <v>4576.21659</v>
      </c>
      <c r="AD445" s="29" t="n">
        <v>0</v>
      </c>
    </row>
    <row r="446" ht="14.25" customHeight="1" s="28">
      <c r="A446" s="29" t="n">
        <v>1777995901</v>
      </c>
      <c r="B446" s="29" t="inlineStr">
        <is>
          <t>XAUUSD</t>
        </is>
      </c>
      <c r="C446" s="29" t="inlineStr">
        <is>
          <t>M15</t>
        </is>
      </c>
      <c r="D446" s="29" t="n">
        <v>4568.49</v>
      </c>
      <c r="E446" s="29" t="n">
        <v>4717.79398</v>
      </c>
      <c r="F446" s="29" t="n">
        <v>4695.2428</v>
      </c>
      <c r="G446" s="29" t="n">
        <v>4518.59282</v>
      </c>
      <c r="H446" s="29" t="n">
        <v>4596.05595</v>
      </c>
      <c r="I446" s="29" t="n">
        <v>4755.40355</v>
      </c>
      <c r="J446" s="29" t="n">
        <v>4792.76972</v>
      </c>
      <c r="K446" s="29" t="n">
        <v>4769.97694</v>
      </c>
      <c r="L446" s="29" t="n">
        <v>4716.33597</v>
      </c>
      <c r="M446" s="29" t="n">
        <v>4718.85043</v>
      </c>
      <c r="N446" s="29" t="n">
        <v>4531.36057</v>
      </c>
      <c r="O446" s="29" t="n">
        <v>4556.93783</v>
      </c>
      <c r="Q446" s="29" t="n">
        <v>4638.45026</v>
      </c>
      <c r="R446" s="29" t="n">
        <v>4686.46792</v>
      </c>
      <c r="S446" s="29" t="n">
        <v>4662.28431</v>
      </c>
      <c r="V446" s="29" t="n">
        <v>4605.80507</v>
      </c>
      <c r="AB446" s="29" t="n">
        <v>4569.43095</v>
      </c>
      <c r="AC446" s="29" t="n">
        <v>4572.82377</v>
      </c>
      <c r="AD446" s="29" t="n">
        <v>0</v>
      </c>
    </row>
    <row r="447" ht="14.25" customHeight="1" s="28">
      <c r="A447" s="29" t="n">
        <v>1777996801</v>
      </c>
      <c r="B447" s="29" t="inlineStr">
        <is>
          <t>XAUUSD</t>
        </is>
      </c>
      <c r="C447" s="29" t="inlineStr">
        <is>
          <t>M15</t>
        </is>
      </c>
      <c r="D447" s="29" t="n">
        <v>4566.28</v>
      </c>
      <c r="E447" s="29" t="n">
        <v>4717.79398</v>
      </c>
      <c r="F447" s="29" t="n">
        <v>4695.2428</v>
      </c>
      <c r="G447" s="29" t="n">
        <v>4518.59282</v>
      </c>
      <c r="H447" s="29" t="n">
        <v>4596.05595</v>
      </c>
      <c r="I447" s="29" t="n">
        <v>4755.40355</v>
      </c>
      <c r="J447" s="29" t="n">
        <v>4792.76972</v>
      </c>
      <c r="K447" s="29" t="n">
        <v>4769.97694</v>
      </c>
      <c r="L447" s="29" t="n">
        <v>4716.33597</v>
      </c>
      <c r="M447" s="29" t="n">
        <v>4718.85043</v>
      </c>
      <c r="N447" s="29" t="n">
        <v>4531.36057</v>
      </c>
      <c r="O447" s="29" t="n">
        <v>4556.93783</v>
      </c>
      <c r="Q447" s="29" t="n">
        <v>4638.65271</v>
      </c>
      <c r="R447" s="29" t="n">
        <v>4686.67037</v>
      </c>
      <c r="S447" s="29" t="n">
        <v>4662.48676</v>
      </c>
      <c r="V447" s="29" t="n">
        <v>4606.00751</v>
      </c>
      <c r="AB447" s="29" t="n">
        <v>4565.4694</v>
      </c>
      <c r="AC447" s="29" t="n">
        <v>4569.14658</v>
      </c>
      <c r="AD447" s="29" t="n">
        <v>0</v>
      </c>
    </row>
    <row r="448" ht="14.25" customHeight="1" s="28">
      <c r="A448" s="29" t="n">
        <v>1777997701</v>
      </c>
      <c r="B448" s="29" t="inlineStr">
        <is>
          <t>XAUUSD</t>
        </is>
      </c>
      <c r="C448" s="29" t="inlineStr">
        <is>
          <t>M15</t>
        </is>
      </c>
      <c r="D448" s="29" t="n">
        <v>4559.7</v>
      </c>
      <c r="E448" s="29" t="n">
        <v>4717.79398</v>
      </c>
      <c r="F448" s="29" t="n">
        <v>4695.2428</v>
      </c>
      <c r="G448" s="29" t="n">
        <v>4518.59282</v>
      </c>
      <c r="H448" s="29" t="n">
        <v>4596.05595</v>
      </c>
      <c r="I448" s="29" t="n">
        <v>4755.40355</v>
      </c>
      <c r="J448" s="29" t="n">
        <v>4792.76972</v>
      </c>
      <c r="K448" s="29" t="n">
        <v>4769.97694</v>
      </c>
      <c r="L448" s="29" t="n">
        <v>4716.33597</v>
      </c>
      <c r="M448" s="29" t="n">
        <v>4718.85043</v>
      </c>
      <c r="N448" s="29" t="n">
        <v>4531.36057</v>
      </c>
      <c r="O448" s="29" t="n">
        <v>4556.93783</v>
      </c>
      <c r="Q448" s="29" t="n">
        <v>4638.85515</v>
      </c>
      <c r="R448" s="29" t="n">
        <v>4686.87282</v>
      </c>
      <c r="S448" s="29" t="n">
        <v>4662.6892</v>
      </c>
      <c r="V448" s="29" t="n">
        <v>4606.20996</v>
      </c>
      <c r="AB448" s="29" t="n">
        <v>4562.04905</v>
      </c>
      <c r="AC448" s="29" t="n">
        <v>4565.59782</v>
      </c>
      <c r="AD448" s="29" t="n">
        <v>0</v>
      </c>
    </row>
    <row r="449" ht="14.25" customHeight="1" s="28">
      <c r="A449" s="29" t="n">
        <v>1777998601</v>
      </c>
      <c r="B449" s="29" t="inlineStr">
        <is>
          <t>XAUUSD</t>
        </is>
      </c>
      <c r="C449" s="29" t="inlineStr">
        <is>
          <t>M15</t>
        </is>
      </c>
      <c r="D449" s="29" t="n">
        <v>4556.78</v>
      </c>
      <c r="E449" s="29" t="n">
        <v>4717.79398</v>
      </c>
      <c r="F449" s="29" t="n">
        <v>4695.2428</v>
      </c>
      <c r="G449" s="29" t="n">
        <v>4518.59282</v>
      </c>
      <c r="H449" s="29" t="n">
        <v>4596.05595</v>
      </c>
      <c r="I449" s="29" t="n">
        <v>4755.40355</v>
      </c>
      <c r="J449" s="29" t="n">
        <v>4792.76972</v>
      </c>
      <c r="K449" s="29" t="n">
        <v>4769.97694</v>
      </c>
      <c r="L449" s="29" t="n">
        <v>4716.33597</v>
      </c>
      <c r="M449" s="29" t="n">
        <v>4718.85043</v>
      </c>
      <c r="N449" s="29" t="n">
        <v>4531.36057</v>
      </c>
      <c r="O449" s="29" t="n">
        <v>4556.93783</v>
      </c>
      <c r="Q449" s="29" t="n">
        <v>4639.0576</v>
      </c>
      <c r="R449" s="29" t="n">
        <v>4687.07526</v>
      </c>
      <c r="S449" s="29" t="n">
        <v>4662.89165</v>
      </c>
      <c r="V449" s="29" t="n">
        <v>4606.41241</v>
      </c>
      <c r="AB449" s="29" t="n">
        <v>4559.58679</v>
      </c>
      <c r="AC449" s="29" t="n">
        <v>4562.59231</v>
      </c>
      <c r="AD449" s="29" t="n">
        <v>0</v>
      </c>
    </row>
    <row r="450" ht="14.25" customHeight="1" s="28">
      <c r="A450" s="29" t="n">
        <v>1777999501</v>
      </c>
      <c r="B450" s="29" t="inlineStr">
        <is>
          <t>XAUUSD</t>
        </is>
      </c>
      <c r="C450" s="29" t="inlineStr">
        <is>
          <t>M15</t>
        </is>
      </c>
      <c r="D450" s="29" t="n">
        <v>4561.35</v>
      </c>
      <c r="E450" s="29" t="n">
        <v>4717.79398</v>
      </c>
      <c r="F450" s="29" t="n">
        <v>4695.2428</v>
      </c>
      <c r="G450" s="29" t="n">
        <v>4518.59282</v>
      </c>
      <c r="H450" s="29" t="n">
        <v>4596.05595</v>
      </c>
      <c r="I450" s="29" t="n">
        <v>4755.40355</v>
      </c>
      <c r="J450" s="29" t="n">
        <v>4792.76972</v>
      </c>
      <c r="K450" s="29" t="n">
        <v>4769.97694</v>
      </c>
      <c r="L450" s="29" t="n">
        <v>4716.33597</v>
      </c>
      <c r="M450" s="29" t="n">
        <v>4718.85043</v>
      </c>
      <c r="N450" s="29" t="n">
        <v>4531.36057</v>
      </c>
      <c r="O450" s="29" t="n">
        <v>4556.93783</v>
      </c>
      <c r="Q450" s="29" t="n">
        <v>4639.26004</v>
      </c>
      <c r="R450" s="29" t="n">
        <v>4687.27771</v>
      </c>
      <c r="S450" s="29" t="n">
        <v>4663.09409</v>
      </c>
      <c r="V450" s="29" t="n">
        <v>4606.61485</v>
      </c>
      <c r="AB450" s="29" t="n">
        <v>4558.27175</v>
      </c>
      <c r="AC450" s="29" t="n">
        <v>4560.43203</v>
      </c>
      <c r="AD450" s="29" t="n">
        <v>0</v>
      </c>
    </row>
    <row r="451" ht="14.25" customHeight="1" s="28">
      <c r="A451" s="29" t="n">
        <v>1778000401</v>
      </c>
      <c r="B451" s="29" t="inlineStr">
        <is>
          <t>XAUUSD</t>
        </is>
      </c>
      <c r="C451" s="29" t="inlineStr">
        <is>
          <t>M15</t>
        </is>
      </c>
      <c r="D451" s="29" t="n">
        <v>4556.2</v>
      </c>
      <c r="E451" s="29" t="n">
        <v>4717.79398</v>
      </c>
      <c r="F451" s="29" t="n">
        <v>4695.2428</v>
      </c>
      <c r="G451" s="29" t="n">
        <v>4518.59282</v>
      </c>
      <c r="H451" s="29" t="n">
        <v>4596.05595</v>
      </c>
      <c r="I451" s="29" t="n">
        <v>4755.40355</v>
      </c>
      <c r="J451" s="29" t="n">
        <v>4792.76972</v>
      </c>
      <c r="K451" s="29" t="n">
        <v>4769.97694</v>
      </c>
      <c r="L451" s="29" t="n">
        <v>4716.33597</v>
      </c>
      <c r="M451" s="29" t="n">
        <v>4718.85043</v>
      </c>
      <c r="N451" s="29" t="n">
        <v>4531.36057</v>
      </c>
      <c r="O451" s="29" t="n">
        <v>4556.93783</v>
      </c>
      <c r="Q451" s="29" t="n">
        <v>4639.46249</v>
      </c>
      <c r="R451" s="29" t="n">
        <v>4687.48015</v>
      </c>
      <c r="S451" s="29" t="n">
        <v>4663.29654</v>
      </c>
      <c r="V451" s="29" t="n">
        <v>4606.8173</v>
      </c>
      <c r="AB451" s="29" t="n">
        <v>4557.88664</v>
      </c>
      <c r="AC451" s="29" t="n">
        <v>4559.15933</v>
      </c>
      <c r="AD451" s="29" t="n">
        <v>0</v>
      </c>
    </row>
    <row r="452" ht="14.25" customHeight="1" s="28">
      <c r="A452" s="29" t="n">
        <v>1778001301</v>
      </c>
      <c r="B452" s="29" t="inlineStr">
        <is>
          <t>XAUUSD</t>
        </is>
      </c>
      <c r="C452" s="29" t="inlineStr">
        <is>
          <t>M15</t>
        </is>
      </c>
      <c r="D452" s="29" t="n">
        <v>4558.57</v>
      </c>
      <c r="E452" s="29" t="n">
        <v>4717.79398</v>
      </c>
      <c r="F452" s="29" t="n">
        <v>4695.2428</v>
      </c>
      <c r="G452" s="29" t="n">
        <v>4518.59282</v>
      </c>
      <c r="H452" s="29" t="n">
        <v>4596.05595</v>
      </c>
      <c r="I452" s="29" t="n">
        <v>4755.40355</v>
      </c>
      <c r="J452" s="29" t="n">
        <v>4792.76972</v>
      </c>
      <c r="K452" s="29" t="n">
        <v>4769.97694</v>
      </c>
      <c r="L452" s="29" t="n">
        <v>4716.33597</v>
      </c>
      <c r="M452" s="29" t="n">
        <v>4718.85043</v>
      </c>
      <c r="N452" s="29" t="n">
        <v>4531.36057</v>
      </c>
      <c r="O452" s="29" t="n">
        <v>4556.93783</v>
      </c>
      <c r="Q452" s="29" t="n">
        <v>4639.66493</v>
      </c>
      <c r="R452" s="29" t="n">
        <v>4687.6826</v>
      </c>
      <c r="S452" s="29" t="n">
        <v>4663.49899</v>
      </c>
      <c r="V452" s="29" t="n">
        <v>4607.01974</v>
      </c>
      <c r="AB452" s="29" t="n">
        <v>4558.35341</v>
      </c>
      <c r="AC452" s="29" t="n">
        <v>4558.75637</v>
      </c>
      <c r="AD452" s="29" t="n">
        <v>0</v>
      </c>
    </row>
    <row r="453" ht="14.25" customHeight="1" s="28">
      <c r="A453" s="29" t="n">
        <v>1778002201</v>
      </c>
      <c r="B453" s="29" t="inlineStr">
        <is>
          <t>XAUUSD</t>
        </is>
      </c>
      <c r="C453" s="29" t="inlineStr">
        <is>
          <t>M15</t>
        </is>
      </c>
      <c r="D453" s="29" t="n">
        <v>4560.43</v>
      </c>
      <c r="E453" s="29" t="n">
        <v>4717.79398</v>
      </c>
      <c r="F453" s="29" t="n">
        <v>4695.2428</v>
      </c>
      <c r="G453" s="29" t="n">
        <v>4518.59282</v>
      </c>
      <c r="H453" s="29" t="n">
        <v>4596.05595</v>
      </c>
      <c r="I453" s="29" t="n">
        <v>4755.40355</v>
      </c>
      <c r="J453" s="29" t="n">
        <v>4792.76972</v>
      </c>
      <c r="K453" s="29" t="n">
        <v>4769.97694</v>
      </c>
      <c r="L453" s="29" t="n">
        <v>4716.33597</v>
      </c>
      <c r="M453" s="29" t="n">
        <v>4718.85043</v>
      </c>
      <c r="N453" s="29" t="n">
        <v>4531.36057</v>
      </c>
      <c r="O453" s="29" t="n">
        <v>4556.93783</v>
      </c>
      <c r="Q453" s="29" t="n">
        <v>4639.86738</v>
      </c>
      <c r="R453" s="29" t="n">
        <v>4687.88504</v>
      </c>
      <c r="S453" s="29" t="n">
        <v>4663.70143</v>
      </c>
      <c r="V453" s="29" t="n">
        <v>4607.22219</v>
      </c>
      <c r="AB453" s="29" t="n">
        <v>4559.29976</v>
      </c>
      <c r="AC453" s="29" t="n">
        <v>4559.02806</v>
      </c>
      <c r="AD453" s="29" t="n">
        <v>1</v>
      </c>
    </row>
    <row r="454" ht="14.25" customHeight="1" s="28">
      <c r="A454" s="29" t="n">
        <v>1778003101</v>
      </c>
      <c r="B454" s="29" t="inlineStr">
        <is>
          <t>XAUUSD</t>
        </is>
      </c>
      <c r="C454" s="29" t="inlineStr">
        <is>
          <t>M15</t>
        </is>
      </c>
      <c r="D454" s="29" t="n">
        <v>4559.93</v>
      </c>
      <c r="E454" s="29" t="n">
        <v>4717.79398</v>
      </c>
      <c r="F454" s="29" t="n">
        <v>4695.2428</v>
      </c>
      <c r="G454" s="29" t="n">
        <v>4518.59282</v>
      </c>
      <c r="H454" s="29" t="n">
        <v>4596.05595</v>
      </c>
      <c r="I454" s="29" t="n">
        <v>4755.40355</v>
      </c>
      <c r="J454" s="29" t="n">
        <v>4792.76972</v>
      </c>
      <c r="K454" s="29" t="n">
        <v>4769.97694</v>
      </c>
      <c r="L454" s="29" t="n">
        <v>4716.33597</v>
      </c>
      <c r="M454" s="29" t="n">
        <v>4718.85043</v>
      </c>
      <c r="N454" s="29" t="n">
        <v>4531.36057</v>
      </c>
      <c r="O454" s="29" t="n">
        <v>4556.93783</v>
      </c>
      <c r="Q454" s="29" t="n">
        <v>4640.06983</v>
      </c>
      <c r="R454" s="29" t="n">
        <v>4688.08749</v>
      </c>
      <c r="S454" s="29" t="n">
        <v>4663.90388</v>
      </c>
      <c r="V454" s="29" t="n">
        <v>4607.42463</v>
      </c>
      <c r="AB454" s="29" t="n">
        <v>4560.34772</v>
      </c>
      <c r="AC454" s="29" t="n">
        <v>4559.68789</v>
      </c>
      <c r="AD454" s="29" t="n">
        <v>0</v>
      </c>
    </row>
    <row r="455" ht="14.25" customHeight="1" s="28">
      <c r="A455" s="29" t="n">
        <v>1778004001</v>
      </c>
      <c r="B455" s="29" t="inlineStr">
        <is>
          <t>XAUUSD</t>
        </is>
      </c>
      <c r="C455" s="29" t="inlineStr">
        <is>
          <t>M15</t>
        </is>
      </c>
      <c r="D455" s="29" t="n">
        <v>4564.29</v>
      </c>
      <c r="E455" s="29" t="n">
        <v>4717.79398</v>
      </c>
      <c r="F455" s="29" t="n">
        <v>4695.2428</v>
      </c>
      <c r="G455" s="29" t="n">
        <v>4518.59282</v>
      </c>
      <c r="H455" s="29" t="n">
        <v>4596.05595</v>
      </c>
      <c r="I455" s="29" t="n">
        <v>4755.40355</v>
      </c>
      <c r="J455" s="29" t="n">
        <v>4792.76972</v>
      </c>
      <c r="K455" s="29" t="n">
        <v>4769.97694</v>
      </c>
      <c r="L455" s="29" t="n">
        <v>4716.33597</v>
      </c>
      <c r="M455" s="29" t="n">
        <v>4718.85043</v>
      </c>
      <c r="N455" s="29" t="n">
        <v>4531.36057</v>
      </c>
      <c r="O455" s="29" t="n">
        <v>4556.93783</v>
      </c>
      <c r="Q455" s="29" t="n">
        <v>4640.27227</v>
      </c>
      <c r="R455" s="29" t="n">
        <v>4688.28994</v>
      </c>
      <c r="S455" s="29" t="n">
        <v>4664.10632</v>
      </c>
      <c r="V455" s="29" t="n">
        <v>4607.62708</v>
      </c>
      <c r="AB455" s="29" t="n">
        <v>4561.25065</v>
      </c>
      <c r="AC455" s="29" t="n">
        <v>4560.46927</v>
      </c>
      <c r="AD455" s="29" t="n">
        <v>0</v>
      </c>
    </row>
    <row r="456" ht="14.25" customHeight="1" s="28">
      <c r="A456" s="29" t="n">
        <v>1778004901</v>
      </c>
      <c r="B456" s="29" t="inlineStr">
        <is>
          <t>XAUUSD</t>
        </is>
      </c>
      <c r="C456" s="29" t="inlineStr">
        <is>
          <t>M15</t>
        </is>
      </c>
      <c r="D456" s="29" t="n">
        <v>4562.18</v>
      </c>
      <c r="E456" s="29" t="n">
        <v>4717.79398</v>
      </c>
      <c r="F456" s="29" t="n">
        <v>4695.2428</v>
      </c>
      <c r="G456" s="29" t="n">
        <v>4518.59282</v>
      </c>
      <c r="H456" s="29" t="n">
        <v>4596.05595</v>
      </c>
      <c r="I456" s="29" t="n">
        <v>4755.40355</v>
      </c>
      <c r="J456" s="29" t="n">
        <v>4792.76972</v>
      </c>
      <c r="K456" s="29" t="n">
        <v>4769.97694</v>
      </c>
      <c r="L456" s="29" t="n">
        <v>4716.33597</v>
      </c>
      <c r="M456" s="29" t="n">
        <v>4718.85043</v>
      </c>
      <c r="N456" s="29" t="n">
        <v>4531.36057</v>
      </c>
      <c r="O456" s="29" t="n">
        <v>4556.93783</v>
      </c>
      <c r="Q456" s="29" t="n">
        <v>4640.47472</v>
      </c>
      <c r="R456" s="29" t="n">
        <v>4688.49238</v>
      </c>
      <c r="S456" s="29" t="n">
        <v>4664.30877</v>
      </c>
      <c r="V456" s="29" t="n">
        <v>4607.82953</v>
      </c>
      <c r="AB456" s="29" t="n">
        <v>4561.69178</v>
      </c>
      <c r="AC456" s="29" t="n">
        <v>4561.08052</v>
      </c>
      <c r="AD456" s="29" t="n">
        <v>0</v>
      </c>
    </row>
    <row r="457" ht="14.25" customHeight="1" s="28">
      <c r="A457" s="29" t="n">
        <v>1778005801</v>
      </c>
      <c r="B457" s="29" t="inlineStr">
        <is>
          <t>XAUUSD</t>
        </is>
      </c>
      <c r="C457" s="29" t="inlineStr">
        <is>
          <t>M15</t>
        </is>
      </c>
      <c r="D457" s="29" t="n">
        <v>4561.56</v>
      </c>
      <c r="E457" s="29" t="n">
        <v>4717.79398</v>
      </c>
      <c r="F457" s="29" t="n">
        <v>4695.2428</v>
      </c>
      <c r="G457" s="29" t="n">
        <v>4518.59282</v>
      </c>
      <c r="H457" s="29" t="n">
        <v>4596.05595</v>
      </c>
      <c r="I457" s="29" t="n">
        <v>4755.40355</v>
      </c>
      <c r="J457" s="29" t="n">
        <v>4792.76972</v>
      </c>
      <c r="K457" s="29" t="n">
        <v>4769.97694</v>
      </c>
      <c r="L457" s="29" t="n">
        <v>4716.33597</v>
      </c>
      <c r="M457" s="29" t="n">
        <v>4718.85043</v>
      </c>
      <c r="N457" s="29" t="n">
        <v>4531.36057</v>
      </c>
      <c r="O457" s="29" t="n">
        <v>4556.93783</v>
      </c>
      <c r="Q457" s="29" t="n">
        <v>4640.67716</v>
      </c>
      <c r="R457" s="29" t="n">
        <v>4688.69483</v>
      </c>
      <c r="S457" s="29" t="n">
        <v>4664.51121</v>
      </c>
      <c r="V457" s="29" t="n">
        <v>4608.03197</v>
      </c>
      <c r="AB457" s="29" t="n">
        <v>4561.62587</v>
      </c>
      <c r="AC457" s="29" t="n">
        <v>4561.3532</v>
      </c>
      <c r="AD457" s="29" t="n">
        <v>0</v>
      </c>
    </row>
    <row r="458" ht="14.25" customHeight="1" s="28">
      <c r="A458" s="29" t="n">
        <v>1778006701</v>
      </c>
      <c r="B458" s="29" t="inlineStr">
        <is>
          <t>XAUUSD</t>
        </is>
      </c>
      <c r="C458" s="29" t="inlineStr">
        <is>
          <t>M15</t>
        </is>
      </c>
      <c r="D458" s="29" t="n">
        <v>4561.04</v>
      </c>
      <c r="E458" s="29" t="n">
        <v>4717.79398</v>
      </c>
      <c r="F458" s="29" t="n">
        <v>4695.2428</v>
      </c>
      <c r="G458" s="29" t="n">
        <v>4518.59282</v>
      </c>
      <c r="H458" s="29" t="n">
        <v>4596.05595</v>
      </c>
      <c r="I458" s="29" t="n">
        <v>4755.40355</v>
      </c>
      <c r="J458" s="29" t="n">
        <v>4792.76972</v>
      </c>
      <c r="K458" s="29" t="n">
        <v>4769.97694</v>
      </c>
      <c r="L458" s="29" t="n">
        <v>4716.33597</v>
      </c>
      <c r="M458" s="29" t="n">
        <v>4718.85043</v>
      </c>
      <c r="N458" s="29" t="n">
        <v>4531.36057</v>
      </c>
      <c r="O458" s="29" t="n">
        <v>4556.93783</v>
      </c>
      <c r="Q458" s="29" t="n">
        <v>4640.87961</v>
      </c>
      <c r="R458" s="29" t="n">
        <v>4688.89727</v>
      </c>
      <c r="S458" s="29" t="n">
        <v>4664.71366</v>
      </c>
      <c r="V458" s="29" t="n">
        <v>4608.23442</v>
      </c>
      <c r="AB458" s="29" t="n">
        <v>4561.04124</v>
      </c>
      <c r="AC458" s="29" t="n">
        <v>4561.19722</v>
      </c>
      <c r="AD458" s="29" t="n">
        <v>1</v>
      </c>
    </row>
    <row r="459" ht="14.25" customHeight="1" s="28">
      <c r="A459" s="29" t="n">
        <v>1778007601</v>
      </c>
      <c r="B459" s="29" t="inlineStr">
        <is>
          <t>XAUUSD</t>
        </is>
      </c>
      <c r="C459" s="29" t="inlineStr">
        <is>
          <t>M15</t>
        </is>
      </c>
      <c r="D459" s="29" t="n">
        <v>4557.24</v>
      </c>
      <c r="E459" s="29" t="n">
        <v>4717.79398</v>
      </c>
      <c r="F459" s="29" t="n">
        <v>4695.2428</v>
      </c>
      <c r="G459" s="29" t="n">
        <v>4518.59282</v>
      </c>
      <c r="H459" s="29" t="n">
        <v>4596.05595</v>
      </c>
      <c r="I459" s="29" t="n">
        <v>4755.40355</v>
      </c>
      <c r="J459" s="29" t="n">
        <v>4792.76972</v>
      </c>
      <c r="K459" s="29" t="n">
        <v>4769.97694</v>
      </c>
      <c r="L459" s="29" t="n">
        <v>4716.33597</v>
      </c>
      <c r="M459" s="29" t="n">
        <v>4718.85043</v>
      </c>
      <c r="N459" s="29" t="n">
        <v>4531.36057</v>
      </c>
      <c r="O459" s="29" t="n">
        <v>4556.93783</v>
      </c>
      <c r="Q459" s="29" t="n">
        <v>4641.08205</v>
      </c>
      <c r="R459" s="29" t="n">
        <v>4689.09972</v>
      </c>
      <c r="S459" s="29" t="n">
        <v>4664.91611</v>
      </c>
      <c r="V459" s="29" t="n">
        <v>4608.43686</v>
      </c>
      <c r="AB459" s="29" t="n">
        <v>4560.01057</v>
      </c>
      <c r="AC459" s="29" t="n">
        <v>4560.60389</v>
      </c>
      <c r="AD459" s="29" t="n">
        <v>0</v>
      </c>
    </row>
    <row r="460" ht="14.25" customHeight="1" s="28">
      <c r="A460" s="29" t="n">
        <v>1778008501</v>
      </c>
      <c r="B460" s="29" t="inlineStr">
        <is>
          <t>XAUUSD</t>
        </is>
      </c>
      <c r="C460" s="29" t="inlineStr">
        <is>
          <t>M15</t>
        </is>
      </c>
      <c r="D460" s="29" t="n">
        <v>4556.32</v>
      </c>
      <c r="E460" s="29" t="n">
        <v>4717.79398</v>
      </c>
      <c r="F460" s="29" t="n">
        <v>4695.2428</v>
      </c>
      <c r="G460" s="29" t="n">
        <v>4518.59282</v>
      </c>
      <c r="H460" s="29" t="n">
        <v>4596.05595</v>
      </c>
      <c r="I460" s="29" t="n">
        <v>4755.40355</v>
      </c>
      <c r="J460" s="29" t="n">
        <v>4792.76972</v>
      </c>
      <c r="K460" s="29" t="n">
        <v>4769.97694</v>
      </c>
      <c r="L460" s="29" t="n">
        <v>4716.33597</v>
      </c>
      <c r="M460" s="29" t="n">
        <v>4718.85043</v>
      </c>
      <c r="N460" s="29" t="n">
        <v>4531.36057</v>
      </c>
      <c r="O460" s="29" t="n">
        <v>4556.93783</v>
      </c>
      <c r="Q460" s="29" t="n">
        <v>4641.2845</v>
      </c>
      <c r="R460" s="29" t="n">
        <v>4689.30216</v>
      </c>
      <c r="S460" s="29" t="n">
        <v>4665.11855</v>
      </c>
      <c r="V460" s="29" t="n">
        <v>4608.63931</v>
      </c>
      <c r="AB460" s="29" t="n">
        <v>4558.71805</v>
      </c>
      <c r="AC460" s="29" t="n">
        <v>4559.66097</v>
      </c>
      <c r="AD460" s="29" t="n">
        <v>0</v>
      </c>
    </row>
    <row r="461" ht="14.25" customHeight="1" s="28">
      <c r="A461" s="29" t="n">
        <v>1778009401</v>
      </c>
      <c r="B461" s="29" t="inlineStr">
        <is>
          <t>XAUUSD</t>
        </is>
      </c>
      <c r="C461" s="29" t="inlineStr">
        <is>
          <t>M15</t>
        </is>
      </c>
      <c r="D461" s="29" t="n">
        <v>4555.64</v>
      </c>
      <c r="E461" s="29" t="n">
        <v>4717.79398</v>
      </c>
      <c r="F461" s="29" t="n">
        <v>4695.2428</v>
      </c>
      <c r="G461" s="29" t="n">
        <v>4518.59282</v>
      </c>
      <c r="H461" s="29" t="n">
        <v>4596.05595</v>
      </c>
      <c r="I461" s="29" t="n">
        <v>4755.40355</v>
      </c>
      <c r="J461" s="29" t="n">
        <v>4792.76972</v>
      </c>
      <c r="K461" s="29" t="n">
        <v>4769.97694</v>
      </c>
      <c r="L461" s="29" t="n">
        <v>4716.33597</v>
      </c>
      <c r="M461" s="29" t="n">
        <v>4718.85043</v>
      </c>
      <c r="N461" s="29" t="n">
        <v>4531.36057</v>
      </c>
      <c r="O461" s="29" t="n">
        <v>4556.93783</v>
      </c>
      <c r="Q461" s="29" t="n">
        <v>4641.48695</v>
      </c>
      <c r="R461" s="29" t="n">
        <v>4689.50461</v>
      </c>
      <c r="S461" s="29" t="n">
        <v>4665.321</v>
      </c>
      <c r="V461" s="29" t="n">
        <v>4608.84175</v>
      </c>
      <c r="AB461" s="29" t="n">
        <v>4557.30083</v>
      </c>
      <c r="AC461" s="29" t="n">
        <v>4558.4809</v>
      </c>
      <c r="AD461" s="29" t="n">
        <v>0</v>
      </c>
    </row>
    <row r="462" ht="14.25" customHeight="1" s="28">
      <c r="A462" s="29" t="n">
        <v>1778010301</v>
      </c>
      <c r="B462" s="29" t="inlineStr">
        <is>
          <t>XAUUSD</t>
        </is>
      </c>
      <c r="C462" s="29" t="inlineStr">
        <is>
          <t>M15</t>
        </is>
      </c>
      <c r="D462" s="29" t="n">
        <v>4554.64</v>
      </c>
      <c r="E462" s="29" t="n">
        <v>4717.79398</v>
      </c>
      <c r="F462" s="29" t="n">
        <v>4695.2428</v>
      </c>
      <c r="G462" s="29" t="n">
        <v>4518.59282</v>
      </c>
      <c r="H462" s="29" t="n">
        <v>4596.05595</v>
      </c>
      <c r="I462" s="29" t="n">
        <v>4755.40355</v>
      </c>
      <c r="J462" s="29" t="n">
        <v>4792.76972</v>
      </c>
      <c r="K462" s="29" t="n">
        <v>4769.97694</v>
      </c>
      <c r="L462" s="29" t="n">
        <v>4716.33597</v>
      </c>
      <c r="M462" s="29" t="n">
        <v>4718.85043</v>
      </c>
      <c r="N462" s="29" t="n">
        <v>4531.36057</v>
      </c>
      <c r="O462" s="29" t="n">
        <v>4556.93783</v>
      </c>
      <c r="Q462" s="29" t="n">
        <v>4641.68939</v>
      </c>
      <c r="R462" s="29" t="n">
        <v>4689.70706</v>
      </c>
      <c r="S462" s="29" t="n">
        <v>4665.52344</v>
      </c>
      <c r="V462" s="29" t="n">
        <v>4609.0442</v>
      </c>
      <c r="AB462" s="29" t="n">
        <v>4555.87324</v>
      </c>
      <c r="AC462" s="29" t="n">
        <v>4557.17707</v>
      </c>
      <c r="AD462" s="29" t="n">
        <v>0</v>
      </c>
    </row>
    <row r="463" ht="14.25" customHeight="1" s="28">
      <c r="A463" s="29" t="n">
        <v>1778011201</v>
      </c>
      <c r="B463" s="29" t="inlineStr">
        <is>
          <t>XAUUSD</t>
        </is>
      </c>
      <c r="C463" s="29" t="inlineStr">
        <is>
          <t>M15</t>
        </is>
      </c>
      <c r="D463" s="29" t="n">
        <v>4557.01</v>
      </c>
      <c r="E463" s="29" t="n">
        <v>4717.79398</v>
      </c>
      <c r="F463" s="29" t="n">
        <v>4695.2428</v>
      </c>
      <c r="G463" s="29" t="n">
        <v>4518.59282</v>
      </c>
      <c r="H463" s="29" t="n">
        <v>4596.05595</v>
      </c>
      <c r="I463" s="29" t="n">
        <v>4755.40355</v>
      </c>
      <c r="J463" s="29" t="n">
        <v>4792.76972</v>
      </c>
      <c r="K463" s="29" t="n">
        <v>4769.97694</v>
      </c>
      <c r="L463" s="29" t="n">
        <v>4716.33597</v>
      </c>
      <c r="M463" s="29" t="n">
        <v>4718.85043</v>
      </c>
      <c r="N463" s="29" t="n">
        <v>4531.36057</v>
      </c>
      <c r="O463" s="29" t="n">
        <v>4556.93783</v>
      </c>
      <c r="Q463" s="29" t="n">
        <v>4641.89184</v>
      </c>
      <c r="R463" s="29" t="n">
        <v>4689.9095</v>
      </c>
      <c r="S463" s="29" t="n">
        <v>4665.72589</v>
      </c>
      <c r="V463" s="29" t="n">
        <v>4609.24665</v>
      </c>
      <c r="AB463" s="29" t="n">
        <v>4554.56252</v>
      </c>
      <c r="AC463" s="29" t="n">
        <v>4555.86979</v>
      </c>
      <c r="AD463" s="29" t="n">
        <v>0</v>
      </c>
    </row>
    <row r="464" ht="14.25" customHeight="1" s="28">
      <c r="A464" s="29" t="n">
        <v>1778012101</v>
      </c>
      <c r="B464" s="29" t="inlineStr">
        <is>
          <t>XAUUSD</t>
        </is>
      </c>
      <c r="C464" s="29" t="inlineStr">
        <is>
          <t>M15</t>
        </is>
      </c>
      <c r="D464" s="29" t="n">
        <v>4559.18</v>
      </c>
      <c r="E464" s="29" t="n">
        <v>4717.79398</v>
      </c>
      <c r="F464" s="29" t="n">
        <v>4695.2428</v>
      </c>
      <c r="G464" s="29" t="n">
        <v>4518.59282</v>
      </c>
      <c r="H464" s="29" t="n">
        <v>4596.05595</v>
      </c>
      <c r="I464" s="29" t="n">
        <v>4755.40355</v>
      </c>
      <c r="J464" s="29" t="n">
        <v>4792.76972</v>
      </c>
      <c r="K464" s="29" t="n">
        <v>4769.97694</v>
      </c>
      <c r="L464" s="29" t="n">
        <v>4716.33597</v>
      </c>
      <c r="M464" s="29" t="n">
        <v>4718.85043</v>
      </c>
      <c r="N464" s="29" t="n">
        <v>4531.36057</v>
      </c>
      <c r="O464" s="29" t="n">
        <v>4556.93783</v>
      </c>
      <c r="Q464" s="29" t="n">
        <v>4642.09428</v>
      </c>
      <c r="R464" s="29" t="n">
        <v>4690.11195</v>
      </c>
      <c r="S464" s="29" t="n">
        <v>4665.92833</v>
      </c>
      <c r="V464" s="29" t="n">
        <v>4609.44909</v>
      </c>
      <c r="AB464" s="29" t="n">
        <v>4553.49752</v>
      </c>
      <c r="AC464" s="29" t="n">
        <v>4554.68366</v>
      </c>
      <c r="AD464" s="29" t="n">
        <v>0</v>
      </c>
    </row>
    <row r="465" ht="14.25" customHeight="1" s="28">
      <c r="A465" s="29" t="n">
        <v>1778013001</v>
      </c>
      <c r="B465" s="29" t="inlineStr">
        <is>
          <t>XAUUSD</t>
        </is>
      </c>
      <c r="C465" s="29" t="inlineStr">
        <is>
          <t>M15</t>
        </is>
      </c>
      <c r="D465" s="29" t="n">
        <v>4555.63</v>
      </c>
      <c r="E465" s="29" t="n">
        <v>4717.79398</v>
      </c>
      <c r="F465" s="29" t="n">
        <v>4695.2428</v>
      </c>
      <c r="G465" s="29" t="n">
        <v>4518.59282</v>
      </c>
      <c r="H465" s="29" t="n">
        <v>4596.05595</v>
      </c>
      <c r="I465" s="29" t="n">
        <v>4755.40355</v>
      </c>
      <c r="J465" s="29" t="n">
        <v>4792.76972</v>
      </c>
      <c r="K465" s="29" t="n">
        <v>4769.97694</v>
      </c>
      <c r="L465" s="29" t="n">
        <v>4716.33597</v>
      </c>
      <c r="M465" s="29" t="n">
        <v>4718.85043</v>
      </c>
      <c r="N465" s="29" t="n">
        <v>4531.36057</v>
      </c>
      <c r="O465" s="29" t="n">
        <v>4556.93783</v>
      </c>
      <c r="Q465" s="29" t="n">
        <v>4642.29673</v>
      </c>
      <c r="R465" s="29" t="n">
        <v>4690.31439</v>
      </c>
      <c r="S465" s="29" t="n">
        <v>4666.13078</v>
      </c>
      <c r="V465" s="29" t="n">
        <v>4609.65154</v>
      </c>
      <c r="AB465" s="29" t="n">
        <v>4552.85583</v>
      </c>
      <c r="AC465" s="29" t="n">
        <v>4553.76974</v>
      </c>
      <c r="AD465" s="29" t="n">
        <v>0</v>
      </c>
    </row>
    <row r="466" ht="14.25" customHeight="1" s="28">
      <c r="A466" s="29" t="n">
        <v>1778013901</v>
      </c>
      <c r="B466" s="29" t="inlineStr">
        <is>
          <t>XAUUSD</t>
        </is>
      </c>
      <c r="C466" s="29" t="inlineStr">
        <is>
          <t>M15</t>
        </is>
      </c>
      <c r="D466" s="29" t="n">
        <v>4557.58</v>
      </c>
      <c r="E466" s="29" t="n">
        <v>4717.79398</v>
      </c>
      <c r="F466" s="29" t="n">
        <v>4695.2428</v>
      </c>
      <c r="G466" s="29" t="n">
        <v>4518.59282</v>
      </c>
      <c r="H466" s="29" t="n">
        <v>4596.05595</v>
      </c>
      <c r="I466" s="29" t="n">
        <v>4755.40355</v>
      </c>
      <c r="J466" s="29" t="n">
        <v>4792.76972</v>
      </c>
      <c r="K466" s="29" t="n">
        <v>4769.97694</v>
      </c>
      <c r="L466" s="29" t="n">
        <v>4716.33597</v>
      </c>
      <c r="M466" s="29" t="n">
        <v>4718.85043</v>
      </c>
      <c r="N466" s="29" t="n">
        <v>4531.36057</v>
      </c>
      <c r="O466" s="29" t="n">
        <v>4556.93783</v>
      </c>
      <c r="Q466" s="29" t="n">
        <v>4642.49917</v>
      </c>
      <c r="R466" s="29" t="n">
        <v>4690.51684</v>
      </c>
      <c r="S466" s="29" t="n">
        <v>4666.33323</v>
      </c>
      <c r="V466" s="29" t="n">
        <v>4609.85398</v>
      </c>
      <c r="AB466" s="29" t="n">
        <v>4552.99286</v>
      </c>
      <c r="AC466" s="29" t="n">
        <v>4553.3813</v>
      </c>
      <c r="AD466" s="29" t="n">
        <v>0</v>
      </c>
    </row>
    <row r="467" ht="14.25" customHeight="1" s="28">
      <c r="A467" s="29" t="n">
        <v>1778018401</v>
      </c>
      <c r="B467" s="29" t="inlineStr">
        <is>
          <t>XAUUSD</t>
        </is>
      </c>
      <c r="C467" s="29" t="inlineStr">
        <is>
          <t>M15</t>
        </is>
      </c>
      <c r="D467" s="29" t="n">
        <v>4550.67</v>
      </c>
      <c r="E467" s="29" t="n">
        <v>4717.79398</v>
      </c>
      <c r="F467" s="29" t="n">
        <v>4695.2428</v>
      </c>
      <c r="G467" s="29" t="n">
        <v>4518.59282</v>
      </c>
      <c r="H467" s="29" t="n">
        <v>4596.05595</v>
      </c>
      <c r="I467" s="29" t="n">
        <v>4755.40355</v>
      </c>
      <c r="J467" s="29" t="n">
        <v>4792.76972</v>
      </c>
      <c r="K467" s="29" t="n">
        <v>4769.97694</v>
      </c>
      <c r="L467" s="29" t="n">
        <v>4716.33597</v>
      </c>
      <c r="M467" s="29" t="n">
        <v>4718.85043</v>
      </c>
      <c r="N467" s="29" t="n">
        <v>4531.36057</v>
      </c>
      <c r="O467" s="29" t="n">
        <v>4556.93783</v>
      </c>
      <c r="Q467" s="29" t="n">
        <v>4642.70162</v>
      </c>
      <c r="R467" s="29" t="n">
        <v>4690.71928</v>
      </c>
      <c r="S467" s="29" t="n">
        <v>4666.53567</v>
      </c>
      <c r="V467" s="29" t="n">
        <v>4610.05643</v>
      </c>
      <c r="AB467" s="29" t="n">
        <v>4554.18067</v>
      </c>
      <c r="AC467" s="29" t="n">
        <v>4553.78098</v>
      </c>
      <c r="AD467" s="29" t="n">
        <v>1</v>
      </c>
    </row>
    <row r="468" ht="14.25" customHeight="1" s="28">
      <c r="A468" s="29" t="n">
        <v>1778019301</v>
      </c>
      <c r="B468" s="29" t="inlineStr">
        <is>
          <t>XAUUSD</t>
        </is>
      </c>
      <c r="C468" s="29" t="inlineStr">
        <is>
          <t>M15</t>
        </is>
      </c>
      <c r="D468" s="29" t="n">
        <v>4546.68</v>
      </c>
      <c r="E468" s="29" t="n">
        <v>4717.79398</v>
      </c>
      <c r="F468" s="29" t="n">
        <v>4695.2428</v>
      </c>
      <c r="G468" s="29" t="n">
        <v>4518.59282</v>
      </c>
      <c r="H468" s="29" t="n">
        <v>4596.05595</v>
      </c>
      <c r="I468" s="29" t="n">
        <v>4755.40355</v>
      </c>
      <c r="J468" s="29" t="n">
        <v>4792.76972</v>
      </c>
      <c r="K468" s="29" t="n">
        <v>4769.97694</v>
      </c>
      <c r="L468" s="29" t="n">
        <v>4716.33597</v>
      </c>
      <c r="M468" s="29" t="n">
        <v>4718.85043</v>
      </c>
      <c r="N468" s="29" t="n">
        <v>4531.36057</v>
      </c>
      <c r="O468" s="29" t="n">
        <v>4556.93783</v>
      </c>
      <c r="Q468" s="29" t="n">
        <v>4642.90407</v>
      </c>
      <c r="R468" s="29" t="n">
        <v>4690.92173</v>
      </c>
      <c r="S468" s="29" t="n">
        <v>4666.73812</v>
      </c>
      <c r="V468" s="29" t="n">
        <v>4610.25887</v>
      </c>
      <c r="AB468" s="29" t="n">
        <v>4556.87985</v>
      </c>
      <c r="AC468" s="29" t="n">
        <v>4555.33042</v>
      </c>
      <c r="AD468" s="29" t="n">
        <v>0</v>
      </c>
    </row>
    <row r="469" ht="14.25" customHeight="1" s="28">
      <c r="A469" s="29" t="n">
        <v>1778020201</v>
      </c>
      <c r="B469" s="29" t="inlineStr">
        <is>
          <t>XAUUSD</t>
        </is>
      </c>
      <c r="C469" s="29" t="inlineStr">
        <is>
          <t>M15</t>
        </is>
      </c>
      <c r="D469" s="29" t="n">
        <v>4548.82</v>
      </c>
      <c r="E469" s="29" t="n">
        <v>4717.79398</v>
      </c>
      <c r="F469" s="29" t="n">
        <v>4695.2428</v>
      </c>
      <c r="G469" s="29" t="n">
        <v>4518.59282</v>
      </c>
      <c r="H469" s="29" t="n">
        <v>4596.05595</v>
      </c>
      <c r="I469" s="29" t="n">
        <v>4755.40355</v>
      </c>
      <c r="J469" s="29" t="n">
        <v>4792.76972</v>
      </c>
      <c r="K469" s="29" t="n">
        <v>4769.97694</v>
      </c>
      <c r="L469" s="29" t="n">
        <v>4716.33597</v>
      </c>
      <c r="M469" s="29" t="n">
        <v>4718.85043</v>
      </c>
      <c r="N469" s="29" t="n">
        <v>4531.36057</v>
      </c>
      <c r="O469" s="29" t="n">
        <v>4556.93783</v>
      </c>
      <c r="Q469" s="29" t="n">
        <v>4643.10651</v>
      </c>
      <c r="R469" s="29" t="n">
        <v>4691.12418</v>
      </c>
      <c r="S469" s="29" t="n">
        <v>4666.94056</v>
      </c>
      <c r="V469" s="29" t="n">
        <v>4610.46132</v>
      </c>
      <c r="AA469" s="29" t="n">
        <v>4546.31</v>
      </c>
      <c r="AB469" s="29" t="n">
        <v>4561.29538</v>
      </c>
      <c r="AC469" s="29" t="n">
        <v>4558.3129</v>
      </c>
      <c r="AD469" s="29" t="n">
        <v>0</v>
      </c>
    </row>
    <row r="470" ht="14.25" customHeight="1" s="28">
      <c r="A470" s="29" t="n">
        <v>1778021101</v>
      </c>
      <c r="B470" s="29" t="inlineStr">
        <is>
          <t>XAUUSD</t>
        </is>
      </c>
      <c r="C470" s="29" t="inlineStr">
        <is>
          <t>M15</t>
        </is>
      </c>
      <c r="D470" s="29" t="n">
        <v>4573.43</v>
      </c>
      <c r="E470" s="29" t="n">
        <v>4717.79398</v>
      </c>
      <c r="F470" s="29" t="n">
        <v>4695.2428</v>
      </c>
      <c r="G470" s="29" t="n">
        <v>4518.59282</v>
      </c>
      <c r="H470" s="29" t="n">
        <v>4596.05595</v>
      </c>
      <c r="I470" s="29" t="n">
        <v>4755.40355</v>
      </c>
      <c r="J470" s="29" t="n">
        <v>4792.76972</v>
      </c>
      <c r="K470" s="29" t="n">
        <v>4769.97694</v>
      </c>
      <c r="L470" s="29" t="n">
        <v>4716.33597</v>
      </c>
      <c r="M470" s="29" t="n">
        <v>4718.85043</v>
      </c>
      <c r="N470" s="29" t="n">
        <v>4531.36057</v>
      </c>
      <c r="O470" s="29" t="n">
        <v>4556.93783</v>
      </c>
      <c r="Q470" s="29" t="n">
        <v>4643.30896</v>
      </c>
      <c r="R470" s="29" t="n">
        <v>4691.32662</v>
      </c>
      <c r="S470" s="29" t="n">
        <v>4667.14301</v>
      </c>
      <c r="V470" s="29" t="n">
        <v>4610.66377</v>
      </c>
      <c r="AB470" s="29" t="n">
        <v>4567.30384</v>
      </c>
      <c r="AC470" s="29" t="n">
        <v>4562.80837</v>
      </c>
      <c r="AD470" s="29" t="n">
        <v>0</v>
      </c>
    </row>
    <row r="471" ht="14.25" customHeight="1" s="28">
      <c r="A471" s="29" t="n">
        <v>1778022001</v>
      </c>
      <c r="B471" s="29" t="inlineStr">
        <is>
          <t>XAUUSD</t>
        </is>
      </c>
      <c r="C471" s="29" t="inlineStr">
        <is>
          <t>M15</t>
        </is>
      </c>
      <c r="D471" s="29" t="n">
        <v>4588.62</v>
      </c>
      <c r="E471" s="29" t="n">
        <v>4717.79398</v>
      </c>
      <c r="F471" s="29" t="n">
        <v>4695.2428</v>
      </c>
      <c r="G471" s="29" t="n">
        <v>4518.59282</v>
      </c>
      <c r="H471" s="29" t="n">
        <v>4596.05595</v>
      </c>
      <c r="I471" s="29" t="n">
        <v>4755.40355</v>
      </c>
      <c r="J471" s="29" t="n">
        <v>4792.76972</v>
      </c>
      <c r="K471" s="29" t="n">
        <v>4769.97694</v>
      </c>
      <c r="L471" s="29" t="n">
        <v>4716.33597</v>
      </c>
      <c r="M471" s="29" t="n">
        <v>4718.85043</v>
      </c>
      <c r="N471" s="29" t="n">
        <v>4531.36057</v>
      </c>
      <c r="O471" s="29" t="n">
        <v>4556.93783</v>
      </c>
      <c r="Q471" s="29" t="n">
        <v>4643.5114</v>
      </c>
      <c r="R471" s="29" t="n">
        <v>4691.52907</v>
      </c>
      <c r="S471" s="29" t="n">
        <v>4667.34545</v>
      </c>
      <c r="V471" s="29" t="n">
        <v>4610.86621</v>
      </c>
      <c r="AB471" s="29" t="n">
        <v>4573.95251</v>
      </c>
      <c r="AC471" s="29" t="n">
        <v>4568.38044</v>
      </c>
      <c r="AD471" s="29" t="n">
        <v>0</v>
      </c>
    </row>
    <row r="472" ht="14.25" customHeight="1" s="28">
      <c r="A472" s="29" t="n">
        <v>1778022901</v>
      </c>
      <c r="B472" s="29" t="inlineStr">
        <is>
          <t>XAUUSD</t>
        </is>
      </c>
      <c r="C472" s="29" t="inlineStr">
        <is>
          <t>M15</t>
        </is>
      </c>
      <c r="D472" s="29" t="n">
        <v>4582.1</v>
      </c>
      <c r="E472" s="29" t="n">
        <v>4717.79398</v>
      </c>
      <c r="F472" s="29" t="n">
        <v>4695.2428</v>
      </c>
      <c r="G472" s="29" t="n">
        <v>4518.59282</v>
      </c>
      <c r="H472" s="29" t="n">
        <v>4596.05595</v>
      </c>
      <c r="I472" s="29" t="n">
        <v>4755.40355</v>
      </c>
      <c r="J472" s="29" t="n">
        <v>4792.76972</v>
      </c>
      <c r="K472" s="29" t="n">
        <v>4769.97694</v>
      </c>
      <c r="L472" s="29" t="n">
        <v>4716.33597</v>
      </c>
      <c r="M472" s="29" t="n">
        <v>4718.85043</v>
      </c>
      <c r="N472" s="29" t="n">
        <v>4531.36057</v>
      </c>
      <c r="O472" s="29" t="n">
        <v>4556.93783</v>
      </c>
      <c r="Q472" s="29" t="n">
        <v>4643.71385</v>
      </c>
      <c r="R472" s="29" t="n">
        <v>4691.73151</v>
      </c>
      <c r="S472" s="29" t="n">
        <v>4667.5479</v>
      </c>
      <c r="V472" s="29" t="n">
        <v>4611.06866</v>
      </c>
      <c r="AB472" s="29" t="n">
        <v>4580.54684</v>
      </c>
      <c r="AC472" s="29" t="n">
        <v>4574.46364</v>
      </c>
      <c r="AD472" s="29" t="n">
        <v>0</v>
      </c>
    </row>
    <row r="473" ht="14.25" customHeight="1" s="28">
      <c r="A473" s="29" t="n">
        <v>1778023801</v>
      </c>
      <c r="B473" s="29" t="inlineStr">
        <is>
          <t>XAUUSD</t>
        </is>
      </c>
      <c r="C473" s="29" t="inlineStr">
        <is>
          <t>M15</t>
        </is>
      </c>
      <c r="D473" s="29" t="n">
        <v>4584.84</v>
      </c>
      <c r="E473" s="29" t="n">
        <v>4717.79398</v>
      </c>
      <c r="F473" s="29" t="n">
        <v>4695.2428</v>
      </c>
      <c r="G473" s="29" t="n">
        <v>4518.59282</v>
      </c>
      <c r="H473" s="29" t="n">
        <v>4596.05595</v>
      </c>
      <c r="I473" s="29" t="n">
        <v>4755.40355</v>
      </c>
      <c r="J473" s="29" t="n">
        <v>4792.76972</v>
      </c>
      <c r="K473" s="29" t="n">
        <v>4769.97694</v>
      </c>
      <c r="L473" s="29" t="n">
        <v>4716.33597</v>
      </c>
      <c r="M473" s="29" t="n">
        <v>4718.85043</v>
      </c>
      <c r="N473" s="29" t="n">
        <v>4531.36057</v>
      </c>
      <c r="O473" s="29" t="n">
        <v>4556.93783</v>
      </c>
      <c r="Q473" s="29" t="n">
        <v>4643.91629</v>
      </c>
      <c r="R473" s="29" t="n">
        <v>4691.93396</v>
      </c>
      <c r="S473" s="29" t="n">
        <v>4667.75035</v>
      </c>
      <c r="V473" s="29" t="n">
        <v>4611.2711</v>
      </c>
      <c r="AB473" s="29" t="n">
        <v>4587.05702</v>
      </c>
      <c r="AC473" s="29" t="n">
        <v>4580.76033</v>
      </c>
      <c r="AD473" s="29" t="n">
        <v>0</v>
      </c>
    </row>
    <row r="474" ht="14.25" customHeight="1" s="28">
      <c r="A474" s="29" t="n">
        <v>1778024701</v>
      </c>
      <c r="B474" s="29" t="inlineStr">
        <is>
          <t>XAUUSD</t>
        </is>
      </c>
      <c r="C474" s="29" t="inlineStr">
        <is>
          <t>M15</t>
        </is>
      </c>
      <c r="D474" s="29" t="n">
        <v>4593.92</v>
      </c>
      <c r="E474" s="29" t="n">
        <v>4717.79398</v>
      </c>
      <c r="F474" s="29" t="n">
        <v>4695.2428</v>
      </c>
      <c r="G474" s="29" t="n">
        <v>4518.59282</v>
      </c>
      <c r="H474" s="29" t="n">
        <v>4596.05595</v>
      </c>
      <c r="I474" s="29" t="n">
        <v>4755.40355</v>
      </c>
      <c r="J474" s="29" t="n">
        <v>4792.76972</v>
      </c>
      <c r="K474" s="29" t="n">
        <v>4769.97694</v>
      </c>
      <c r="L474" s="29" t="n">
        <v>4716.33597</v>
      </c>
      <c r="M474" s="29" t="n">
        <v>4718.85043</v>
      </c>
      <c r="N474" s="29" t="n">
        <v>4531.36057</v>
      </c>
      <c r="O474" s="29" t="n">
        <v>4556.93783</v>
      </c>
      <c r="Q474" s="29" t="n">
        <v>4644.11874</v>
      </c>
      <c r="R474" s="29" t="n">
        <v>4692.1364</v>
      </c>
      <c r="S474" s="29" t="n">
        <v>4667.95279</v>
      </c>
      <c r="V474" s="29" t="n">
        <v>4611.47355</v>
      </c>
      <c r="AB474" s="29" t="n">
        <v>4593.31729</v>
      </c>
      <c r="AC474" s="29" t="n">
        <v>4587.03881</v>
      </c>
      <c r="AD474" s="29" t="n">
        <v>0</v>
      </c>
    </row>
    <row r="475" ht="14.25" customHeight="1" s="28">
      <c r="A475" s="29" t="n">
        <v>1778025601</v>
      </c>
      <c r="B475" s="29" t="inlineStr">
        <is>
          <t>XAUUSD</t>
        </is>
      </c>
      <c r="C475" s="29" t="inlineStr">
        <is>
          <t>M15</t>
        </is>
      </c>
      <c r="D475" s="29" t="n">
        <v>4591.76</v>
      </c>
      <c r="E475" s="29" t="n">
        <v>4717.79398</v>
      </c>
      <c r="F475" s="29" t="n">
        <v>4695.2428</v>
      </c>
      <c r="G475" s="29" t="n">
        <v>4518.59282</v>
      </c>
      <c r="H475" s="29" t="n">
        <v>4596.05595</v>
      </c>
      <c r="I475" s="29" t="n">
        <v>4755.40355</v>
      </c>
      <c r="J475" s="29" t="n">
        <v>4792.76972</v>
      </c>
      <c r="K475" s="29" t="n">
        <v>4769.97694</v>
      </c>
      <c r="L475" s="29" t="n">
        <v>4716.33597</v>
      </c>
      <c r="M475" s="29" t="n">
        <v>4718.85043</v>
      </c>
      <c r="N475" s="29" t="n">
        <v>4531.36057</v>
      </c>
      <c r="O475" s="29" t="n">
        <v>4556.93783</v>
      </c>
      <c r="Q475" s="29" t="n">
        <v>4644.32119</v>
      </c>
      <c r="R475" s="29" t="n">
        <v>4692.33885</v>
      </c>
      <c r="S475" s="29" t="n">
        <v>4668.15524</v>
      </c>
      <c r="V475" s="29" t="n">
        <v>4611.67599</v>
      </c>
      <c r="AB475" s="29" t="n">
        <v>4599.0376</v>
      </c>
      <c r="AC475" s="29" t="n">
        <v>4593.0382</v>
      </c>
      <c r="AD475" s="29" t="n">
        <v>0</v>
      </c>
    </row>
    <row r="476" ht="14.25" customHeight="1" s="28">
      <c r="A476" s="29" t="n">
        <v>1778026501</v>
      </c>
      <c r="B476" s="29" t="inlineStr">
        <is>
          <t>XAUUSD</t>
        </is>
      </c>
      <c r="C476" s="29" t="inlineStr">
        <is>
          <t>M15</t>
        </is>
      </c>
      <c r="D476" s="29" t="n">
        <v>4602.23</v>
      </c>
      <c r="E476" s="29" t="n">
        <v>4717.79398</v>
      </c>
      <c r="F476" s="29" t="n">
        <v>4695.2428</v>
      </c>
      <c r="G476" s="29" t="n">
        <v>4518.59282</v>
      </c>
      <c r="H476" s="29" t="n">
        <v>4596.05595</v>
      </c>
      <c r="I476" s="29" t="n">
        <v>4755.40355</v>
      </c>
      <c r="J476" s="29" t="n">
        <v>4792.76972</v>
      </c>
      <c r="K476" s="29" t="n">
        <v>4769.97694</v>
      </c>
      <c r="L476" s="29" t="n">
        <v>4716.33597</v>
      </c>
      <c r="M476" s="29" t="n">
        <v>4718.85043</v>
      </c>
      <c r="N476" s="29" t="n">
        <v>4531.36057</v>
      </c>
      <c r="O476" s="29" t="n">
        <v>4556.93783</v>
      </c>
      <c r="Q476" s="29" t="n">
        <v>4644.52363</v>
      </c>
      <c r="R476" s="29" t="n">
        <v>4692.5413</v>
      </c>
      <c r="S476" s="29" t="n">
        <v>4668.35768</v>
      </c>
      <c r="V476" s="29" t="n">
        <v>4611.87844</v>
      </c>
      <c r="AB476" s="29" t="n">
        <v>4604.34337</v>
      </c>
      <c r="AC476" s="29" t="n">
        <v>4598.69079</v>
      </c>
      <c r="AD476" s="29" t="n">
        <v>0</v>
      </c>
    </row>
    <row r="477" ht="14.25" customHeight="1" s="28">
      <c r="A477" s="29" t="n">
        <v>1778027401</v>
      </c>
      <c r="B477" s="29" t="inlineStr">
        <is>
          <t>XAUUSD</t>
        </is>
      </c>
      <c r="C477" s="29" t="inlineStr">
        <is>
          <t>M15</t>
        </is>
      </c>
      <c r="D477" s="29" t="n">
        <v>4610.32</v>
      </c>
      <c r="E477" s="29" t="n">
        <v>4717.79398</v>
      </c>
      <c r="F477" s="29" t="n">
        <v>4695.2428</v>
      </c>
      <c r="G477" s="29" t="n">
        <v>4518.59282</v>
      </c>
      <c r="H477" s="29" t="n">
        <v>4596.05595</v>
      </c>
      <c r="I477" s="29" t="n">
        <v>4755.40355</v>
      </c>
      <c r="J477" s="29" t="n">
        <v>4792.76972</v>
      </c>
      <c r="K477" s="29" t="n">
        <v>4769.97694</v>
      </c>
      <c r="L477" s="29" t="n">
        <v>4716.33597</v>
      </c>
      <c r="M477" s="29" t="n">
        <v>4718.85043</v>
      </c>
      <c r="N477" s="29" t="n">
        <v>4531.36057</v>
      </c>
      <c r="O477" s="29" t="n">
        <v>4556.93783</v>
      </c>
      <c r="Q477" s="29" t="n">
        <v>4644.72608</v>
      </c>
      <c r="R477" s="29" t="n">
        <v>4692.74374</v>
      </c>
      <c r="S477" s="29" t="n">
        <v>4668.56013</v>
      </c>
      <c r="V477" s="29" t="n">
        <v>4612.08089</v>
      </c>
      <c r="AB477" s="29" t="n">
        <v>4609.07319</v>
      </c>
      <c r="AC477" s="29" t="n">
        <v>4603.88199</v>
      </c>
      <c r="AD477" s="29" t="n">
        <v>0</v>
      </c>
    </row>
    <row r="478" ht="14.25" customHeight="1" s="28">
      <c r="A478" s="29" t="n">
        <v>1778028301</v>
      </c>
      <c r="B478" s="29" t="inlineStr">
        <is>
          <t>XAUUSD</t>
        </is>
      </c>
      <c r="C478" s="29" t="inlineStr">
        <is>
          <t>M15</t>
        </is>
      </c>
      <c r="D478" s="29" t="n">
        <v>4618.87</v>
      </c>
      <c r="E478" s="29" t="n">
        <v>4717.79398</v>
      </c>
      <c r="F478" s="29" t="n">
        <v>4695.2428</v>
      </c>
      <c r="G478" s="29" t="n">
        <v>4518.59282</v>
      </c>
      <c r="H478" s="29" t="n">
        <v>4596.05595</v>
      </c>
      <c r="I478" s="29" t="n">
        <v>4755.40355</v>
      </c>
      <c r="J478" s="29" t="n">
        <v>4792.76972</v>
      </c>
      <c r="K478" s="29" t="n">
        <v>4769.97694</v>
      </c>
      <c r="L478" s="29" t="n">
        <v>4716.33597</v>
      </c>
      <c r="M478" s="29" t="n">
        <v>4718.85043</v>
      </c>
      <c r="N478" s="29" t="n">
        <v>4531.36057</v>
      </c>
      <c r="O478" s="29" t="n">
        <v>4556.93783</v>
      </c>
      <c r="Q478" s="29" t="n">
        <v>4644.92852</v>
      </c>
      <c r="R478" s="29" t="n">
        <v>4692.94619</v>
      </c>
      <c r="S478" s="29" t="n">
        <v>4668.76257</v>
      </c>
      <c r="V478" s="29" t="n">
        <v>4612.28333</v>
      </c>
      <c r="AB478" s="29" t="n">
        <v>4613.22118</v>
      </c>
      <c r="AC478" s="29" t="n">
        <v>4608.55158</v>
      </c>
      <c r="AD478" s="29" t="n">
        <v>0</v>
      </c>
    </row>
    <row r="479" ht="14.25" customHeight="1" s="28">
      <c r="A479" s="29" t="n">
        <v>1778029201</v>
      </c>
      <c r="B479" s="29" t="inlineStr">
        <is>
          <t>XAUUSD</t>
        </is>
      </c>
      <c r="C479" s="29" t="inlineStr">
        <is>
          <t>M15</t>
        </is>
      </c>
      <c r="D479" s="29" t="n">
        <v>4611.55</v>
      </c>
      <c r="E479" s="29" t="n">
        <v>4717.79398</v>
      </c>
      <c r="F479" s="29" t="n">
        <v>4695.2428</v>
      </c>
      <c r="G479" s="29" t="n">
        <v>4518.59282</v>
      </c>
      <c r="H479" s="29" t="n">
        <v>4596.05595</v>
      </c>
      <c r="I479" s="29" t="n">
        <v>4755.40355</v>
      </c>
      <c r="J479" s="29" t="n">
        <v>4792.76972</v>
      </c>
      <c r="K479" s="29" t="n">
        <v>4769.97694</v>
      </c>
      <c r="L479" s="29" t="n">
        <v>4716.33597</v>
      </c>
      <c r="M479" s="29" t="n">
        <v>4718.85043</v>
      </c>
      <c r="N479" s="29" t="n">
        <v>4531.36057</v>
      </c>
      <c r="O479" s="29" t="n">
        <v>4556.93783</v>
      </c>
      <c r="Q479" s="29" t="n">
        <v>4645.13097</v>
      </c>
      <c r="R479" s="29" t="n">
        <v>4693.14863</v>
      </c>
      <c r="S479" s="29" t="n">
        <v>4668.96502</v>
      </c>
      <c r="V479" s="29" t="n">
        <v>4612.48578</v>
      </c>
      <c r="AB479" s="29" t="n">
        <v>4616.84397</v>
      </c>
      <c r="AC479" s="29" t="n">
        <v>4612.69778</v>
      </c>
      <c r="AD479" s="29" t="n">
        <v>0</v>
      </c>
    </row>
    <row r="480" ht="14.25" customHeight="1" s="28">
      <c r="A480" s="29" t="n">
        <v>1778030101</v>
      </c>
      <c r="B480" s="29" t="inlineStr">
        <is>
          <t>XAUUSD</t>
        </is>
      </c>
      <c r="C480" s="29" t="inlineStr">
        <is>
          <t>M15</t>
        </is>
      </c>
      <c r="D480" s="29" t="n">
        <v>4625</v>
      </c>
      <c r="E480" s="29" t="n">
        <v>4717.79398</v>
      </c>
      <c r="F480" s="29" t="n">
        <v>4695.2428</v>
      </c>
      <c r="G480" s="29" t="n">
        <v>4518.59282</v>
      </c>
      <c r="H480" s="29" t="n">
        <v>4596.05595</v>
      </c>
      <c r="I480" s="29" t="n">
        <v>4755.40355</v>
      </c>
      <c r="J480" s="29" t="n">
        <v>4792.76972</v>
      </c>
      <c r="K480" s="29" t="n">
        <v>4769.97694</v>
      </c>
      <c r="L480" s="29" t="n">
        <v>4716.33597</v>
      </c>
      <c r="M480" s="29" t="n">
        <v>4718.85043</v>
      </c>
      <c r="N480" s="29" t="n">
        <v>4531.36057</v>
      </c>
      <c r="O480" s="29" t="n">
        <v>4556.93783</v>
      </c>
      <c r="Q480" s="29" t="n">
        <v>4645.33341</v>
      </c>
      <c r="R480" s="29" t="n">
        <v>4693.35108</v>
      </c>
      <c r="S480" s="29" t="n">
        <v>4669.16747</v>
      </c>
      <c r="V480" s="29" t="n">
        <v>4612.68822</v>
      </c>
      <c r="AB480" s="29" t="n">
        <v>4620.43724</v>
      </c>
      <c r="AC480" s="29" t="n">
        <v>4616.56751</v>
      </c>
      <c r="AD480" s="29" t="n">
        <v>0</v>
      </c>
    </row>
    <row r="481" ht="14.25" customHeight="1" s="28">
      <c r="A481" s="29" t="n">
        <v>1778031001</v>
      </c>
      <c r="B481" s="29" t="inlineStr">
        <is>
          <t>XAUUSD</t>
        </is>
      </c>
      <c r="C481" s="29" t="inlineStr">
        <is>
          <t>M15</t>
        </is>
      </c>
      <c r="D481" s="29" t="n">
        <v>4624.12</v>
      </c>
      <c r="E481" s="29" t="n">
        <v>4717.79398</v>
      </c>
      <c r="F481" s="29" t="n">
        <v>4695.2428</v>
      </c>
      <c r="G481" s="29" t="n">
        <v>4518.59282</v>
      </c>
      <c r="H481" s="29" t="n">
        <v>4596.05595</v>
      </c>
      <c r="I481" s="29" t="n">
        <v>4755.40355</v>
      </c>
      <c r="J481" s="29" t="n">
        <v>4792.76972</v>
      </c>
      <c r="K481" s="29" t="n">
        <v>4769.97694</v>
      </c>
      <c r="L481" s="29" t="n">
        <v>4716.33597</v>
      </c>
      <c r="M481" s="29" t="n">
        <v>4718.85043</v>
      </c>
      <c r="N481" s="29" t="n">
        <v>4531.36057</v>
      </c>
      <c r="O481" s="29" t="n">
        <v>4556.93783</v>
      </c>
      <c r="Q481" s="29" t="n">
        <v>4645.53586</v>
      </c>
      <c r="R481" s="29" t="n">
        <v>4693.55352</v>
      </c>
      <c r="S481" s="29" t="n">
        <v>4669.36991</v>
      </c>
      <c r="V481" s="29" t="n">
        <v>4612.89067</v>
      </c>
      <c r="AB481" s="29" t="n">
        <v>4623.84047</v>
      </c>
      <c r="AC481" s="29" t="n">
        <v>4620.20399</v>
      </c>
      <c r="AD481" s="29" t="n">
        <v>0</v>
      </c>
    </row>
    <row r="482" ht="14.25" customHeight="1" s="28">
      <c r="A482" s="29" t="n">
        <v>1778031901</v>
      </c>
      <c r="B482" s="29" t="inlineStr">
        <is>
          <t>XAUUSD</t>
        </is>
      </c>
      <c r="C482" s="29" t="inlineStr">
        <is>
          <t>M15</t>
        </is>
      </c>
      <c r="D482" s="29" t="n">
        <v>4626.18</v>
      </c>
      <c r="E482" s="29" t="n">
        <v>4717.79398</v>
      </c>
      <c r="F482" s="29" t="n">
        <v>4695.2428</v>
      </c>
      <c r="G482" s="29" t="n">
        <v>4518.59282</v>
      </c>
      <c r="H482" s="29" t="n">
        <v>4596.05595</v>
      </c>
      <c r="I482" s="29" t="n">
        <v>4755.40355</v>
      </c>
      <c r="J482" s="29" t="n">
        <v>4792.76972</v>
      </c>
      <c r="K482" s="29" t="n">
        <v>4769.97694</v>
      </c>
      <c r="L482" s="29" t="n">
        <v>4716.33597</v>
      </c>
      <c r="M482" s="29" t="n">
        <v>4718.85043</v>
      </c>
      <c r="N482" s="29" t="n">
        <v>4531.36057</v>
      </c>
      <c r="O482" s="29" t="n">
        <v>4556.93783</v>
      </c>
      <c r="Q482" s="29" t="n">
        <v>4645.73831</v>
      </c>
      <c r="R482" s="29" t="n">
        <v>4693.75597</v>
      </c>
      <c r="S482" s="29" t="n">
        <v>4669.57236</v>
      </c>
      <c r="V482" s="29" t="n">
        <v>4613.09311</v>
      </c>
      <c r="AB482" s="29" t="n">
        <v>4627.29537</v>
      </c>
      <c r="AC482" s="29" t="n">
        <v>4623.74968</v>
      </c>
      <c r="AD482" s="29" t="n">
        <v>0</v>
      </c>
    </row>
    <row r="483" ht="14.25" customHeight="1" s="28">
      <c r="A483" s="29" t="n">
        <v>1778032801</v>
      </c>
      <c r="B483" s="29" t="inlineStr">
        <is>
          <t>XAUUSD</t>
        </is>
      </c>
      <c r="C483" s="29" t="inlineStr">
        <is>
          <t>M15</t>
        </is>
      </c>
      <c r="D483" s="29" t="n">
        <v>4633.69</v>
      </c>
      <c r="E483" s="29" t="n">
        <v>4717.79398</v>
      </c>
      <c r="F483" s="29" t="n">
        <v>4695.2428</v>
      </c>
      <c r="G483" s="29" t="n">
        <v>4518.59282</v>
      </c>
      <c r="H483" s="29" t="n">
        <v>4596.05595</v>
      </c>
      <c r="I483" s="29" t="n">
        <v>4755.40355</v>
      </c>
      <c r="J483" s="29" t="n">
        <v>4792.76972</v>
      </c>
      <c r="K483" s="29" t="n">
        <v>4769.97694</v>
      </c>
      <c r="L483" s="29" t="n">
        <v>4716.33597</v>
      </c>
      <c r="M483" s="29" t="n">
        <v>4718.85043</v>
      </c>
      <c r="N483" s="29" t="n">
        <v>4531.36057</v>
      </c>
      <c r="O483" s="29" t="n">
        <v>4556.93783</v>
      </c>
      <c r="Q483" s="29" t="n">
        <v>4645.94075</v>
      </c>
      <c r="R483" s="29" t="n">
        <v>4693.95842</v>
      </c>
      <c r="S483" s="29" t="n">
        <v>4669.7748</v>
      </c>
      <c r="V483" s="29" t="n">
        <v>4613.29556</v>
      </c>
      <c r="AB483" s="29" t="n">
        <v>4630.85522</v>
      </c>
      <c r="AC483" s="29" t="n">
        <v>4627.30245</v>
      </c>
      <c r="AD483" s="29" t="n">
        <v>0</v>
      </c>
    </row>
    <row r="484" ht="14.25" customHeight="1" s="28">
      <c r="A484" s="29" t="n">
        <v>1778033701</v>
      </c>
      <c r="B484" s="29" t="inlineStr">
        <is>
          <t>XAUUSD</t>
        </is>
      </c>
      <c r="C484" s="29" t="inlineStr">
        <is>
          <t>M15</t>
        </is>
      </c>
      <c r="D484" s="29" t="n">
        <v>4630.22</v>
      </c>
      <c r="E484" s="29" t="n">
        <v>4717.79398</v>
      </c>
      <c r="F484" s="29" t="n">
        <v>4695.2428</v>
      </c>
      <c r="G484" s="29" t="n">
        <v>4518.59282</v>
      </c>
      <c r="H484" s="29" t="n">
        <v>4596.05595</v>
      </c>
      <c r="I484" s="29" t="n">
        <v>4755.40355</v>
      </c>
      <c r="J484" s="29" t="n">
        <v>4792.76972</v>
      </c>
      <c r="K484" s="29" t="n">
        <v>4769.97694</v>
      </c>
      <c r="L484" s="29" t="n">
        <v>4716.33597</v>
      </c>
      <c r="M484" s="29" t="n">
        <v>4718.85043</v>
      </c>
      <c r="N484" s="29" t="n">
        <v>4531.36057</v>
      </c>
      <c r="O484" s="29" t="n">
        <v>4556.93783</v>
      </c>
      <c r="Q484" s="29" t="n">
        <v>4646.1432</v>
      </c>
      <c r="R484" s="29" t="n">
        <v>4694.16086</v>
      </c>
      <c r="S484" s="29" t="n">
        <v>4669.97725</v>
      </c>
      <c r="V484" s="29" t="n">
        <v>4613.498</v>
      </c>
      <c r="AB484" s="29" t="n">
        <v>4634.34565</v>
      </c>
      <c r="AC484" s="29" t="n">
        <v>4630.82405</v>
      </c>
      <c r="AD484" s="29" t="n">
        <v>0</v>
      </c>
    </row>
    <row r="485" ht="14.25" customHeight="1" s="28">
      <c r="A485" s="29" t="n">
        <v>1778034601</v>
      </c>
      <c r="B485" s="29" t="inlineStr">
        <is>
          <t>XAUUSD</t>
        </is>
      </c>
      <c r="C485" s="29" t="inlineStr">
        <is>
          <t>M15</t>
        </is>
      </c>
      <c r="D485" s="29" t="n">
        <v>4635.01</v>
      </c>
      <c r="E485" s="29" t="n">
        <v>4717.79398</v>
      </c>
      <c r="F485" s="29" t="n">
        <v>4695.2428</v>
      </c>
      <c r="G485" s="29" t="n">
        <v>4518.59282</v>
      </c>
      <c r="H485" s="29" t="n">
        <v>4596.05595</v>
      </c>
      <c r="I485" s="29" t="n">
        <v>4755.40355</v>
      </c>
      <c r="J485" s="29" t="n">
        <v>4792.76972</v>
      </c>
      <c r="K485" s="29" t="n">
        <v>4769.97694</v>
      </c>
      <c r="L485" s="29" t="n">
        <v>4716.33597</v>
      </c>
      <c r="M485" s="29" t="n">
        <v>4718.85043</v>
      </c>
      <c r="N485" s="29" t="n">
        <v>4531.36057</v>
      </c>
      <c r="O485" s="29" t="n">
        <v>4556.93783</v>
      </c>
      <c r="Q485" s="29" t="n">
        <v>4646.34564</v>
      </c>
      <c r="R485" s="29" t="n">
        <v>4694.36331</v>
      </c>
      <c r="S485" s="29" t="n">
        <v>4670.17969</v>
      </c>
      <c r="V485" s="29" t="n">
        <v>4613.70045</v>
      </c>
      <c r="AB485" s="29" t="n">
        <v>4637.80212</v>
      </c>
      <c r="AC485" s="29" t="n">
        <v>4634.31309</v>
      </c>
      <c r="AD485" s="29" t="n">
        <v>0</v>
      </c>
    </row>
    <row r="486" ht="14.25" customHeight="1" s="28">
      <c r="A486" s="29" t="n">
        <v>1778035501</v>
      </c>
      <c r="B486" s="29" t="inlineStr">
        <is>
          <t>XAUUSD</t>
        </is>
      </c>
      <c r="C486" s="29" t="inlineStr">
        <is>
          <t>M15</t>
        </is>
      </c>
      <c r="D486" s="29" t="n">
        <v>4640.94</v>
      </c>
      <c r="E486" s="29" t="n">
        <v>4717.79398</v>
      </c>
      <c r="F486" s="29" t="n">
        <v>4695.2428</v>
      </c>
      <c r="G486" s="29" t="n">
        <v>4518.59282</v>
      </c>
      <c r="H486" s="29" t="n">
        <v>4596.05595</v>
      </c>
      <c r="I486" s="29" t="n">
        <v>4755.40355</v>
      </c>
      <c r="J486" s="29" t="n">
        <v>4792.76972</v>
      </c>
      <c r="K486" s="29" t="n">
        <v>4769.97694</v>
      </c>
      <c r="L486" s="29" t="n">
        <v>4716.33597</v>
      </c>
      <c r="M486" s="29" t="n">
        <v>4718.85043</v>
      </c>
      <c r="N486" s="29" t="n">
        <v>4531.36057</v>
      </c>
      <c r="O486" s="29" t="n">
        <v>4556.93783</v>
      </c>
      <c r="Q486" s="29" t="n">
        <v>4646.54809</v>
      </c>
      <c r="R486" s="29" t="n">
        <v>4694.56575</v>
      </c>
      <c r="S486" s="29" t="n">
        <v>4670.38214</v>
      </c>
      <c r="V486" s="29" t="n">
        <v>4613.9029</v>
      </c>
      <c r="AB486" s="29" t="n">
        <v>4640.98602</v>
      </c>
      <c r="AC486" s="29" t="n">
        <v>4637.64955</v>
      </c>
      <c r="AD486" s="29" t="n">
        <v>0</v>
      </c>
    </row>
    <row r="487" ht="14.25" customHeight="1" s="28">
      <c r="A487" s="29" t="n">
        <v>1778036401</v>
      </c>
      <c r="B487" s="29" t="inlineStr">
        <is>
          <t>XAUUSD</t>
        </is>
      </c>
      <c r="C487" s="29" t="inlineStr">
        <is>
          <t>M15</t>
        </is>
      </c>
      <c r="D487" s="29" t="n">
        <v>4647.89</v>
      </c>
      <c r="E487" s="29" t="n">
        <v>4717.79398</v>
      </c>
      <c r="F487" s="29" t="n">
        <v>4695.2428</v>
      </c>
      <c r="G487" s="29" t="n">
        <v>4518.59282</v>
      </c>
      <c r="H487" s="29" t="n">
        <v>4596.05595</v>
      </c>
      <c r="I487" s="29" t="n">
        <v>4755.40355</v>
      </c>
      <c r="J487" s="29" t="n">
        <v>4792.76972</v>
      </c>
      <c r="K487" s="29" t="n">
        <v>4769.97694</v>
      </c>
      <c r="L487" s="29" t="n">
        <v>4716.33597</v>
      </c>
      <c r="M487" s="29" t="n">
        <v>4718.85043</v>
      </c>
      <c r="N487" s="29" t="n">
        <v>4531.36057</v>
      </c>
      <c r="O487" s="29" t="n">
        <v>4556.93783</v>
      </c>
      <c r="Q487" s="29" t="n">
        <v>4646.75053</v>
      </c>
      <c r="R487" s="29" t="n">
        <v>4694.7682</v>
      </c>
      <c r="S487" s="29" t="n">
        <v>4670.58459</v>
      </c>
      <c r="V487" s="29" t="n">
        <v>4614.10534</v>
      </c>
      <c r="AB487" s="29" t="n">
        <v>4643.61668</v>
      </c>
      <c r="AC487" s="29" t="n">
        <v>4640.63312</v>
      </c>
      <c r="AD487" s="29" t="n">
        <v>0</v>
      </c>
    </row>
    <row r="488" ht="14.25" customHeight="1" s="28">
      <c r="A488" s="29" t="n">
        <v>1778037301</v>
      </c>
      <c r="B488" s="29" t="inlineStr">
        <is>
          <t>XAUUSD</t>
        </is>
      </c>
      <c r="C488" s="29" t="inlineStr">
        <is>
          <t>M15</t>
        </is>
      </c>
      <c r="D488" s="29" t="n">
        <v>4645.81</v>
      </c>
      <c r="E488" s="29" t="n">
        <v>4717.79398</v>
      </c>
      <c r="F488" s="29" t="n">
        <v>4695.2428</v>
      </c>
      <c r="G488" s="29" t="n">
        <v>4518.59282</v>
      </c>
      <c r="H488" s="29" t="n">
        <v>4596.05595</v>
      </c>
      <c r="I488" s="29" t="n">
        <v>4755.40355</v>
      </c>
      <c r="J488" s="29" t="n">
        <v>4792.76972</v>
      </c>
      <c r="K488" s="29" t="n">
        <v>4769.97694</v>
      </c>
      <c r="L488" s="29" t="n">
        <v>4716.33597</v>
      </c>
      <c r="M488" s="29" t="n">
        <v>4718.85043</v>
      </c>
      <c r="N488" s="29" t="n">
        <v>4531.36057</v>
      </c>
      <c r="O488" s="29" t="n">
        <v>4556.93783</v>
      </c>
      <c r="Q488" s="29" t="n">
        <v>4646.95298</v>
      </c>
      <c r="R488" s="29" t="n">
        <v>4694.97064</v>
      </c>
      <c r="S488" s="29" t="n">
        <v>4670.78703</v>
      </c>
      <c r="V488" s="29" t="n">
        <v>4614.30779</v>
      </c>
      <c r="AB488" s="29" t="n">
        <v>4645.4561</v>
      </c>
      <c r="AC488" s="29" t="n">
        <v>4643.04461</v>
      </c>
      <c r="AD488" s="29" t="n">
        <v>0</v>
      </c>
    </row>
    <row r="489" ht="14.25" customHeight="1" s="28">
      <c r="A489" s="29" t="n">
        <v>1778038201</v>
      </c>
      <c r="B489" s="29" t="inlineStr">
        <is>
          <t>XAUUSD</t>
        </is>
      </c>
      <c r="C489" s="29" t="inlineStr">
        <is>
          <t>M15</t>
        </is>
      </c>
      <c r="D489" s="29" t="n">
        <v>4647.74</v>
      </c>
      <c r="E489" s="29" t="n">
        <v>4717.79398</v>
      </c>
      <c r="F489" s="29" t="n">
        <v>4695.2428</v>
      </c>
      <c r="G489" s="29" t="n">
        <v>4518.59282</v>
      </c>
      <c r="H489" s="29" t="n">
        <v>4596.05595</v>
      </c>
      <c r="I489" s="29" t="n">
        <v>4755.40355</v>
      </c>
      <c r="J489" s="29" t="n">
        <v>4792.76972</v>
      </c>
      <c r="K489" s="29" t="n">
        <v>4769.97694</v>
      </c>
      <c r="L489" s="29" t="n">
        <v>4716.33597</v>
      </c>
      <c r="M489" s="29" t="n">
        <v>4718.85043</v>
      </c>
      <c r="N489" s="29" t="n">
        <v>4531.36057</v>
      </c>
      <c r="O489" s="29" t="n">
        <v>4556.93783</v>
      </c>
      <c r="Q489" s="29" t="n">
        <v>4647.15542</v>
      </c>
      <c r="R489" s="29" t="n">
        <v>4695.17309</v>
      </c>
      <c r="S489" s="29" t="n">
        <v>4670.98948</v>
      </c>
      <c r="V489" s="29" t="n">
        <v>4614.51023</v>
      </c>
      <c r="AB489" s="29" t="n">
        <v>4646.64429</v>
      </c>
      <c r="AC489" s="29" t="n">
        <v>4644.84445</v>
      </c>
      <c r="AD489" s="29" t="n">
        <v>0</v>
      </c>
    </row>
    <row r="490" ht="14.25" customHeight="1" s="28">
      <c r="A490" s="29" t="n">
        <v>1778039101</v>
      </c>
      <c r="B490" s="29" t="inlineStr">
        <is>
          <t>XAUUSD</t>
        </is>
      </c>
      <c r="C490" s="29" t="inlineStr">
        <is>
          <t>M15</t>
        </is>
      </c>
      <c r="D490" s="29" t="n">
        <v>4643.84</v>
      </c>
      <c r="E490" s="29" t="n">
        <v>4717.79398</v>
      </c>
      <c r="F490" s="29" t="n">
        <v>4695.2428</v>
      </c>
      <c r="G490" s="29" t="n">
        <v>4518.59282</v>
      </c>
      <c r="H490" s="29" t="n">
        <v>4596.05595</v>
      </c>
      <c r="I490" s="29" t="n">
        <v>4755.40355</v>
      </c>
      <c r="J490" s="29" t="n">
        <v>4792.76972</v>
      </c>
      <c r="K490" s="29" t="n">
        <v>4769.97694</v>
      </c>
      <c r="L490" s="29" t="n">
        <v>4716.33597</v>
      </c>
      <c r="M490" s="29" t="n">
        <v>4718.85043</v>
      </c>
      <c r="N490" s="29" t="n">
        <v>4531.36057</v>
      </c>
      <c r="O490" s="29" t="n">
        <v>4556.93783</v>
      </c>
      <c r="Q490" s="29" t="n">
        <v>4647.35787</v>
      </c>
      <c r="R490" s="29" t="n">
        <v>4695.37553</v>
      </c>
      <c r="S490" s="29" t="n">
        <v>4671.19192</v>
      </c>
      <c r="V490" s="29" t="n">
        <v>4614.71268</v>
      </c>
      <c r="AB490" s="29" t="n">
        <v>4647.34591</v>
      </c>
      <c r="AC490" s="29" t="n">
        <v>4646.09518</v>
      </c>
      <c r="AD490" s="29" t="n">
        <v>0</v>
      </c>
    </row>
    <row r="491" ht="14.25" customHeight="1" s="28">
      <c r="A491" s="29" t="n">
        <v>1778040001</v>
      </c>
      <c r="B491" s="29" t="inlineStr">
        <is>
          <t>XAUUSD</t>
        </is>
      </c>
      <c r="C491" s="29" t="inlineStr">
        <is>
          <t>M15</t>
        </is>
      </c>
      <c r="D491" s="29" t="n">
        <v>4647.59</v>
      </c>
      <c r="E491" s="29" t="n">
        <v>4717.79398</v>
      </c>
      <c r="F491" s="29" t="n">
        <v>4695.2428</v>
      </c>
      <c r="G491" s="29" t="n">
        <v>4518.59282</v>
      </c>
      <c r="H491" s="29" t="n">
        <v>4596.05595</v>
      </c>
      <c r="I491" s="29" t="n">
        <v>4755.40355</v>
      </c>
      <c r="J491" s="29" t="n">
        <v>4792.76972</v>
      </c>
      <c r="K491" s="29" t="n">
        <v>4769.97694</v>
      </c>
      <c r="L491" s="29" t="n">
        <v>4716.33597</v>
      </c>
      <c r="M491" s="29" t="n">
        <v>4718.85043</v>
      </c>
      <c r="N491" s="29" t="n">
        <v>4531.36057</v>
      </c>
      <c r="O491" s="29" t="n">
        <v>4556.93783</v>
      </c>
      <c r="Q491" s="29" t="n">
        <v>4647.56032</v>
      </c>
      <c r="R491" s="29" t="n">
        <v>4695.57798</v>
      </c>
      <c r="S491" s="29" t="n">
        <v>4671.39437</v>
      </c>
      <c r="V491" s="29" t="n">
        <v>4614.91512</v>
      </c>
      <c r="AB491" s="29" t="n">
        <v>4647.93595</v>
      </c>
      <c r="AC491" s="29" t="n">
        <v>4647.01556</v>
      </c>
      <c r="AD491" s="29" t="n">
        <v>0</v>
      </c>
    </row>
    <row r="492" ht="14.25" customHeight="1" s="28">
      <c r="A492" s="29" t="n">
        <v>1778040901</v>
      </c>
      <c r="B492" s="29" t="inlineStr">
        <is>
          <t>XAUUSD</t>
        </is>
      </c>
      <c r="C492" s="29" t="inlineStr">
        <is>
          <t>M15</t>
        </is>
      </c>
      <c r="D492" s="29" t="n">
        <v>4653.19</v>
      </c>
      <c r="E492" s="29" t="n">
        <v>4717.79398</v>
      </c>
      <c r="F492" s="29" t="n">
        <v>4695.2428</v>
      </c>
      <c r="G492" s="29" t="n">
        <v>4518.59282</v>
      </c>
      <c r="H492" s="29" t="n">
        <v>4596.05595</v>
      </c>
      <c r="I492" s="29" t="n">
        <v>4755.40355</v>
      </c>
      <c r="J492" s="29" t="n">
        <v>4792.76972</v>
      </c>
      <c r="K492" s="29" t="n">
        <v>4769.97694</v>
      </c>
      <c r="L492" s="29" t="n">
        <v>4716.33597</v>
      </c>
      <c r="M492" s="29" t="n">
        <v>4718.85043</v>
      </c>
      <c r="N492" s="29" t="n">
        <v>4531.36057</v>
      </c>
      <c r="O492" s="29" t="n">
        <v>4556.93783</v>
      </c>
      <c r="Q492" s="29" t="n">
        <v>4647.76276</v>
      </c>
      <c r="R492" s="29" t="n">
        <v>4695.78043</v>
      </c>
      <c r="S492" s="29" t="n">
        <v>4671.59681</v>
      </c>
      <c r="V492" s="29" t="n">
        <v>4615.11757</v>
      </c>
      <c r="AB492" s="29" t="n">
        <v>4648.56672</v>
      </c>
      <c r="AC492" s="29" t="n">
        <v>4647.79114</v>
      </c>
      <c r="AD492" s="29" t="n">
        <v>0</v>
      </c>
    </row>
    <row r="493" ht="14.25" customHeight="1" s="28">
      <c r="A493" s="29" t="n">
        <v>1778041801</v>
      </c>
      <c r="B493" s="29" t="inlineStr">
        <is>
          <t>XAUUSD</t>
        </is>
      </c>
      <c r="C493" s="29" t="inlineStr">
        <is>
          <t>M15</t>
        </is>
      </c>
      <c r="D493" s="29" t="n">
        <v>4647.47</v>
      </c>
      <c r="E493" s="29" t="n">
        <v>4717.79398</v>
      </c>
      <c r="F493" s="29" t="n">
        <v>4695.2428</v>
      </c>
      <c r="G493" s="29" t="n">
        <v>4518.59282</v>
      </c>
      <c r="H493" s="29" t="n">
        <v>4596.05595</v>
      </c>
      <c r="I493" s="29" t="n">
        <v>4755.40355</v>
      </c>
      <c r="J493" s="29" t="n">
        <v>4792.76972</v>
      </c>
      <c r="K493" s="29" t="n">
        <v>4769.97694</v>
      </c>
      <c r="L493" s="29" t="n">
        <v>4716.33597</v>
      </c>
      <c r="M493" s="29" t="n">
        <v>4718.85043</v>
      </c>
      <c r="N493" s="29" t="n">
        <v>4531.36057</v>
      </c>
      <c r="O493" s="29" t="n">
        <v>4556.93783</v>
      </c>
      <c r="Q493" s="29" t="n">
        <v>4647.96521</v>
      </c>
      <c r="R493" s="29" t="n">
        <v>4695.98287</v>
      </c>
      <c r="S493" s="29" t="n">
        <v>4671.79926</v>
      </c>
      <c r="V493" s="29" t="n">
        <v>4615.32002</v>
      </c>
      <c r="AB493" s="29" t="n">
        <v>4649.29425</v>
      </c>
      <c r="AC493" s="29" t="n">
        <v>4648.54269</v>
      </c>
      <c r="AD493" s="29" t="n">
        <v>0</v>
      </c>
    </row>
    <row r="494" ht="14.25" customHeight="1" s="28">
      <c r="A494" s="29" t="n">
        <v>1778042701</v>
      </c>
      <c r="B494" s="29" t="inlineStr">
        <is>
          <t>XAUUSD</t>
        </is>
      </c>
      <c r="C494" s="29" t="inlineStr">
        <is>
          <t>M15</t>
        </is>
      </c>
      <c r="D494" s="29" t="n">
        <v>4648.72</v>
      </c>
      <c r="E494" s="29" t="n">
        <v>4717.79398</v>
      </c>
      <c r="F494" s="29" t="n">
        <v>4695.2428</v>
      </c>
      <c r="G494" s="29" t="n">
        <v>4518.59282</v>
      </c>
      <c r="H494" s="29" t="n">
        <v>4596.05595</v>
      </c>
      <c r="I494" s="29" t="n">
        <v>4755.40355</v>
      </c>
      <c r="J494" s="29" t="n">
        <v>4792.76972</v>
      </c>
      <c r="K494" s="29" t="n">
        <v>4769.97694</v>
      </c>
      <c r="L494" s="29" t="n">
        <v>4716.33597</v>
      </c>
      <c r="M494" s="29" t="n">
        <v>4718.85043</v>
      </c>
      <c r="N494" s="29" t="n">
        <v>4531.36057</v>
      </c>
      <c r="O494" s="29" t="n">
        <v>4556.93783</v>
      </c>
      <c r="Q494" s="29" t="n">
        <v>4648.16765</v>
      </c>
      <c r="R494" s="29" t="n">
        <v>4696.18532</v>
      </c>
      <c r="S494" s="29" t="n">
        <v>4672.00171</v>
      </c>
      <c r="V494" s="29" t="n">
        <v>4615.52246</v>
      </c>
      <c r="AB494" s="29" t="n">
        <v>4650.43095</v>
      </c>
      <c r="AC494" s="29" t="n">
        <v>4649.48682</v>
      </c>
      <c r="AD494" s="29" t="n">
        <v>0</v>
      </c>
    </row>
    <row r="495" ht="14.25" customHeight="1" s="28">
      <c r="A495" s="29" t="n">
        <v>1778043601</v>
      </c>
      <c r="B495" s="29" t="inlineStr">
        <is>
          <t>XAUUSD</t>
        </is>
      </c>
      <c r="C495" s="29" t="inlineStr">
        <is>
          <t>M15</t>
        </is>
      </c>
      <c r="D495" s="29" t="n">
        <v>4654.64</v>
      </c>
      <c r="E495" s="29" t="n">
        <v>4717.79398</v>
      </c>
      <c r="F495" s="29" t="n">
        <v>4695.2428</v>
      </c>
      <c r="G495" s="29" t="n">
        <v>4518.59282</v>
      </c>
      <c r="H495" s="29" t="n">
        <v>4596.05595</v>
      </c>
      <c r="I495" s="29" t="n">
        <v>4755.40355</v>
      </c>
      <c r="J495" s="29" t="n">
        <v>4792.76972</v>
      </c>
      <c r="K495" s="29" t="n">
        <v>4769.97694</v>
      </c>
      <c r="L495" s="29" t="n">
        <v>4716.33597</v>
      </c>
      <c r="M495" s="29" t="n">
        <v>4718.85043</v>
      </c>
      <c r="N495" s="29" t="n">
        <v>4531.36057</v>
      </c>
      <c r="O495" s="29" t="n">
        <v>4556.93783</v>
      </c>
      <c r="Q495" s="29" t="n">
        <v>4648.3701</v>
      </c>
      <c r="R495" s="29" t="n">
        <v>4696.38776</v>
      </c>
      <c r="S495" s="29" t="n">
        <v>4672.20415</v>
      </c>
      <c r="V495" s="29" t="n">
        <v>4615.72491</v>
      </c>
      <c r="AB495" s="29" t="n">
        <v>4651.95756</v>
      </c>
      <c r="AC495" s="29" t="n">
        <v>4650.72219</v>
      </c>
      <c r="AD495" s="29" t="n">
        <v>0</v>
      </c>
    </row>
    <row r="496" ht="14.25" customHeight="1" s="28">
      <c r="A496" s="29" t="n">
        <v>1778044501</v>
      </c>
      <c r="B496" s="29" t="inlineStr">
        <is>
          <t>XAUUSD</t>
        </is>
      </c>
      <c r="C496" s="29" t="inlineStr">
        <is>
          <t>M15</t>
        </is>
      </c>
      <c r="D496" s="29" t="n">
        <v>4650.4</v>
      </c>
      <c r="E496" s="29" t="n">
        <v>4717.79398</v>
      </c>
      <c r="F496" s="29" t="n">
        <v>4695.2428</v>
      </c>
      <c r="G496" s="29" t="n">
        <v>4518.59282</v>
      </c>
      <c r="H496" s="29" t="n">
        <v>4596.05595</v>
      </c>
      <c r="I496" s="29" t="n">
        <v>4755.40355</v>
      </c>
      <c r="J496" s="29" t="n">
        <v>4792.76972</v>
      </c>
      <c r="K496" s="29" t="n">
        <v>4769.97694</v>
      </c>
      <c r="L496" s="29" t="n">
        <v>4716.33597</v>
      </c>
      <c r="M496" s="29" t="n">
        <v>4718.85043</v>
      </c>
      <c r="N496" s="29" t="n">
        <v>4531.36057</v>
      </c>
      <c r="O496" s="29" t="n">
        <v>4556.93783</v>
      </c>
      <c r="Q496" s="29" t="n">
        <v>4648.57254</v>
      </c>
      <c r="R496" s="29" t="n">
        <v>4696.59021</v>
      </c>
      <c r="S496" s="29" t="n">
        <v>4672.4066</v>
      </c>
      <c r="V496" s="29" t="n">
        <v>4615.92735</v>
      </c>
      <c r="AB496" s="29" t="n">
        <v>4653.69233</v>
      </c>
      <c r="AC496" s="29" t="n">
        <v>4652.20726</v>
      </c>
      <c r="AD496" s="29" t="n">
        <v>0</v>
      </c>
    </row>
    <row r="497" ht="14.25" customHeight="1" s="28">
      <c r="A497" s="29" t="n">
        <v>1778045401</v>
      </c>
      <c r="B497" s="29" t="inlineStr">
        <is>
          <t>XAUUSD</t>
        </is>
      </c>
      <c r="C497" s="29" t="inlineStr">
        <is>
          <t>M15</t>
        </is>
      </c>
      <c r="D497" s="29" t="n">
        <v>4650.19</v>
      </c>
      <c r="E497" s="29" t="n">
        <v>4717.79398</v>
      </c>
      <c r="F497" s="29" t="n">
        <v>4695.2428</v>
      </c>
      <c r="G497" s="29" t="n">
        <v>4518.59282</v>
      </c>
      <c r="H497" s="29" t="n">
        <v>4596.05595</v>
      </c>
      <c r="I497" s="29" t="n">
        <v>4755.40355</v>
      </c>
      <c r="J497" s="29" t="n">
        <v>4792.76972</v>
      </c>
      <c r="K497" s="29" t="n">
        <v>4769.97694</v>
      </c>
      <c r="L497" s="29" t="n">
        <v>4716.33597</v>
      </c>
      <c r="M497" s="29" t="n">
        <v>4718.85043</v>
      </c>
      <c r="N497" s="29" t="n">
        <v>4531.36057</v>
      </c>
      <c r="O497" s="29" t="n">
        <v>4556.93783</v>
      </c>
      <c r="Q497" s="29" t="n">
        <v>4648.77499</v>
      </c>
      <c r="R497" s="29" t="n">
        <v>4696.79265</v>
      </c>
      <c r="S497" s="29" t="n">
        <v>4672.60904</v>
      </c>
      <c r="V497" s="29" t="n">
        <v>4616.1298</v>
      </c>
      <c r="AB497" s="29" t="n">
        <v>4655.69995</v>
      </c>
      <c r="AC497" s="29" t="n">
        <v>4653.95361</v>
      </c>
      <c r="AD497" s="29" t="n">
        <v>0</v>
      </c>
    </row>
    <row r="498" ht="14.25" customHeight="1" s="28">
      <c r="A498" s="29" t="n">
        <v>1778046301</v>
      </c>
      <c r="B498" s="29" t="inlineStr">
        <is>
          <t>XAUUSD</t>
        </is>
      </c>
      <c r="C498" s="29" t="inlineStr">
        <is>
          <t>M15</t>
        </is>
      </c>
      <c r="D498" s="29" t="n">
        <v>4663.2</v>
      </c>
      <c r="E498" s="29" t="n">
        <v>4717.79398</v>
      </c>
      <c r="F498" s="29" t="n">
        <v>4695.2428</v>
      </c>
      <c r="G498" s="29" t="n">
        <v>4518.59282</v>
      </c>
      <c r="H498" s="29" t="n">
        <v>4596.05595</v>
      </c>
      <c r="I498" s="29" t="n">
        <v>4755.40355</v>
      </c>
      <c r="J498" s="29" t="n">
        <v>4792.76972</v>
      </c>
      <c r="K498" s="29" t="n">
        <v>4769.97694</v>
      </c>
      <c r="L498" s="29" t="n">
        <v>4716.33597</v>
      </c>
      <c r="M498" s="29" t="n">
        <v>4718.85043</v>
      </c>
      <c r="N498" s="29" t="n">
        <v>4531.36057</v>
      </c>
      <c r="O498" s="29" t="n">
        <v>4556.93783</v>
      </c>
      <c r="Q498" s="29" t="n">
        <v>4648.97744</v>
      </c>
      <c r="R498" s="29" t="n">
        <v>4696.9951</v>
      </c>
      <c r="S498" s="29" t="n">
        <v>4672.81149</v>
      </c>
      <c r="V498" s="29" t="n">
        <v>4616.33224</v>
      </c>
      <c r="AB498" s="29" t="n">
        <v>4657.94501</v>
      </c>
      <c r="AC498" s="29" t="n">
        <v>4655.94931</v>
      </c>
      <c r="AD498" s="29" t="n">
        <v>0</v>
      </c>
    </row>
    <row r="499" ht="14.25" customHeight="1" s="28">
      <c r="A499" s="29" t="n">
        <v>1778047201</v>
      </c>
      <c r="B499" s="29" t="inlineStr">
        <is>
          <t>XAUUSD</t>
        </is>
      </c>
      <c r="C499" s="29" t="inlineStr">
        <is>
          <t>M15</t>
        </is>
      </c>
      <c r="D499" s="29" t="n">
        <v>4660.55</v>
      </c>
      <c r="E499" s="29" t="n">
        <v>4717.79398</v>
      </c>
      <c r="F499" s="29" t="n">
        <v>4695.2428</v>
      </c>
      <c r="G499" s="29" t="n">
        <v>4518.59282</v>
      </c>
      <c r="H499" s="29" t="n">
        <v>4596.05595</v>
      </c>
      <c r="I499" s="29" t="n">
        <v>4755.40355</v>
      </c>
      <c r="J499" s="29" t="n">
        <v>4792.76972</v>
      </c>
      <c r="K499" s="29" t="n">
        <v>4769.97694</v>
      </c>
      <c r="L499" s="29" t="n">
        <v>4716.33597</v>
      </c>
      <c r="M499" s="29" t="n">
        <v>4718.85043</v>
      </c>
      <c r="N499" s="29" t="n">
        <v>4531.36057</v>
      </c>
      <c r="O499" s="29" t="n">
        <v>4556.93783</v>
      </c>
      <c r="Q499" s="29" t="n">
        <v>4649.17988</v>
      </c>
      <c r="R499" s="29" t="n">
        <v>4697.19755</v>
      </c>
      <c r="S499" s="29" t="n">
        <v>4673.01393</v>
      </c>
      <c r="V499" s="29" t="n">
        <v>4616.53469</v>
      </c>
      <c r="AB499" s="29" t="n">
        <v>4660.03655</v>
      </c>
      <c r="AC499" s="29" t="n">
        <v>4657.99293</v>
      </c>
      <c r="AD499" s="29" t="n">
        <v>0</v>
      </c>
    </row>
    <row r="500" ht="14.25" customHeight="1" s="28">
      <c r="A500" s="29" t="n">
        <v>1778048101</v>
      </c>
      <c r="B500" s="29" t="inlineStr">
        <is>
          <t>XAUUSD</t>
        </is>
      </c>
      <c r="C500" s="29" t="inlineStr">
        <is>
          <t>M15</t>
        </is>
      </c>
      <c r="D500" s="29" t="n">
        <v>4666.15</v>
      </c>
      <c r="E500" s="29" t="n">
        <v>4717.79398</v>
      </c>
      <c r="F500" s="29" t="n">
        <v>4695.2428</v>
      </c>
      <c r="G500" s="29" t="n">
        <v>4518.59282</v>
      </c>
      <c r="H500" s="29" t="n">
        <v>4596.05595</v>
      </c>
      <c r="I500" s="29" t="n">
        <v>4755.40355</v>
      </c>
      <c r="J500" s="29" t="n">
        <v>4792.76972</v>
      </c>
      <c r="K500" s="29" t="n">
        <v>4769.97694</v>
      </c>
      <c r="L500" s="29" t="n">
        <v>4716.33597</v>
      </c>
      <c r="M500" s="29" t="n">
        <v>4718.85043</v>
      </c>
      <c r="N500" s="29" t="n">
        <v>4531.36057</v>
      </c>
      <c r="O500" s="29" t="n">
        <v>4556.93783</v>
      </c>
      <c r="Q500" s="29" t="n">
        <v>4649.38233</v>
      </c>
      <c r="R500" s="29" t="n">
        <v>4697.39999</v>
      </c>
      <c r="S500" s="29" t="n">
        <v>4673.21638</v>
      </c>
      <c r="V500" s="29" t="n">
        <v>4616.73714</v>
      </c>
      <c r="AB500" s="29" t="n">
        <v>4662.04069</v>
      </c>
      <c r="AC500" s="29" t="n">
        <v>4660.01681</v>
      </c>
      <c r="AD500" s="29" t="n">
        <v>0</v>
      </c>
    </row>
    <row r="501" ht="14.25" customHeight="1" s="28">
      <c r="A501" s="29" t="n">
        <v>1778049001</v>
      </c>
      <c r="B501" s="29" t="inlineStr">
        <is>
          <t>XAUUSD</t>
        </is>
      </c>
      <c r="C501" s="29" t="inlineStr">
        <is>
          <t>M15</t>
        </is>
      </c>
      <c r="D501" s="29" t="n">
        <v>4664.33</v>
      </c>
      <c r="E501" s="29" t="n">
        <v>4717.79398</v>
      </c>
      <c r="F501" s="29" t="n">
        <v>4695.2428</v>
      </c>
      <c r="G501" s="29" t="n">
        <v>4518.59282</v>
      </c>
      <c r="H501" s="29" t="n">
        <v>4596.05595</v>
      </c>
      <c r="I501" s="29" t="n">
        <v>4755.40355</v>
      </c>
      <c r="J501" s="29" t="n">
        <v>4792.76972</v>
      </c>
      <c r="K501" s="29" t="n">
        <v>4769.97694</v>
      </c>
      <c r="L501" s="29" t="n">
        <v>4716.33597</v>
      </c>
      <c r="M501" s="29" t="n">
        <v>4718.85043</v>
      </c>
      <c r="N501" s="29" t="n">
        <v>4531.36057</v>
      </c>
      <c r="O501" s="29" t="n">
        <v>4556.93783</v>
      </c>
      <c r="Q501" s="29" t="n">
        <v>4649.58477</v>
      </c>
      <c r="R501" s="29" t="n">
        <v>4697.60244</v>
      </c>
      <c r="S501" s="29" t="n">
        <v>4673.41883</v>
      </c>
      <c r="V501" s="29" t="n">
        <v>4616.93958</v>
      </c>
      <c r="AB501" s="29" t="n">
        <v>4663.82997</v>
      </c>
      <c r="AC501" s="29" t="n">
        <v>4661.92339</v>
      </c>
      <c r="AD501" s="29" t="n">
        <v>0</v>
      </c>
    </row>
    <row r="502" ht="14.25" customHeight="1" s="28">
      <c r="A502" s="29" t="n">
        <v>1778049901</v>
      </c>
      <c r="B502" s="29" t="inlineStr">
        <is>
          <t>XAUUSD</t>
        </is>
      </c>
      <c r="C502" s="29" t="inlineStr">
        <is>
          <t>M15</t>
        </is>
      </c>
      <c r="D502" s="29" t="n">
        <v>4669.38</v>
      </c>
      <c r="E502" s="29" t="n">
        <v>4717.79398</v>
      </c>
      <c r="F502" s="29" t="n">
        <v>4695.2428</v>
      </c>
      <c r="G502" s="29" t="n">
        <v>4518.59282</v>
      </c>
      <c r="H502" s="29" t="n">
        <v>4596.05595</v>
      </c>
      <c r="I502" s="29" t="n">
        <v>4755.40355</v>
      </c>
      <c r="J502" s="29" t="n">
        <v>4792.76972</v>
      </c>
      <c r="K502" s="29" t="n">
        <v>4769.97694</v>
      </c>
      <c r="L502" s="29" t="n">
        <v>4716.33597</v>
      </c>
      <c r="M502" s="29" t="n">
        <v>4718.85043</v>
      </c>
      <c r="N502" s="29" t="n">
        <v>4531.36057</v>
      </c>
      <c r="O502" s="29" t="n">
        <v>4556.93783</v>
      </c>
      <c r="Q502" s="29" t="n">
        <v>4649.78722</v>
      </c>
      <c r="R502" s="29" t="n">
        <v>4697.80488</v>
      </c>
      <c r="S502" s="29" t="n">
        <v>4673.62127</v>
      </c>
      <c r="V502" s="29" t="n">
        <v>4617.14203</v>
      </c>
      <c r="AB502" s="29" t="n">
        <v>4665.55991</v>
      </c>
      <c r="AC502" s="29" t="n">
        <v>4663.74165</v>
      </c>
      <c r="AD502" s="29" t="n">
        <v>0</v>
      </c>
    </row>
    <row r="503" ht="14.25" customHeight="1" s="28">
      <c r="A503" s="29" t="n">
        <v>1778050801</v>
      </c>
      <c r="B503" s="29" t="inlineStr">
        <is>
          <t>XAUUSD</t>
        </is>
      </c>
      <c r="C503" s="29" t="inlineStr">
        <is>
          <t>M15</t>
        </is>
      </c>
      <c r="D503" s="29" t="n">
        <v>4658.43</v>
      </c>
      <c r="E503" s="29" t="n">
        <v>4717.79398</v>
      </c>
      <c r="F503" s="29" t="n">
        <v>4695.2428</v>
      </c>
      <c r="G503" s="29" t="n">
        <v>4518.59282</v>
      </c>
      <c r="H503" s="29" t="n">
        <v>4596.05595</v>
      </c>
      <c r="I503" s="29" t="n">
        <v>4755.40355</v>
      </c>
      <c r="J503" s="29" t="n">
        <v>4792.76972</v>
      </c>
      <c r="K503" s="29" t="n">
        <v>4769.97694</v>
      </c>
      <c r="L503" s="29" t="n">
        <v>4716.33597</v>
      </c>
      <c r="M503" s="29" t="n">
        <v>4718.85043</v>
      </c>
      <c r="N503" s="29" t="n">
        <v>4531.36057</v>
      </c>
      <c r="O503" s="29" t="n">
        <v>4556.93783</v>
      </c>
      <c r="Q503" s="29" t="n">
        <v>4649.98966</v>
      </c>
      <c r="R503" s="29" t="n">
        <v>4698.00733</v>
      </c>
      <c r="S503" s="29" t="n">
        <v>4673.82372</v>
      </c>
      <c r="V503" s="29" t="n">
        <v>4617.34447</v>
      </c>
      <c r="AB503" s="29" t="n">
        <v>4667.31389</v>
      </c>
      <c r="AC503" s="29" t="n">
        <v>4665.52777</v>
      </c>
      <c r="AD503" s="29" t="n">
        <v>0</v>
      </c>
    </row>
    <row r="504" ht="14.25" customHeight="1" s="28">
      <c r="A504" s="29" t="n">
        <v>1778051701</v>
      </c>
      <c r="B504" s="29" t="inlineStr">
        <is>
          <t>XAUUSD</t>
        </is>
      </c>
      <c r="C504" s="29" t="inlineStr">
        <is>
          <t>M15</t>
        </is>
      </c>
      <c r="D504" s="29" t="n">
        <v>4667.5</v>
      </c>
      <c r="E504" s="29" t="n">
        <v>4717.79398</v>
      </c>
      <c r="F504" s="29" t="n">
        <v>4695.2428</v>
      </c>
      <c r="G504" s="29" t="n">
        <v>4518.59282</v>
      </c>
      <c r="H504" s="29" t="n">
        <v>4596.05595</v>
      </c>
      <c r="I504" s="29" t="n">
        <v>4755.40355</v>
      </c>
      <c r="J504" s="29" t="n">
        <v>4792.76972</v>
      </c>
      <c r="K504" s="29" t="n">
        <v>4769.97694</v>
      </c>
      <c r="L504" s="29" t="n">
        <v>4716.33597</v>
      </c>
      <c r="M504" s="29" t="n">
        <v>4718.85043</v>
      </c>
      <c r="N504" s="29" t="n">
        <v>4531.36057</v>
      </c>
      <c r="O504" s="29" t="n">
        <v>4556.93783</v>
      </c>
      <c r="Q504" s="29" t="n">
        <v>4650.19211</v>
      </c>
      <c r="R504" s="29" t="n">
        <v>4698.20977</v>
      </c>
      <c r="S504" s="29" t="n">
        <v>4674.02616</v>
      </c>
      <c r="V504" s="29" t="n">
        <v>4617.54692</v>
      </c>
      <c r="AB504" s="29" t="n">
        <v>4669.57105</v>
      </c>
      <c r="AC504" s="29" t="n">
        <v>4667.54941</v>
      </c>
      <c r="AD504" s="29" t="n">
        <v>0</v>
      </c>
    </row>
    <row r="505" ht="14.25" customHeight="1" s="28">
      <c r="A505" s="29" t="n">
        <v>1778052601</v>
      </c>
      <c r="B505" s="29" t="inlineStr">
        <is>
          <t>XAUUSD</t>
        </is>
      </c>
      <c r="C505" s="29" t="inlineStr">
        <is>
          <t>M15</t>
        </is>
      </c>
      <c r="D505" s="29" t="n">
        <v>4670.18</v>
      </c>
      <c r="E505" s="29" t="n">
        <v>4717.79398</v>
      </c>
      <c r="F505" s="29" t="n">
        <v>4695.2428</v>
      </c>
      <c r="G505" s="29" t="n">
        <v>4518.59282</v>
      </c>
      <c r="H505" s="29" t="n">
        <v>4596.05595</v>
      </c>
      <c r="I505" s="29" t="n">
        <v>4755.40355</v>
      </c>
      <c r="J505" s="29" t="n">
        <v>4792.76972</v>
      </c>
      <c r="K505" s="29" t="n">
        <v>4769.97694</v>
      </c>
      <c r="L505" s="29" t="n">
        <v>4716.33597</v>
      </c>
      <c r="M505" s="29" t="n">
        <v>4718.85043</v>
      </c>
      <c r="N505" s="29" t="n">
        <v>4531.36057</v>
      </c>
      <c r="O505" s="29" t="n">
        <v>4556.93783</v>
      </c>
      <c r="Q505" s="29" t="n">
        <v>4650.39456</v>
      </c>
      <c r="R505" s="29" t="n">
        <v>4698.41222</v>
      </c>
      <c r="S505" s="29" t="n">
        <v>4674.22861</v>
      </c>
      <c r="V505" s="29" t="n">
        <v>4617.74936</v>
      </c>
      <c r="AB505" s="29" t="n">
        <v>4672.21207</v>
      </c>
      <c r="AC505" s="29" t="n">
        <v>4669.88074</v>
      </c>
      <c r="AD505" s="29" t="n">
        <v>0</v>
      </c>
    </row>
    <row r="506" ht="14.25" customHeight="1" s="28">
      <c r="A506" s="29" t="n">
        <v>1778053501</v>
      </c>
      <c r="B506" s="29" t="inlineStr">
        <is>
          <t>XAUUSD</t>
        </is>
      </c>
      <c r="C506" s="29" t="inlineStr">
        <is>
          <t>M15</t>
        </is>
      </c>
      <c r="D506" s="29" t="n">
        <v>4681.72</v>
      </c>
      <c r="E506" s="29" t="n">
        <v>4717.79398</v>
      </c>
      <c r="F506" s="29" t="n">
        <v>4695.2428</v>
      </c>
      <c r="G506" s="29" t="n">
        <v>4518.59282</v>
      </c>
      <c r="H506" s="29" t="n">
        <v>4596.05595</v>
      </c>
      <c r="I506" s="29" t="n">
        <v>4755.40355</v>
      </c>
      <c r="J506" s="29" t="n">
        <v>4792.76972</v>
      </c>
      <c r="K506" s="29" t="n">
        <v>4769.97694</v>
      </c>
      <c r="L506" s="29" t="n">
        <v>4716.33597</v>
      </c>
      <c r="M506" s="29" t="n">
        <v>4718.85043</v>
      </c>
      <c r="N506" s="29" t="n">
        <v>4531.36057</v>
      </c>
      <c r="O506" s="29" t="n">
        <v>4556.93783</v>
      </c>
      <c r="Q506" s="29" t="n">
        <v>4650.597</v>
      </c>
      <c r="R506" s="29" t="n">
        <v>4698.61467</v>
      </c>
      <c r="S506" s="29" t="n">
        <v>4674.43105</v>
      </c>
      <c r="V506" s="29" t="n">
        <v>4617.95181</v>
      </c>
      <c r="AB506" s="29" t="n">
        <v>4675.22596</v>
      </c>
      <c r="AC506" s="29" t="n">
        <v>4672.55335</v>
      </c>
      <c r="AD506" s="29" t="n">
        <v>0</v>
      </c>
    </row>
    <row r="507" ht="14.25" customHeight="1" s="28">
      <c r="A507" s="29" t="n">
        <v>1778054401</v>
      </c>
      <c r="B507" s="29" t="inlineStr">
        <is>
          <t>XAUUSD</t>
        </is>
      </c>
      <c r="C507" s="29" t="inlineStr">
        <is>
          <t>M15</t>
        </is>
      </c>
      <c r="D507" s="29" t="n">
        <v>4679.57</v>
      </c>
      <c r="E507" s="29" t="n">
        <v>4717.79398</v>
      </c>
      <c r="F507" s="29" t="n">
        <v>4695.2428</v>
      </c>
      <c r="G507" s="29" t="n">
        <v>4518.59282</v>
      </c>
      <c r="H507" s="29" t="n">
        <v>4596.05595</v>
      </c>
      <c r="I507" s="29" t="n">
        <v>4755.40355</v>
      </c>
      <c r="J507" s="29" t="n">
        <v>4792.76972</v>
      </c>
      <c r="K507" s="29" t="n">
        <v>4769.97694</v>
      </c>
      <c r="L507" s="29" t="n">
        <v>4716.33597</v>
      </c>
      <c r="M507" s="29" t="n">
        <v>4718.85043</v>
      </c>
      <c r="N507" s="29" t="n">
        <v>4531.36057</v>
      </c>
      <c r="O507" s="29" t="n">
        <v>4556.93783</v>
      </c>
      <c r="Q507" s="29" t="n">
        <v>4650.79945</v>
      </c>
      <c r="R507" s="29" t="n">
        <v>4698.81711</v>
      </c>
      <c r="S507" s="29" t="n">
        <v>4674.6335</v>
      </c>
      <c r="V507" s="29" t="n">
        <v>4618.15426</v>
      </c>
      <c r="AB507" s="29" t="n">
        <v>4678.2929</v>
      </c>
      <c r="AC507" s="29" t="n">
        <v>4675.42313</v>
      </c>
      <c r="AD507" s="29" t="n">
        <v>0</v>
      </c>
    </row>
    <row r="508" ht="14.25" customHeight="1" s="28">
      <c r="A508" s="29" t="n">
        <v>1778055301</v>
      </c>
      <c r="B508" s="29" t="inlineStr">
        <is>
          <t>XAUUSD</t>
        </is>
      </c>
      <c r="C508" s="29" t="inlineStr">
        <is>
          <t>M15</t>
        </is>
      </c>
      <c r="D508" s="29" t="n">
        <v>4677</v>
      </c>
      <c r="E508" s="29" t="n">
        <v>4717.79398</v>
      </c>
      <c r="F508" s="29" t="n">
        <v>4695.2428</v>
      </c>
      <c r="G508" s="29" t="n">
        <v>4518.59282</v>
      </c>
      <c r="H508" s="29" t="n">
        <v>4596.05595</v>
      </c>
      <c r="I508" s="29" t="n">
        <v>4755.40355</v>
      </c>
      <c r="J508" s="29" t="n">
        <v>4792.76972</v>
      </c>
      <c r="K508" s="29" t="n">
        <v>4769.97694</v>
      </c>
      <c r="L508" s="29" t="n">
        <v>4716.33597</v>
      </c>
      <c r="M508" s="29" t="n">
        <v>4718.85043</v>
      </c>
      <c r="N508" s="29" t="n">
        <v>4531.36057</v>
      </c>
      <c r="O508" s="29" t="n">
        <v>4556.93783</v>
      </c>
      <c r="Q508" s="29" t="n">
        <v>4651.00189</v>
      </c>
      <c r="R508" s="29" t="n">
        <v>4699.01956</v>
      </c>
      <c r="S508" s="29" t="n">
        <v>4674.83595</v>
      </c>
      <c r="V508" s="29" t="n">
        <v>4618.3567</v>
      </c>
      <c r="AB508" s="29" t="n">
        <v>4681.49685</v>
      </c>
      <c r="AC508" s="29" t="n">
        <v>4678.45999</v>
      </c>
      <c r="AD508" s="29" t="n">
        <v>0</v>
      </c>
    </row>
    <row r="509" ht="14.25" customHeight="1" s="28">
      <c r="A509" s="29" t="n">
        <v>1778056201</v>
      </c>
      <c r="B509" s="29" t="inlineStr">
        <is>
          <t>XAUUSD</t>
        </is>
      </c>
      <c r="C509" s="29" t="inlineStr">
        <is>
          <t>M15</t>
        </is>
      </c>
      <c r="D509" s="29" t="n">
        <v>4677.27</v>
      </c>
      <c r="E509" s="29" t="n">
        <v>4717.79398</v>
      </c>
      <c r="F509" s="29" t="n">
        <v>4695.2428</v>
      </c>
      <c r="G509" s="29" t="n">
        <v>4518.59282</v>
      </c>
      <c r="H509" s="29" t="n">
        <v>4596.05595</v>
      </c>
      <c r="I509" s="29" t="n">
        <v>4755.40355</v>
      </c>
      <c r="J509" s="29" t="n">
        <v>4792.76972</v>
      </c>
      <c r="K509" s="29" t="n">
        <v>4769.97694</v>
      </c>
      <c r="L509" s="29" t="n">
        <v>4716.33597</v>
      </c>
      <c r="M509" s="29" t="n">
        <v>4718.85043</v>
      </c>
      <c r="N509" s="29" t="n">
        <v>4531.36057</v>
      </c>
      <c r="O509" s="29" t="n">
        <v>4556.93783</v>
      </c>
      <c r="Q509" s="29" t="n">
        <v>4651.20434</v>
      </c>
      <c r="R509" s="29" t="n">
        <v>4699.222</v>
      </c>
      <c r="S509" s="29" t="n">
        <v>4675.03839</v>
      </c>
      <c r="V509" s="29" t="n">
        <v>4618.55915</v>
      </c>
      <c r="AB509" s="29" t="n">
        <v>4684.97373</v>
      </c>
      <c r="AC509" s="29" t="n">
        <v>4681.71686</v>
      </c>
      <c r="AD509" s="29" t="n">
        <v>0</v>
      </c>
    </row>
    <row r="510" ht="14.25" customHeight="1" s="28">
      <c r="A510" s="29" t="n">
        <v>1778057101</v>
      </c>
      <c r="B510" s="29" t="inlineStr">
        <is>
          <t>XAUUSD</t>
        </is>
      </c>
      <c r="C510" s="29" t="inlineStr">
        <is>
          <t>M15</t>
        </is>
      </c>
      <c r="D510" s="29" t="n">
        <v>4700.09</v>
      </c>
      <c r="E510" s="29" t="n">
        <v>4717.79398</v>
      </c>
      <c r="F510" s="29" t="n">
        <v>4695.2428</v>
      </c>
      <c r="G510" s="29" t="n">
        <v>4518.59282</v>
      </c>
      <c r="H510" s="29" t="n">
        <v>4596.05595</v>
      </c>
      <c r="I510" s="29" t="n">
        <v>4755.40355</v>
      </c>
      <c r="J510" s="29" t="n">
        <v>4792.76972</v>
      </c>
      <c r="K510" s="29" t="n">
        <v>4769.97694</v>
      </c>
      <c r="L510" s="29" t="n">
        <v>4716.33597</v>
      </c>
      <c r="M510" s="29" t="n">
        <v>4718.85043</v>
      </c>
      <c r="N510" s="29" t="n">
        <v>4531.36057</v>
      </c>
      <c r="O510" s="29" t="n">
        <v>4556.93783</v>
      </c>
      <c r="Q510" s="29" t="n">
        <v>4651.40678</v>
      </c>
      <c r="R510" s="29" t="n">
        <v>4699.42445</v>
      </c>
      <c r="S510" s="29" t="n">
        <v>4675.24084</v>
      </c>
      <c r="V510" s="29" t="n">
        <v>4618.76159</v>
      </c>
      <c r="AB510" s="29" t="n">
        <v>4688.81314</v>
      </c>
      <c r="AC510" s="29" t="n">
        <v>4685.265</v>
      </c>
      <c r="AD510" s="29" t="n">
        <v>0</v>
      </c>
    </row>
    <row r="511" ht="14.25" customHeight="1" s="28">
      <c r="A511" s="29" t="n">
        <v>1778058001</v>
      </c>
      <c r="B511" s="29" t="inlineStr">
        <is>
          <t>XAUUSD</t>
        </is>
      </c>
      <c r="C511" s="29" t="inlineStr">
        <is>
          <t>M15</t>
        </is>
      </c>
      <c r="D511" s="29" t="n">
        <v>4695.69</v>
      </c>
      <c r="E511" s="29" t="n">
        <v>4717.79398</v>
      </c>
      <c r="F511" s="29" t="n">
        <v>4695.2428</v>
      </c>
      <c r="G511" s="29" t="n">
        <v>4518.59282</v>
      </c>
      <c r="H511" s="29" t="n">
        <v>4596.05595</v>
      </c>
      <c r="I511" s="29" t="n">
        <v>4755.40355</v>
      </c>
      <c r="J511" s="29" t="n">
        <v>4792.76972</v>
      </c>
      <c r="K511" s="29" t="n">
        <v>4769.97694</v>
      </c>
      <c r="L511" s="29" t="n">
        <v>4716.33597</v>
      </c>
      <c r="M511" s="29" t="n">
        <v>4718.85043</v>
      </c>
      <c r="N511" s="29" t="n">
        <v>4531.36057</v>
      </c>
      <c r="O511" s="29" t="n">
        <v>4556.93783</v>
      </c>
      <c r="Q511" s="29" t="n">
        <v>4651.60923</v>
      </c>
      <c r="R511" s="29" t="n">
        <v>4699.62689</v>
      </c>
      <c r="S511" s="29" t="n">
        <v>4675.44328</v>
      </c>
      <c r="V511" s="29" t="n">
        <v>4618.96404</v>
      </c>
      <c r="AB511" s="29" t="n">
        <v>4692.4419</v>
      </c>
      <c r="AC511" s="29" t="n">
        <v>4688.85345</v>
      </c>
      <c r="AD511" s="29" t="n">
        <v>0</v>
      </c>
    </row>
    <row r="512" ht="14.25" customHeight="1" s="28">
      <c r="A512" s="29" t="n">
        <v>1778058901</v>
      </c>
      <c r="B512" s="29" t="inlineStr">
        <is>
          <t>XAUUSD</t>
        </is>
      </c>
      <c r="C512" s="29" t="inlineStr">
        <is>
          <t>M15</t>
        </is>
      </c>
      <c r="D512" s="29" t="n">
        <v>4700.12</v>
      </c>
      <c r="E512" s="29" t="n">
        <v>4717.79398</v>
      </c>
      <c r="F512" s="29" t="n">
        <v>4695.2428</v>
      </c>
      <c r="G512" s="29" t="n">
        <v>4518.59282</v>
      </c>
      <c r="H512" s="29" t="n">
        <v>4596.05595</v>
      </c>
      <c r="I512" s="29" t="n">
        <v>4755.40355</v>
      </c>
      <c r="J512" s="29" t="n">
        <v>4792.76972</v>
      </c>
      <c r="K512" s="29" t="n">
        <v>4769.97694</v>
      </c>
      <c r="L512" s="29" t="n">
        <v>4716.33597</v>
      </c>
      <c r="M512" s="29" t="n">
        <v>4718.85043</v>
      </c>
      <c r="N512" s="29" t="n">
        <v>4531.36057</v>
      </c>
      <c r="O512" s="29" t="n">
        <v>4556.93783</v>
      </c>
      <c r="Q512" s="29" t="n">
        <v>4651.81168</v>
      </c>
      <c r="R512" s="29" t="n">
        <v>4699.82934</v>
      </c>
      <c r="S512" s="29" t="n">
        <v>4675.64573</v>
      </c>
      <c r="V512" s="29" t="n">
        <v>4619.16648</v>
      </c>
      <c r="AB512" s="29" t="n">
        <v>4696.08898</v>
      </c>
      <c r="AC512" s="29" t="n">
        <v>4692.47122</v>
      </c>
      <c r="AD512" s="29" t="n">
        <v>0</v>
      </c>
    </row>
    <row r="513" ht="14.25" customHeight="1" s="28">
      <c r="A513" s="29" t="n">
        <v>1778059801</v>
      </c>
      <c r="B513" s="29" t="inlineStr">
        <is>
          <t>XAUUSD</t>
        </is>
      </c>
      <c r="C513" s="29" t="inlineStr">
        <is>
          <t>M15</t>
        </is>
      </c>
      <c r="D513" s="29" t="n">
        <v>4696.04</v>
      </c>
      <c r="E513" s="29" t="n">
        <v>4717.79398</v>
      </c>
      <c r="F513" s="29" t="n">
        <v>4695.2428</v>
      </c>
      <c r="G513" s="29" t="n">
        <v>4518.59282</v>
      </c>
      <c r="H513" s="29" t="n">
        <v>4596.05595</v>
      </c>
      <c r="I513" s="29" t="n">
        <v>4755.40355</v>
      </c>
      <c r="J513" s="29" t="n">
        <v>4792.76972</v>
      </c>
      <c r="K513" s="29" t="n">
        <v>4769.97694</v>
      </c>
      <c r="L513" s="29" t="n">
        <v>4716.33597</v>
      </c>
      <c r="M513" s="29" t="n">
        <v>4718.85043</v>
      </c>
      <c r="N513" s="29" t="n">
        <v>4531.36057</v>
      </c>
      <c r="O513" s="29" t="n">
        <v>4556.93783</v>
      </c>
      <c r="Q513" s="29" t="n">
        <v>4652.01412</v>
      </c>
      <c r="R513" s="29" t="n">
        <v>4700.03179</v>
      </c>
      <c r="S513" s="29" t="n">
        <v>4675.84817</v>
      </c>
      <c r="V513" s="29" t="n">
        <v>4619.36893</v>
      </c>
      <c r="AB513" s="29" t="n">
        <v>4699.72748</v>
      </c>
      <c r="AC513" s="29" t="n">
        <v>4696.09935</v>
      </c>
      <c r="AD513" s="29" t="n">
        <v>0</v>
      </c>
    </row>
    <row r="514" ht="14.25" customHeight="1" s="28">
      <c r="A514" s="29" t="n">
        <v>1778060701</v>
      </c>
      <c r="B514" s="29" t="inlineStr">
        <is>
          <t>XAUUSD</t>
        </is>
      </c>
      <c r="C514" s="29" t="inlineStr">
        <is>
          <t>M15</t>
        </is>
      </c>
      <c r="D514" s="29" t="n">
        <v>4701.75</v>
      </c>
      <c r="E514" s="29" t="n">
        <v>4717.79398</v>
      </c>
      <c r="F514" s="29" t="n">
        <v>4695.2428</v>
      </c>
      <c r="G514" s="29" t="n">
        <v>4518.59282</v>
      </c>
      <c r="H514" s="29" t="n">
        <v>4596.05595</v>
      </c>
      <c r="I514" s="29" t="n">
        <v>4755.40355</v>
      </c>
      <c r="J514" s="29" t="n">
        <v>4792.76972</v>
      </c>
      <c r="K514" s="29" t="n">
        <v>4769.97694</v>
      </c>
      <c r="L514" s="29" t="n">
        <v>4716.33597</v>
      </c>
      <c r="M514" s="29" t="n">
        <v>4718.85043</v>
      </c>
      <c r="N514" s="29" t="n">
        <v>4531.36057</v>
      </c>
      <c r="O514" s="29" t="n">
        <v>4556.93783</v>
      </c>
      <c r="Q514" s="29" t="n">
        <v>4652.21657</v>
      </c>
      <c r="R514" s="29" t="n">
        <v>4700.23423</v>
      </c>
      <c r="S514" s="29" t="n">
        <v>4676.05062</v>
      </c>
      <c r="V514" s="29" t="n">
        <v>4619.57138</v>
      </c>
      <c r="AB514" s="29" t="n">
        <v>4703.42862</v>
      </c>
      <c r="AC514" s="29" t="n">
        <v>4699.76398</v>
      </c>
      <c r="AD514" s="29" t="n">
        <v>0</v>
      </c>
    </row>
    <row r="515" ht="14.25" customHeight="1" s="28">
      <c r="A515" s="29" t="n">
        <v>1778061601</v>
      </c>
      <c r="B515" s="29" t="inlineStr">
        <is>
          <t>XAUUSD</t>
        </is>
      </c>
      <c r="C515" s="29" t="inlineStr">
        <is>
          <t>M15</t>
        </is>
      </c>
      <c r="D515" s="29" t="n">
        <v>4698.2</v>
      </c>
      <c r="E515" s="29" t="n">
        <v>4717.79398</v>
      </c>
      <c r="F515" s="29" t="n">
        <v>4695.2428</v>
      </c>
      <c r="G515" s="29" t="n">
        <v>4518.59282</v>
      </c>
      <c r="H515" s="29" t="n">
        <v>4596.05595</v>
      </c>
      <c r="I515" s="29" t="n">
        <v>4755.40355</v>
      </c>
      <c r="J515" s="29" t="n">
        <v>4792.76972</v>
      </c>
      <c r="K515" s="29" t="n">
        <v>4769.97694</v>
      </c>
      <c r="L515" s="29" t="n">
        <v>4716.33597</v>
      </c>
      <c r="M515" s="29" t="n">
        <v>4718.85043</v>
      </c>
      <c r="N515" s="29" t="n">
        <v>4531.36057</v>
      </c>
      <c r="O515" s="29" t="n">
        <v>4556.93783</v>
      </c>
      <c r="Q515" s="29" t="n">
        <v>4652.41901</v>
      </c>
      <c r="R515" s="29" t="n">
        <v>4700.43668</v>
      </c>
      <c r="S515" s="29" t="n">
        <v>4676.25307</v>
      </c>
      <c r="V515" s="29" t="n">
        <v>4619.77382</v>
      </c>
      <c r="AB515" s="29" t="n">
        <v>4706.85534</v>
      </c>
      <c r="AC515" s="29" t="n">
        <v>4703.30966</v>
      </c>
      <c r="AD515" s="29" t="n">
        <v>0</v>
      </c>
    </row>
    <row r="516" ht="14.25" customHeight="1" s="28">
      <c r="A516" s="29" t="n">
        <v>1778062501</v>
      </c>
      <c r="B516" s="29" t="inlineStr">
        <is>
          <t>XAUUSD</t>
        </is>
      </c>
      <c r="C516" s="29" t="inlineStr">
        <is>
          <t>M15</t>
        </is>
      </c>
      <c r="D516" s="29" t="n">
        <v>4704.64</v>
      </c>
      <c r="E516" s="29" t="n">
        <v>4717.79398</v>
      </c>
      <c r="F516" s="29" t="n">
        <v>4695.2428</v>
      </c>
      <c r="G516" s="29" t="n">
        <v>4518.59282</v>
      </c>
      <c r="H516" s="29" t="n">
        <v>4596.05595</v>
      </c>
      <c r="I516" s="29" t="n">
        <v>4755.40355</v>
      </c>
      <c r="J516" s="29" t="n">
        <v>4792.76972</v>
      </c>
      <c r="K516" s="29" t="n">
        <v>4769.97694</v>
      </c>
      <c r="L516" s="29" t="n">
        <v>4716.33597</v>
      </c>
      <c r="M516" s="29" t="n">
        <v>4718.85043</v>
      </c>
      <c r="N516" s="29" t="n">
        <v>4531.36057</v>
      </c>
      <c r="O516" s="29" t="n">
        <v>4556.93783</v>
      </c>
      <c r="Q516" s="29" t="n">
        <v>4652.62146</v>
      </c>
      <c r="R516" s="29" t="n">
        <v>4700.63912</v>
      </c>
      <c r="S516" s="29" t="n">
        <v>4676.45551</v>
      </c>
      <c r="V516" s="29" t="n">
        <v>4619.97627</v>
      </c>
      <c r="AB516" s="29" t="n">
        <v>4709.72992</v>
      </c>
      <c r="AC516" s="29" t="n">
        <v>4706.51979</v>
      </c>
      <c r="AD516" s="29" t="n">
        <v>0</v>
      </c>
    </row>
    <row r="517" ht="14.25" customHeight="1" s="28">
      <c r="A517" s="29" t="n">
        <v>1778063401</v>
      </c>
      <c r="B517" s="29" t="inlineStr">
        <is>
          <t>XAUUSD</t>
        </is>
      </c>
      <c r="C517" s="29" t="inlineStr">
        <is>
          <t>M15</t>
        </is>
      </c>
      <c r="D517" s="29" t="n">
        <v>4714.15</v>
      </c>
      <c r="E517" s="29" t="n">
        <v>4717.79398</v>
      </c>
      <c r="F517" s="29" t="n">
        <v>4695.2428</v>
      </c>
      <c r="G517" s="29" t="n">
        <v>4518.59282</v>
      </c>
      <c r="H517" s="29" t="n">
        <v>4596.05595</v>
      </c>
      <c r="I517" s="29" t="n">
        <v>4755.40355</v>
      </c>
      <c r="J517" s="29" t="n">
        <v>4792.76972</v>
      </c>
      <c r="K517" s="29" t="n">
        <v>4769.97694</v>
      </c>
      <c r="L517" s="29" t="n">
        <v>4716.33597</v>
      </c>
      <c r="M517" s="29" t="n">
        <v>4718.85043</v>
      </c>
      <c r="N517" s="29" t="n">
        <v>4531.36057</v>
      </c>
      <c r="O517" s="29" t="n">
        <v>4556.93783</v>
      </c>
      <c r="Q517" s="29" t="n">
        <v>4652.8239</v>
      </c>
      <c r="R517" s="29" t="n">
        <v>4700.84157</v>
      </c>
      <c r="S517" s="29" t="n">
        <v>4676.65796</v>
      </c>
      <c r="V517" s="29" t="n">
        <v>4620.17871</v>
      </c>
      <c r="AB517" s="29" t="n">
        <v>4711.37138</v>
      </c>
      <c r="AC517" s="29" t="n">
        <v>4708.94559</v>
      </c>
      <c r="AD517" s="29" t="n">
        <v>0</v>
      </c>
    </row>
    <row r="518" ht="14.25" customHeight="1" s="28">
      <c r="A518" s="29" t="n">
        <v>1778064301</v>
      </c>
      <c r="B518" s="29" t="inlineStr">
        <is>
          <t>XAUUSD</t>
        </is>
      </c>
      <c r="C518" s="29" t="inlineStr">
        <is>
          <t>M15</t>
        </is>
      </c>
      <c r="D518" s="29" t="n">
        <v>4718.25</v>
      </c>
      <c r="E518" s="29" t="n">
        <v>4717.79398</v>
      </c>
      <c r="F518" s="29" t="n">
        <v>4695.2428</v>
      </c>
      <c r="G518" s="29" t="n">
        <v>4518.59282</v>
      </c>
      <c r="H518" s="29" t="n">
        <v>4596.05595</v>
      </c>
      <c r="I518" s="29" t="n">
        <v>4755.40355</v>
      </c>
      <c r="J518" s="29" t="n">
        <v>4792.76972</v>
      </c>
      <c r="K518" s="29" t="n">
        <v>4769.97694</v>
      </c>
      <c r="L518" s="29" t="n">
        <v>4716.33597</v>
      </c>
      <c r="M518" s="29" t="n">
        <v>4718.85043</v>
      </c>
      <c r="N518" s="29" t="n">
        <v>4531.36057</v>
      </c>
      <c r="O518" s="29" t="n">
        <v>4556.93783</v>
      </c>
      <c r="Q518" s="29" t="n">
        <v>4653.02635</v>
      </c>
      <c r="R518" s="29" t="n">
        <v>4701.04401</v>
      </c>
      <c r="S518" s="29" t="n">
        <v>4676.8604</v>
      </c>
      <c r="V518" s="29" t="n">
        <v>4620.38116</v>
      </c>
      <c r="Z518" s="29" t="n">
        <v>4722.76</v>
      </c>
      <c r="AB518" s="29" t="n">
        <v>4711.04928</v>
      </c>
      <c r="AC518" s="29" t="n">
        <v>4709.99743</v>
      </c>
      <c r="AD518" s="29" t="n">
        <v>0</v>
      </c>
    </row>
    <row r="519" ht="14.25" customHeight="1" s="28">
      <c r="A519" s="29" t="n">
        <v>1778065201</v>
      </c>
      <c r="B519" s="29" t="inlineStr">
        <is>
          <t>XAUUSD</t>
        </is>
      </c>
      <c r="C519" s="29" t="inlineStr">
        <is>
          <t>M15</t>
        </is>
      </c>
      <c r="D519" s="29" t="n">
        <v>4711.97</v>
      </c>
      <c r="E519" s="29" t="n">
        <v>4717.79398</v>
      </c>
      <c r="F519" s="29" t="n">
        <v>4695.2428</v>
      </c>
      <c r="G519" s="29" t="n">
        <v>4518.59282</v>
      </c>
      <c r="H519" s="29" t="n">
        <v>4596.05595</v>
      </c>
      <c r="I519" s="29" t="n">
        <v>4755.40355</v>
      </c>
      <c r="J519" s="29" t="n">
        <v>4792.76972</v>
      </c>
      <c r="K519" s="29" t="n">
        <v>4769.97694</v>
      </c>
      <c r="L519" s="29" t="n">
        <v>4716.33597</v>
      </c>
      <c r="M519" s="29" t="n">
        <v>4718.85043</v>
      </c>
      <c r="N519" s="29" t="n">
        <v>4531.36057</v>
      </c>
      <c r="O519" s="29" t="n">
        <v>4556.93783</v>
      </c>
      <c r="Q519" s="29" t="n">
        <v>4653.2288</v>
      </c>
      <c r="R519" s="29" t="n">
        <v>4701.24646</v>
      </c>
      <c r="S519" s="29" t="n">
        <v>4677.06285</v>
      </c>
      <c r="V519" s="29" t="n">
        <v>4620.5836</v>
      </c>
      <c r="AB519" s="29" t="n">
        <v>4708.41988</v>
      </c>
      <c r="AC519" s="29" t="n">
        <v>4709.20866</v>
      </c>
      <c r="AD519" s="29" t="n">
        <v>1</v>
      </c>
    </row>
    <row r="520" ht="14.25" customHeight="1" s="28">
      <c r="A520" s="29" t="n">
        <v>1778066101</v>
      </c>
      <c r="B520" s="29" t="inlineStr">
        <is>
          <t>XAUUSD</t>
        </is>
      </c>
      <c r="C520" s="29" t="inlineStr">
        <is>
          <t>M15</t>
        </is>
      </c>
      <c r="D520" s="29" t="n">
        <v>4705.6</v>
      </c>
      <c r="E520" s="29" t="n">
        <v>4717.79398</v>
      </c>
      <c r="F520" s="29" t="n">
        <v>4695.2428</v>
      </c>
      <c r="G520" s="29" t="n">
        <v>4518.59282</v>
      </c>
      <c r="H520" s="29" t="n">
        <v>4596.05595</v>
      </c>
      <c r="I520" s="29" t="n">
        <v>4755.40355</v>
      </c>
      <c r="J520" s="29" t="n">
        <v>4792.76972</v>
      </c>
      <c r="K520" s="29" t="n">
        <v>4769.97694</v>
      </c>
      <c r="L520" s="29" t="n">
        <v>4716.33597</v>
      </c>
      <c r="M520" s="29" t="n">
        <v>4718.85043</v>
      </c>
      <c r="N520" s="29" t="n">
        <v>4531.36057</v>
      </c>
      <c r="O520" s="29" t="n">
        <v>4556.93783</v>
      </c>
      <c r="Q520" s="29" t="n">
        <v>4653.43124</v>
      </c>
      <c r="R520" s="29" t="n">
        <v>4701.44891</v>
      </c>
      <c r="S520" s="29" t="n">
        <v>4677.26529</v>
      </c>
      <c r="V520" s="29" t="n">
        <v>4620.78605</v>
      </c>
      <c r="AB520" s="29" t="n">
        <v>4703.76917</v>
      </c>
      <c r="AC520" s="29" t="n">
        <v>4706.48891</v>
      </c>
      <c r="AD520" s="29" t="n">
        <v>0</v>
      </c>
    </row>
    <row r="521" ht="14.25" customHeight="1" s="28">
      <c r="A521" s="29" t="n">
        <v>1778067001</v>
      </c>
      <c r="B521" s="29" t="inlineStr">
        <is>
          <t>XAUUSD</t>
        </is>
      </c>
      <c r="C521" s="29" t="inlineStr">
        <is>
          <t>M15</t>
        </is>
      </c>
      <c r="D521" s="29" t="n">
        <v>4699.65</v>
      </c>
      <c r="E521" s="29" t="n">
        <v>4717.79398</v>
      </c>
      <c r="F521" s="29" t="n">
        <v>4695.2428</v>
      </c>
      <c r="G521" s="29" t="n">
        <v>4518.59282</v>
      </c>
      <c r="H521" s="29" t="n">
        <v>4596.05595</v>
      </c>
      <c r="I521" s="29" t="n">
        <v>4755.40355</v>
      </c>
      <c r="J521" s="29" t="n">
        <v>4792.76972</v>
      </c>
      <c r="K521" s="29" t="n">
        <v>4769.97694</v>
      </c>
      <c r="L521" s="29" t="n">
        <v>4716.33597</v>
      </c>
      <c r="M521" s="29" t="n">
        <v>4718.85043</v>
      </c>
      <c r="N521" s="29" t="n">
        <v>4531.36057</v>
      </c>
      <c r="O521" s="29" t="n">
        <v>4556.93783</v>
      </c>
      <c r="Q521" s="29" t="n">
        <v>4653.63369</v>
      </c>
      <c r="R521" s="29" t="n">
        <v>4701.65135</v>
      </c>
      <c r="S521" s="29" t="n">
        <v>4677.46774</v>
      </c>
      <c r="V521" s="29" t="n">
        <v>4620.9885</v>
      </c>
      <c r="AB521" s="29" t="n">
        <v>4697.75598</v>
      </c>
      <c r="AC521" s="29" t="n">
        <v>4702.12245</v>
      </c>
      <c r="AD521" s="29" t="n">
        <v>0</v>
      </c>
    </row>
    <row r="522" ht="14.25" customHeight="1" s="28">
      <c r="A522" s="29" t="n">
        <v>1778067901</v>
      </c>
      <c r="B522" s="29" t="inlineStr">
        <is>
          <t>XAUUSD</t>
        </is>
      </c>
      <c r="C522" s="29" t="inlineStr">
        <is>
          <t>M15</t>
        </is>
      </c>
      <c r="D522" s="29" t="n">
        <v>4692.11</v>
      </c>
      <c r="E522" s="29" t="n">
        <v>4717.79398</v>
      </c>
      <c r="F522" s="29" t="n">
        <v>4695.2428</v>
      </c>
      <c r="G522" s="29" t="n">
        <v>4518.59282</v>
      </c>
      <c r="H522" s="29" t="n">
        <v>4596.05595</v>
      </c>
      <c r="I522" s="29" t="n">
        <v>4755.40355</v>
      </c>
      <c r="J522" s="29" t="n">
        <v>4792.76972</v>
      </c>
      <c r="K522" s="29" t="n">
        <v>4769.97694</v>
      </c>
      <c r="L522" s="29" t="n">
        <v>4716.33597</v>
      </c>
      <c r="M522" s="29" t="n">
        <v>4718.85043</v>
      </c>
      <c r="N522" s="29" t="n">
        <v>4531.36057</v>
      </c>
      <c r="O522" s="29" t="n">
        <v>4556.93783</v>
      </c>
      <c r="Q522" s="29" t="n">
        <v>4653.83613</v>
      </c>
      <c r="R522" s="29" t="n">
        <v>4701.8538</v>
      </c>
      <c r="S522" s="29" t="n">
        <v>4677.67019</v>
      </c>
      <c r="V522" s="29" t="n">
        <v>4621.19094</v>
      </c>
      <c r="AB522" s="29" t="n">
        <v>4691.28591</v>
      </c>
      <c r="AC522" s="29" t="n">
        <v>4696.70418</v>
      </c>
      <c r="AD522" s="29" t="n">
        <v>0</v>
      </c>
    </row>
    <row r="523" ht="14.25" customHeight="1" s="28">
      <c r="A523" s="29" t="n">
        <v>1778068801</v>
      </c>
      <c r="B523" s="29" t="inlineStr">
        <is>
          <t>XAUUSD</t>
        </is>
      </c>
      <c r="C523" s="29" t="inlineStr">
        <is>
          <t>M15</t>
        </is>
      </c>
      <c r="D523" s="29" t="n">
        <v>4672.94</v>
      </c>
      <c r="E523" s="29" t="n">
        <v>4717.79398</v>
      </c>
      <c r="F523" s="29" t="n">
        <v>4695.2428</v>
      </c>
      <c r="G523" s="29" t="n">
        <v>4518.59282</v>
      </c>
      <c r="H523" s="29" t="n">
        <v>4596.05595</v>
      </c>
      <c r="I523" s="29" t="n">
        <v>4755.40355</v>
      </c>
      <c r="J523" s="29" t="n">
        <v>4792.76972</v>
      </c>
      <c r="K523" s="29" t="n">
        <v>4769.97694</v>
      </c>
      <c r="L523" s="29" t="n">
        <v>4716.33597</v>
      </c>
      <c r="M523" s="29" t="n">
        <v>4718.85043</v>
      </c>
      <c r="N523" s="29" t="n">
        <v>4531.36057</v>
      </c>
      <c r="O523" s="29" t="n">
        <v>4556.93783</v>
      </c>
      <c r="Q523" s="29" t="n">
        <v>4654.03858</v>
      </c>
      <c r="R523" s="29" t="n">
        <v>4702.05624</v>
      </c>
      <c r="S523" s="29" t="n">
        <v>4677.87263</v>
      </c>
      <c r="V523" s="29" t="n">
        <v>4621.39339</v>
      </c>
      <c r="AB523" s="29" t="n">
        <v>4685.46099</v>
      </c>
      <c r="AC523" s="29" t="n">
        <v>4691.08259</v>
      </c>
      <c r="AD523" s="29" t="n">
        <v>0</v>
      </c>
    </row>
    <row r="524" ht="14.25" customHeight="1" s="28">
      <c r="A524" s="29" t="n">
        <v>1778069701</v>
      </c>
      <c r="B524" s="29" t="inlineStr">
        <is>
          <t>XAUUSD</t>
        </is>
      </c>
      <c r="C524" s="29" t="inlineStr">
        <is>
          <t>M15</t>
        </is>
      </c>
      <c r="D524" s="29" t="n">
        <v>4683.36</v>
      </c>
      <c r="E524" s="29" t="n">
        <v>4717.79398</v>
      </c>
      <c r="F524" s="29" t="n">
        <v>4695.2428</v>
      </c>
      <c r="G524" s="29" t="n">
        <v>4518.59282</v>
      </c>
      <c r="H524" s="29" t="n">
        <v>4596.05595</v>
      </c>
      <c r="I524" s="29" t="n">
        <v>4755.40355</v>
      </c>
      <c r="J524" s="29" t="n">
        <v>4792.76972</v>
      </c>
      <c r="K524" s="29" t="n">
        <v>4769.97694</v>
      </c>
      <c r="L524" s="29" t="n">
        <v>4716.33597</v>
      </c>
      <c r="M524" s="29" t="n">
        <v>4718.85043</v>
      </c>
      <c r="N524" s="29" t="n">
        <v>4531.36057</v>
      </c>
      <c r="O524" s="29" t="n">
        <v>4556.93783</v>
      </c>
      <c r="Q524" s="29" t="n">
        <v>4654.24102</v>
      </c>
      <c r="R524" s="29" t="n">
        <v>4702.25869</v>
      </c>
      <c r="S524" s="29" t="n">
        <v>4678.07508</v>
      </c>
      <c r="V524" s="29" t="n">
        <v>4621.59583</v>
      </c>
      <c r="AA524" s="29" t="n">
        <v>4660.71</v>
      </c>
      <c r="AB524" s="29" t="n">
        <v>4681.66965</v>
      </c>
      <c r="AC524" s="29" t="n">
        <v>4686.37612</v>
      </c>
      <c r="AD524" s="29" t="n">
        <v>0</v>
      </c>
    </row>
    <row r="525" ht="14.25" customHeight="1" s="28">
      <c r="A525" s="29" t="n">
        <v>1778070601</v>
      </c>
      <c r="B525" s="29" t="inlineStr">
        <is>
          <t>XAUUSD</t>
        </is>
      </c>
      <c r="C525" s="29" t="inlineStr">
        <is>
          <t>M15</t>
        </is>
      </c>
      <c r="D525" s="29" t="n">
        <v>4682.83</v>
      </c>
      <c r="E525" s="29" t="n">
        <v>4717.79398</v>
      </c>
      <c r="F525" s="29" t="n">
        <v>4695.2428</v>
      </c>
      <c r="G525" s="29" t="n">
        <v>4518.59282</v>
      </c>
      <c r="H525" s="29" t="n">
        <v>4596.05595</v>
      </c>
      <c r="I525" s="29" t="n">
        <v>4755.40355</v>
      </c>
      <c r="J525" s="29" t="n">
        <v>4792.76972</v>
      </c>
      <c r="K525" s="29" t="n">
        <v>4769.97694</v>
      </c>
      <c r="L525" s="29" t="n">
        <v>4716.33597</v>
      </c>
      <c r="M525" s="29" t="n">
        <v>4718.85043</v>
      </c>
      <c r="N525" s="29" t="n">
        <v>4531.36057</v>
      </c>
      <c r="O525" s="29" t="n">
        <v>4556.93783</v>
      </c>
      <c r="Q525" s="29" t="n">
        <v>4654.44347</v>
      </c>
      <c r="R525" s="29" t="n">
        <v>4702.46113</v>
      </c>
      <c r="S525" s="29" t="n">
        <v>4678.27752</v>
      </c>
      <c r="V525" s="29" t="n">
        <v>4621.79828</v>
      </c>
      <c r="AB525" s="29" t="n">
        <v>4680.20086</v>
      </c>
      <c r="AC525" s="29" t="n">
        <v>4683.28849</v>
      </c>
      <c r="AD525" s="29" t="n">
        <v>0</v>
      </c>
    </row>
    <row r="526" ht="14.25" customHeight="1" s="28">
      <c r="A526" s="29" t="n">
        <v>1778071501</v>
      </c>
      <c r="B526" s="29" t="inlineStr">
        <is>
          <t>XAUUSD</t>
        </is>
      </c>
      <c r="C526" s="29" t="inlineStr">
        <is>
          <t>M15</t>
        </is>
      </c>
      <c r="D526" s="29" t="n">
        <v>4683.36</v>
      </c>
      <c r="E526" s="29" t="n">
        <v>4717.79398</v>
      </c>
      <c r="F526" s="29" t="n">
        <v>4695.2428</v>
      </c>
      <c r="G526" s="29" t="n">
        <v>4518.59282</v>
      </c>
      <c r="H526" s="29" t="n">
        <v>4596.05595</v>
      </c>
      <c r="I526" s="29" t="n">
        <v>4755.40355</v>
      </c>
      <c r="J526" s="29" t="n">
        <v>4792.76972</v>
      </c>
      <c r="K526" s="29" t="n">
        <v>4769.97694</v>
      </c>
      <c r="L526" s="29" t="n">
        <v>4716.33597</v>
      </c>
      <c r="M526" s="29" t="n">
        <v>4718.85043</v>
      </c>
      <c r="N526" s="29" t="n">
        <v>4531.36057</v>
      </c>
      <c r="O526" s="29" t="n">
        <v>4556.93783</v>
      </c>
      <c r="Q526" s="29" t="n">
        <v>4654.64592</v>
      </c>
      <c r="R526" s="29" t="n">
        <v>4702.66358</v>
      </c>
      <c r="S526" s="29" t="n">
        <v>4678.47997</v>
      </c>
      <c r="V526" s="29" t="n">
        <v>4622.00072</v>
      </c>
      <c r="AB526" s="29" t="n">
        <v>4681.24425</v>
      </c>
      <c r="AC526" s="29" t="n">
        <v>4682.26637</v>
      </c>
      <c r="AD526" s="29" t="n">
        <v>0</v>
      </c>
    </row>
    <row r="527" ht="14.25" customHeight="1" s="28">
      <c r="A527" s="29" t="n">
        <v>1778072401</v>
      </c>
      <c r="B527" s="29" t="inlineStr">
        <is>
          <t>XAUUSD</t>
        </is>
      </c>
      <c r="C527" s="29" t="inlineStr">
        <is>
          <t>M15</t>
        </is>
      </c>
      <c r="D527" s="29" t="n">
        <v>4683.63</v>
      </c>
      <c r="E527" s="29" t="n">
        <v>4717.79398</v>
      </c>
      <c r="F527" s="29" t="n">
        <v>4695.2428</v>
      </c>
      <c r="G527" s="29" t="n">
        <v>4518.59282</v>
      </c>
      <c r="H527" s="29" t="n">
        <v>4596.05595</v>
      </c>
      <c r="I527" s="29" t="n">
        <v>4755.40355</v>
      </c>
      <c r="J527" s="29" t="n">
        <v>4792.76972</v>
      </c>
      <c r="K527" s="29" t="n">
        <v>4769.97694</v>
      </c>
      <c r="L527" s="29" t="n">
        <v>4716.33597</v>
      </c>
      <c r="M527" s="29" t="n">
        <v>4718.85043</v>
      </c>
      <c r="N527" s="29" t="n">
        <v>4531.36057</v>
      </c>
      <c r="O527" s="29" t="n">
        <v>4556.93783</v>
      </c>
      <c r="Q527" s="29" t="n">
        <v>4654.84836</v>
      </c>
      <c r="R527" s="29" t="n">
        <v>4702.86603</v>
      </c>
      <c r="S527" s="29" t="n">
        <v>4678.68241</v>
      </c>
      <c r="V527" s="29" t="n">
        <v>4622.20317</v>
      </c>
      <c r="AB527" s="29" t="n">
        <v>4684.60591</v>
      </c>
      <c r="AC527" s="29" t="n">
        <v>4683.43614</v>
      </c>
      <c r="AD527" s="29" t="n">
        <v>1</v>
      </c>
    </row>
    <row r="528" ht="14.25" customHeight="1" s="28">
      <c r="A528" s="29" t="n">
        <v>1778073301</v>
      </c>
      <c r="B528" s="29" t="inlineStr">
        <is>
          <t>XAUUSD</t>
        </is>
      </c>
      <c r="C528" s="29" t="inlineStr">
        <is>
          <t>M15</t>
        </is>
      </c>
      <c r="D528" s="29" t="n">
        <v>4685.16</v>
      </c>
      <c r="E528" s="29" t="n">
        <v>4717.79398</v>
      </c>
      <c r="F528" s="29" t="n">
        <v>4695.2428</v>
      </c>
      <c r="G528" s="29" t="n">
        <v>4518.59282</v>
      </c>
      <c r="H528" s="29" t="n">
        <v>4596.05595</v>
      </c>
      <c r="I528" s="29" t="n">
        <v>4755.40355</v>
      </c>
      <c r="J528" s="29" t="n">
        <v>4792.76972</v>
      </c>
      <c r="K528" s="29" t="n">
        <v>4769.97694</v>
      </c>
      <c r="L528" s="29" t="n">
        <v>4716.33597</v>
      </c>
      <c r="M528" s="29" t="n">
        <v>4718.85043</v>
      </c>
      <c r="N528" s="29" t="n">
        <v>4531.36057</v>
      </c>
      <c r="O528" s="29" t="n">
        <v>4556.93783</v>
      </c>
      <c r="Q528" s="29" t="n">
        <v>4655.05081</v>
      </c>
      <c r="R528" s="29" t="n">
        <v>4703.06847</v>
      </c>
      <c r="S528" s="29" t="n">
        <v>4678.88486</v>
      </c>
      <c r="V528" s="29" t="n">
        <v>4622.40562</v>
      </c>
      <c r="AB528" s="29" t="n">
        <v>4689.71869</v>
      </c>
      <c r="AC528" s="29" t="n">
        <v>4686.57741</v>
      </c>
      <c r="AD528" s="29" t="n">
        <v>0</v>
      </c>
    </row>
    <row r="529" ht="14.25" customHeight="1" s="28">
      <c r="A529" s="29" t="n">
        <v>1778074201</v>
      </c>
      <c r="B529" s="29" t="inlineStr">
        <is>
          <t>XAUUSD</t>
        </is>
      </c>
      <c r="C529" s="29" t="inlineStr">
        <is>
          <t>M15</t>
        </is>
      </c>
      <c r="D529" s="29" t="n">
        <v>4695.33</v>
      </c>
      <c r="E529" s="29" t="n">
        <v>4717.79398</v>
      </c>
      <c r="F529" s="29" t="n">
        <v>4695.2428</v>
      </c>
      <c r="G529" s="29" t="n">
        <v>4518.59282</v>
      </c>
      <c r="H529" s="29" t="n">
        <v>4596.05595</v>
      </c>
      <c r="I529" s="29" t="n">
        <v>4755.40355</v>
      </c>
      <c r="J529" s="29" t="n">
        <v>4792.76972</v>
      </c>
      <c r="K529" s="29" t="n">
        <v>4769.97694</v>
      </c>
      <c r="L529" s="29" t="n">
        <v>4716.33597</v>
      </c>
      <c r="M529" s="29" t="n">
        <v>4718.85043</v>
      </c>
      <c r="N529" s="29" t="n">
        <v>4531.36057</v>
      </c>
      <c r="O529" s="29" t="n">
        <v>4556.93783</v>
      </c>
      <c r="Q529" s="29" t="n">
        <v>4655.25325</v>
      </c>
      <c r="R529" s="29" t="n">
        <v>4703.27092</v>
      </c>
      <c r="S529" s="29" t="n">
        <v>4679.0873</v>
      </c>
      <c r="V529" s="29" t="n">
        <v>4622.60806</v>
      </c>
      <c r="AB529" s="29" t="n">
        <v>4695.67352</v>
      </c>
      <c r="AC529" s="29" t="n">
        <v>4691.12547</v>
      </c>
      <c r="AD529" s="29" t="n">
        <v>0</v>
      </c>
    </row>
    <row r="530" ht="14.25" customHeight="1" s="28">
      <c r="A530" s="29" t="n">
        <v>1778075101</v>
      </c>
      <c r="B530" s="29" t="inlineStr">
        <is>
          <t>XAUUSD</t>
        </is>
      </c>
      <c r="C530" s="29" t="inlineStr">
        <is>
          <t>M15</t>
        </is>
      </c>
      <c r="D530" s="29" t="n">
        <v>4702.21</v>
      </c>
      <c r="E530" s="29" t="n">
        <v>4717.79398</v>
      </c>
      <c r="F530" s="29" t="n">
        <v>4695.2428</v>
      </c>
      <c r="G530" s="29" t="n">
        <v>4518.59282</v>
      </c>
      <c r="H530" s="29" t="n">
        <v>4596.05595</v>
      </c>
      <c r="I530" s="29" t="n">
        <v>4755.40355</v>
      </c>
      <c r="J530" s="29" t="n">
        <v>4792.76972</v>
      </c>
      <c r="K530" s="29" t="n">
        <v>4769.97694</v>
      </c>
      <c r="L530" s="29" t="n">
        <v>4716.33597</v>
      </c>
      <c r="M530" s="29" t="n">
        <v>4718.85043</v>
      </c>
      <c r="N530" s="29" t="n">
        <v>4531.36057</v>
      </c>
      <c r="O530" s="29" t="n">
        <v>4556.93783</v>
      </c>
      <c r="Q530" s="29" t="n">
        <v>4655.4557</v>
      </c>
      <c r="R530" s="29" t="n">
        <v>4703.47336</v>
      </c>
      <c r="S530" s="29" t="n">
        <v>4679.28975</v>
      </c>
      <c r="V530" s="29" t="n">
        <v>4622.81051</v>
      </c>
      <c r="AB530" s="29" t="n">
        <v>4701.24446</v>
      </c>
      <c r="AC530" s="29" t="n">
        <v>4696.18496</v>
      </c>
      <c r="AD530" s="29" t="n">
        <v>0</v>
      </c>
    </row>
    <row r="531" ht="14.25" customHeight="1" s="28">
      <c r="A531" s="29" t="n">
        <v>1778076001</v>
      </c>
      <c r="B531" s="29" t="inlineStr">
        <is>
          <t>XAUUSD</t>
        </is>
      </c>
      <c r="C531" s="29" t="inlineStr">
        <is>
          <t>M15</t>
        </is>
      </c>
      <c r="D531" s="29" t="n">
        <v>4711.04</v>
      </c>
      <c r="E531" s="29" t="n">
        <v>4717.79398</v>
      </c>
      <c r="F531" s="29" t="n">
        <v>4695.2428</v>
      </c>
      <c r="G531" s="29" t="n">
        <v>4518.59282</v>
      </c>
      <c r="H531" s="29" t="n">
        <v>4596.05595</v>
      </c>
      <c r="I531" s="29" t="n">
        <v>4755.40355</v>
      </c>
      <c r="J531" s="29" t="n">
        <v>4792.76972</v>
      </c>
      <c r="K531" s="29" t="n">
        <v>4769.97694</v>
      </c>
      <c r="L531" s="29" t="n">
        <v>4716.33597</v>
      </c>
      <c r="M531" s="29" t="n">
        <v>4718.85043</v>
      </c>
      <c r="N531" s="29" t="n">
        <v>4531.36057</v>
      </c>
      <c r="O531" s="29" t="n">
        <v>4556.93783</v>
      </c>
      <c r="Q531" s="29" t="n">
        <v>4655.65814</v>
      </c>
      <c r="R531" s="29" t="n">
        <v>4703.67581</v>
      </c>
      <c r="S531" s="29" t="n">
        <v>4679.4922</v>
      </c>
      <c r="V531" s="29" t="n">
        <v>4623.01295</v>
      </c>
      <c r="AB531" s="29" t="n">
        <v>4705.40606</v>
      </c>
      <c r="AC531" s="29" t="n">
        <v>4700.79551</v>
      </c>
      <c r="AD531" s="29" t="n">
        <v>0</v>
      </c>
    </row>
    <row r="532" ht="14.25" customHeight="1" s="28">
      <c r="A532" s="29" t="n">
        <v>1778076901</v>
      </c>
      <c r="B532" s="29" t="inlineStr">
        <is>
          <t>XAUUSD</t>
        </is>
      </c>
      <c r="C532" s="29" t="inlineStr">
        <is>
          <t>M15</t>
        </is>
      </c>
      <c r="D532" s="29" t="n">
        <v>4705.66</v>
      </c>
      <c r="E532" s="29" t="n">
        <v>4717.79398</v>
      </c>
      <c r="F532" s="29" t="n">
        <v>4695.2428</v>
      </c>
      <c r="G532" s="29" t="n">
        <v>4518.59282</v>
      </c>
      <c r="H532" s="29" t="n">
        <v>4596.05595</v>
      </c>
      <c r="I532" s="29" t="n">
        <v>4755.40355</v>
      </c>
      <c r="J532" s="29" t="n">
        <v>4792.76972</v>
      </c>
      <c r="K532" s="29" t="n">
        <v>4769.97694</v>
      </c>
      <c r="L532" s="29" t="n">
        <v>4716.33597</v>
      </c>
      <c r="M532" s="29" t="n">
        <v>4718.85043</v>
      </c>
      <c r="N532" s="29" t="n">
        <v>4531.36057</v>
      </c>
      <c r="O532" s="29" t="n">
        <v>4556.93783</v>
      </c>
      <c r="Q532" s="29" t="n">
        <v>4655.86059</v>
      </c>
      <c r="R532" s="29" t="n">
        <v>4703.87825</v>
      </c>
      <c r="S532" s="29" t="n">
        <v>4679.69464</v>
      </c>
      <c r="V532" s="29" t="n">
        <v>4623.2154</v>
      </c>
      <c r="AB532" s="29" t="n">
        <v>4707.38194</v>
      </c>
      <c r="AC532" s="29" t="n">
        <v>4704.08873</v>
      </c>
      <c r="AD532" s="29" t="n">
        <v>0</v>
      </c>
    </row>
    <row r="533" ht="14.25" customHeight="1" s="28">
      <c r="A533" s="29" t="n">
        <v>1778077801</v>
      </c>
      <c r="B533" s="29" t="inlineStr">
        <is>
          <t>XAUUSD</t>
        </is>
      </c>
      <c r="C533" s="29" t="inlineStr">
        <is>
          <t>M15</t>
        </is>
      </c>
      <c r="D533" s="29" t="n">
        <v>4713.4</v>
      </c>
      <c r="E533" s="29" t="n">
        <v>4717.79398</v>
      </c>
      <c r="F533" s="29" t="n">
        <v>4695.2428</v>
      </c>
      <c r="G533" s="29" t="n">
        <v>4518.59282</v>
      </c>
      <c r="H533" s="29" t="n">
        <v>4596.05595</v>
      </c>
      <c r="I533" s="29" t="n">
        <v>4755.40355</v>
      </c>
      <c r="J533" s="29" t="n">
        <v>4792.76972</v>
      </c>
      <c r="K533" s="29" t="n">
        <v>4769.97694</v>
      </c>
      <c r="L533" s="29" t="n">
        <v>4716.33597</v>
      </c>
      <c r="M533" s="29" t="n">
        <v>4718.85043</v>
      </c>
      <c r="N533" s="29" t="n">
        <v>4531.36057</v>
      </c>
      <c r="O533" s="29" t="n">
        <v>4556.93783</v>
      </c>
      <c r="Q533" s="29" t="n">
        <v>4656.06304</v>
      </c>
      <c r="R533" s="29" t="n">
        <v>4704.0807</v>
      </c>
      <c r="S533" s="29" t="n">
        <v>4679.89709</v>
      </c>
      <c r="V533" s="29" t="n">
        <v>4623.41784</v>
      </c>
      <c r="AB533" s="29" t="n">
        <v>4707.17648</v>
      </c>
      <c r="AC533" s="29" t="n">
        <v>4705.6326</v>
      </c>
      <c r="AD533" s="29" t="n">
        <v>0</v>
      </c>
    </row>
    <row r="534" ht="14.25" customHeight="1" s="28">
      <c r="A534" s="29" t="n">
        <v>1778078701</v>
      </c>
      <c r="B534" s="29" t="inlineStr">
        <is>
          <t>XAUUSD</t>
        </is>
      </c>
      <c r="C534" s="29" t="inlineStr">
        <is>
          <t>M15</t>
        </is>
      </c>
      <c r="D534" s="29" t="n">
        <v>4703.14</v>
      </c>
      <c r="E534" s="29" t="n">
        <v>4717.79398</v>
      </c>
      <c r="F534" s="29" t="n">
        <v>4695.2428</v>
      </c>
      <c r="G534" s="29" t="n">
        <v>4518.59282</v>
      </c>
      <c r="H534" s="29" t="n">
        <v>4596.05595</v>
      </c>
      <c r="I534" s="29" t="n">
        <v>4755.40355</v>
      </c>
      <c r="J534" s="29" t="n">
        <v>4792.76972</v>
      </c>
      <c r="K534" s="29" t="n">
        <v>4769.97694</v>
      </c>
      <c r="L534" s="29" t="n">
        <v>4716.33597</v>
      </c>
      <c r="M534" s="29" t="n">
        <v>4718.85043</v>
      </c>
      <c r="N534" s="29" t="n">
        <v>4531.36057</v>
      </c>
      <c r="O534" s="29" t="n">
        <v>4556.93783</v>
      </c>
      <c r="Q534" s="29" t="n">
        <v>4656.26548</v>
      </c>
      <c r="R534" s="29" t="n">
        <v>4704.28315</v>
      </c>
      <c r="S534" s="29" t="n">
        <v>4680.09953</v>
      </c>
      <c r="V534" s="29" t="n">
        <v>4623.62029</v>
      </c>
      <c r="AB534" s="29" t="n">
        <v>4704.83665</v>
      </c>
      <c r="AC534" s="29" t="n">
        <v>4705.23463</v>
      </c>
      <c r="AD534" s="29" t="n">
        <v>1</v>
      </c>
    </row>
    <row r="535" ht="14.25" customHeight="1" s="28">
      <c r="A535" s="29" t="n">
        <v>1778079601</v>
      </c>
      <c r="B535" s="29" t="inlineStr">
        <is>
          <t>XAUUSD</t>
        </is>
      </c>
      <c r="C535" s="29" t="inlineStr">
        <is>
          <t>M15</t>
        </is>
      </c>
      <c r="D535" s="29" t="n">
        <v>4696.47</v>
      </c>
      <c r="E535" s="29" t="n">
        <v>4717.79398</v>
      </c>
      <c r="F535" s="29" t="n">
        <v>4695.2428</v>
      </c>
      <c r="G535" s="29" t="n">
        <v>4518.59282</v>
      </c>
      <c r="H535" s="29" t="n">
        <v>4596.05595</v>
      </c>
      <c r="I535" s="29" t="n">
        <v>4755.40355</v>
      </c>
      <c r="J535" s="29" t="n">
        <v>4792.76972</v>
      </c>
      <c r="K535" s="29" t="n">
        <v>4769.97694</v>
      </c>
      <c r="L535" s="29" t="n">
        <v>4716.33597</v>
      </c>
      <c r="M535" s="29" t="n">
        <v>4718.85043</v>
      </c>
      <c r="N535" s="29" t="n">
        <v>4531.36057</v>
      </c>
      <c r="O535" s="29" t="n">
        <v>4556.93783</v>
      </c>
      <c r="Q535" s="29" t="n">
        <v>4656.46793</v>
      </c>
      <c r="R535" s="29" t="n">
        <v>4704.48559</v>
      </c>
      <c r="S535" s="29" t="n">
        <v>4680.30198</v>
      </c>
      <c r="V535" s="29" t="n">
        <v>4623.82274</v>
      </c>
      <c r="AB535" s="29" t="n">
        <v>4701.15277</v>
      </c>
      <c r="AC535" s="29" t="n">
        <v>4703.1937</v>
      </c>
      <c r="AD535" s="29" t="n">
        <v>0</v>
      </c>
    </row>
    <row r="536" ht="14.25" customHeight="1" s="28">
      <c r="A536" s="29" t="n">
        <v>1778080501</v>
      </c>
      <c r="B536" s="29" t="inlineStr">
        <is>
          <t>XAUUSD</t>
        </is>
      </c>
      <c r="C536" s="29" t="inlineStr">
        <is>
          <t>M15</t>
        </is>
      </c>
      <c r="D536" s="29" t="n">
        <v>4695.45</v>
      </c>
      <c r="E536" s="29" t="n">
        <v>4717.79398</v>
      </c>
      <c r="F536" s="29" t="n">
        <v>4695.2428</v>
      </c>
      <c r="G536" s="29" t="n">
        <v>4518.59282</v>
      </c>
      <c r="H536" s="29" t="n">
        <v>4596.05595</v>
      </c>
      <c r="I536" s="29" t="n">
        <v>4755.40355</v>
      </c>
      <c r="J536" s="29" t="n">
        <v>4792.76972</v>
      </c>
      <c r="K536" s="29" t="n">
        <v>4769.97694</v>
      </c>
      <c r="L536" s="29" t="n">
        <v>4716.33597</v>
      </c>
      <c r="M536" s="29" t="n">
        <v>4718.85043</v>
      </c>
      <c r="N536" s="29" t="n">
        <v>4531.36057</v>
      </c>
      <c r="O536" s="29" t="n">
        <v>4556.93783</v>
      </c>
      <c r="Q536" s="29" t="n">
        <v>4656.67037</v>
      </c>
      <c r="R536" s="29" t="n">
        <v>4704.68804</v>
      </c>
      <c r="S536" s="29" t="n">
        <v>4680.50442</v>
      </c>
      <c r="V536" s="29" t="n">
        <v>4624.02518</v>
      </c>
      <c r="AB536" s="29" t="n">
        <v>4696.94377</v>
      </c>
      <c r="AC536" s="29" t="n">
        <v>4700.06874</v>
      </c>
      <c r="AD536" s="29" t="n">
        <v>0</v>
      </c>
    </row>
    <row r="537" ht="14.25" customHeight="1" s="28">
      <c r="A537" s="29" t="n">
        <v>1778081401</v>
      </c>
      <c r="B537" s="29" t="inlineStr">
        <is>
          <t>XAUUSD</t>
        </is>
      </c>
      <c r="C537" s="29" t="inlineStr">
        <is>
          <t>M15</t>
        </is>
      </c>
      <c r="D537" s="29" t="n">
        <v>4692.77</v>
      </c>
      <c r="E537" s="29" t="n">
        <v>4717.79398</v>
      </c>
      <c r="F537" s="29" t="n">
        <v>4695.2428</v>
      </c>
      <c r="G537" s="29" t="n">
        <v>4518.59282</v>
      </c>
      <c r="H537" s="29" t="n">
        <v>4596.05595</v>
      </c>
      <c r="I537" s="29" t="n">
        <v>4755.40355</v>
      </c>
      <c r="J537" s="29" t="n">
        <v>4792.76972</v>
      </c>
      <c r="K537" s="29" t="n">
        <v>4769.97694</v>
      </c>
      <c r="L537" s="29" t="n">
        <v>4716.33597</v>
      </c>
      <c r="M537" s="29" t="n">
        <v>4718.85043</v>
      </c>
      <c r="N537" s="29" t="n">
        <v>4531.36057</v>
      </c>
      <c r="O537" s="29" t="n">
        <v>4556.93783</v>
      </c>
      <c r="Q537" s="29" t="n">
        <v>4656.87282</v>
      </c>
      <c r="R537" s="29" t="n">
        <v>4704.89048</v>
      </c>
      <c r="S537" s="29" t="n">
        <v>4680.70687</v>
      </c>
      <c r="V537" s="29" t="n">
        <v>4624.22763</v>
      </c>
      <c r="AB537" s="29" t="n">
        <v>4692.8015</v>
      </c>
      <c r="AC537" s="29" t="n">
        <v>4696.43512</v>
      </c>
      <c r="AD537" s="29" t="n">
        <v>0</v>
      </c>
    </row>
    <row r="538" ht="14.25" customHeight="1" s="28">
      <c r="A538" s="29" t="n">
        <v>1778082301</v>
      </c>
      <c r="B538" s="29" t="inlineStr">
        <is>
          <t>XAUUSD</t>
        </is>
      </c>
      <c r="C538" s="29" t="inlineStr">
        <is>
          <t>M15</t>
        </is>
      </c>
      <c r="D538" s="29" t="n">
        <v>4687.96</v>
      </c>
      <c r="E538" s="29" t="n">
        <v>4717.79398</v>
      </c>
      <c r="F538" s="29" t="n">
        <v>4695.2428</v>
      </c>
      <c r="G538" s="29" t="n">
        <v>4518.59282</v>
      </c>
      <c r="H538" s="29" t="n">
        <v>4596.05595</v>
      </c>
      <c r="I538" s="29" t="n">
        <v>4755.40355</v>
      </c>
      <c r="J538" s="29" t="n">
        <v>4792.76972</v>
      </c>
      <c r="K538" s="29" t="n">
        <v>4769.97694</v>
      </c>
      <c r="L538" s="29" t="n">
        <v>4716.33597</v>
      </c>
      <c r="M538" s="29" t="n">
        <v>4718.85043</v>
      </c>
      <c r="N538" s="29" t="n">
        <v>4531.36057</v>
      </c>
      <c r="O538" s="29" t="n">
        <v>4556.93783</v>
      </c>
      <c r="Q538" s="29" t="n">
        <v>4657.07526</v>
      </c>
      <c r="R538" s="29" t="n">
        <v>4705.09293</v>
      </c>
      <c r="S538" s="29" t="n">
        <v>4680.90932</v>
      </c>
      <c r="V538" s="29" t="n">
        <v>4624.43007</v>
      </c>
      <c r="AB538" s="29" t="n">
        <v>4689.23939</v>
      </c>
      <c r="AC538" s="29" t="n">
        <v>4692.83725</v>
      </c>
      <c r="AD538" s="29" t="n">
        <v>0</v>
      </c>
    </row>
    <row r="539" ht="14.25" customHeight="1" s="28">
      <c r="A539" s="29" t="n">
        <v>1778083201</v>
      </c>
      <c r="B539" s="29" t="inlineStr">
        <is>
          <t>XAUUSD</t>
        </is>
      </c>
      <c r="C539" s="29" t="inlineStr">
        <is>
          <t>M15</t>
        </is>
      </c>
      <c r="D539" s="29" t="n">
        <v>4683.69</v>
      </c>
      <c r="E539" s="29" t="n">
        <v>4717.79398</v>
      </c>
      <c r="F539" s="29" t="n">
        <v>4695.2428</v>
      </c>
      <c r="G539" s="29" t="n">
        <v>4518.59282</v>
      </c>
      <c r="H539" s="29" t="n">
        <v>4596.05595</v>
      </c>
      <c r="I539" s="29" t="n">
        <v>4755.40355</v>
      </c>
      <c r="J539" s="29" t="n">
        <v>4792.76972</v>
      </c>
      <c r="K539" s="29" t="n">
        <v>4769.97694</v>
      </c>
      <c r="L539" s="29" t="n">
        <v>4716.33597</v>
      </c>
      <c r="M539" s="29" t="n">
        <v>4718.85043</v>
      </c>
      <c r="N539" s="29" t="n">
        <v>4531.36057</v>
      </c>
      <c r="O539" s="29" t="n">
        <v>4556.93783</v>
      </c>
      <c r="Q539" s="29" t="n">
        <v>4657.27771</v>
      </c>
      <c r="R539" s="29" t="n">
        <v>4705.29537</v>
      </c>
      <c r="S539" s="29" t="n">
        <v>4681.11176</v>
      </c>
      <c r="V539" s="29" t="n">
        <v>4624.63252</v>
      </c>
      <c r="AB539" s="29" t="n">
        <v>4686.6271</v>
      </c>
      <c r="AC539" s="29" t="n">
        <v>4689.73218</v>
      </c>
      <c r="AD539" s="29" t="n">
        <v>0</v>
      </c>
    </row>
    <row r="540" ht="14.25" customHeight="1" s="28">
      <c r="A540" s="29" t="n">
        <v>1778084101</v>
      </c>
      <c r="B540" s="29" t="inlineStr">
        <is>
          <t>XAUUSD</t>
        </is>
      </c>
      <c r="C540" s="29" t="inlineStr">
        <is>
          <t>M15</t>
        </is>
      </c>
      <c r="D540" s="29" t="n">
        <v>4688.15</v>
      </c>
      <c r="E540" s="29" t="n">
        <v>4717.79398</v>
      </c>
      <c r="F540" s="29" t="n">
        <v>4695.2428</v>
      </c>
      <c r="G540" s="29" t="n">
        <v>4518.59282</v>
      </c>
      <c r="H540" s="29" t="n">
        <v>4596.05595</v>
      </c>
      <c r="I540" s="29" t="n">
        <v>4755.40355</v>
      </c>
      <c r="J540" s="29" t="n">
        <v>4792.76972</v>
      </c>
      <c r="K540" s="29" t="n">
        <v>4769.97694</v>
      </c>
      <c r="L540" s="29" t="n">
        <v>4716.33597</v>
      </c>
      <c r="M540" s="29" t="n">
        <v>4718.85043</v>
      </c>
      <c r="N540" s="29" t="n">
        <v>4531.36057</v>
      </c>
      <c r="O540" s="29" t="n">
        <v>4556.93783</v>
      </c>
      <c r="Q540" s="29" t="n">
        <v>4657.48016</v>
      </c>
      <c r="R540" s="29" t="n">
        <v>4705.49782</v>
      </c>
      <c r="S540" s="29" t="n">
        <v>4681.31421</v>
      </c>
      <c r="V540" s="29" t="n">
        <v>4624.83496</v>
      </c>
      <c r="AB540" s="29" t="n">
        <v>4685.06769</v>
      </c>
      <c r="AC540" s="29" t="n">
        <v>4687.39993</v>
      </c>
      <c r="AD540" s="29" t="n">
        <v>0</v>
      </c>
    </row>
    <row r="541" ht="14.25" customHeight="1" s="28">
      <c r="A541" s="29" t="n">
        <v>1778085001</v>
      </c>
      <c r="B541" s="29" t="inlineStr">
        <is>
          <t>XAUUSD</t>
        </is>
      </c>
      <c r="C541" s="29" t="inlineStr">
        <is>
          <t>M15</t>
        </is>
      </c>
      <c r="D541" s="29" t="n">
        <v>4688.73</v>
      </c>
      <c r="E541" s="29" t="n">
        <v>4717.79398</v>
      </c>
      <c r="F541" s="29" t="n">
        <v>4695.2428</v>
      </c>
      <c r="G541" s="29" t="n">
        <v>4518.59282</v>
      </c>
      <c r="H541" s="29" t="n">
        <v>4596.05595</v>
      </c>
      <c r="I541" s="29" t="n">
        <v>4755.40355</v>
      </c>
      <c r="J541" s="29" t="n">
        <v>4792.76972</v>
      </c>
      <c r="K541" s="29" t="n">
        <v>4769.97694</v>
      </c>
      <c r="L541" s="29" t="n">
        <v>4716.33597</v>
      </c>
      <c r="M541" s="29" t="n">
        <v>4718.85043</v>
      </c>
      <c r="N541" s="29" t="n">
        <v>4531.36057</v>
      </c>
      <c r="O541" s="29" t="n">
        <v>4556.93783</v>
      </c>
      <c r="Q541" s="29" t="n">
        <v>4657.6826</v>
      </c>
      <c r="R541" s="29" t="n">
        <v>4705.70027</v>
      </c>
      <c r="S541" s="29" t="n">
        <v>4681.51665</v>
      </c>
      <c r="V541" s="29" t="n">
        <v>4625.03741</v>
      </c>
      <c r="AB541" s="29" t="n">
        <v>4684.19339</v>
      </c>
      <c r="AC541" s="29" t="n">
        <v>4685.79666</v>
      </c>
      <c r="AD541" s="29" t="n">
        <v>0</v>
      </c>
    </row>
    <row r="542" ht="14.25" customHeight="1" s="28">
      <c r="A542" s="29" t="n">
        <v>1778085901</v>
      </c>
      <c r="B542" s="29" t="inlineStr">
        <is>
          <t>XAUUSD</t>
        </is>
      </c>
      <c r="C542" s="29" t="inlineStr">
        <is>
          <t>M15</t>
        </is>
      </c>
      <c r="D542" s="29" t="n">
        <v>4683.1</v>
      </c>
      <c r="E542" s="29" t="n">
        <v>4717.79398</v>
      </c>
      <c r="F542" s="29" t="n">
        <v>4695.2428</v>
      </c>
      <c r="G542" s="29" t="n">
        <v>4518.59282</v>
      </c>
      <c r="H542" s="29" t="n">
        <v>4596.05595</v>
      </c>
      <c r="I542" s="29" t="n">
        <v>4755.40355</v>
      </c>
      <c r="J542" s="29" t="n">
        <v>4792.76972</v>
      </c>
      <c r="K542" s="29" t="n">
        <v>4769.97694</v>
      </c>
      <c r="L542" s="29" t="n">
        <v>4716.33597</v>
      </c>
      <c r="M542" s="29" t="n">
        <v>4718.85043</v>
      </c>
      <c r="N542" s="29" t="n">
        <v>4531.36057</v>
      </c>
      <c r="O542" s="29" t="n">
        <v>4556.93783</v>
      </c>
      <c r="Q542" s="29" t="n">
        <v>4657.88505</v>
      </c>
      <c r="R542" s="29" t="n">
        <v>4705.90271</v>
      </c>
      <c r="S542" s="29" t="n">
        <v>4681.7191</v>
      </c>
      <c r="V542" s="29" t="n">
        <v>4625.23986</v>
      </c>
      <c r="AB542" s="29" t="n">
        <v>4683.70353</v>
      </c>
      <c r="AC542" s="29" t="n">
        <v>4684.75009</v>
      </c>
      <c r="AD542" s="29" t="n">
        <v>0</v>
      </c>
    </row>
    <row r="543" ht="14.25" customHeight="1" s="28">
      <c r="A543" s="29" t="n">
        <v>1778086801</v>
      </c>
      <c r="B543" s="29" t="inlineStr">
        <is>
          <t>XAUUSD</t>
        </is>
      </c>
      <c r="C543" s="29" t="inlineStr">
        <is>
          <t>M15</t>
        </is>
      </c>
      <c r="D543" s="29" t="n">
        <v>4685.62</v>
      </c>
      <c r="E543" s="29" t="n">
        <v>4717.79398</v>
      </c>
      <c r="F543" s="29" t="n">
        <v>4695.2428</v>
      </c>
      <c r="G543" s="29" t="n">
        <v>4518.59282</v>
      </c>
      <c r="H543" s="29" t="n">
        <v>4596.05595</v>
      </c>
      <c r="I543" s="29" t="n">
        <v>4755.40355</v>
      </c>
      <c r="J543" s="29" t="n">
        <v>4792.76972</v>
      </c>
      <c r="K543" s="29" t="n">
        <v>4769.97694</v>
      </c>
      <c r="L543" s="29" t="n">
        <v>4716.33597</v>
      </c>
      <c r="M543" s="29" t="n">
        <v>4718.85043</v>
      </c>
      <c r="N543" s="29" t="n">
        <v>4531.36057</v>
      </c>
      <c r="O543" s="29" t="n">
        <v>4556.93783</v>
      </c>
      <c r="Q543" s="29" t="n">
        <v>4658.08749</v>
      </c>
      <c r="R543" s="29" t="n">
        <v>4706.10516</v>
      </c>
      <c r="S543" s="29" t="n">
        <v>4681.92154</v>
      </c>
      <c r="V543" s="29" t="n">
        <v>4625.4423</v>
      </c>
      <c r="AB543" s="29" t="n">
        <v>4683.56216</v>
      </c>
      <c r="AC543" s="29" t="n">
        <v>4684.15613</v>
      </c>
      <c r="AD543" s="29" t="n">
        <v>0</v>
      </c>
    </row>
    <row r="544" ht="14.25" customHeight="1" s="28">
      <c r="A544" s="29" t="n">
        <v>1778087701</v>
      </c>
      <c r="B544" s="29" t="inlineStr">
        <is>
          <t>XAUUSD</t>
        </is>
      </c>
      <c r="C544" s="29" t="inlineStr">
        <is>
          <t>M15</t>
        </is>
      </c>
      <c r="D544" s="29" t="n">
        <v>4683.1</v>
      </c>
      <c r="E544" s="29" t="n">
        <v>4717.79398</v>
      </c>
      <c r="F544" s="29" t="n">
        <v>4695.2428</v>
      </c>
      <c r="G544" s="29" t="n">
        <v>4518.59282</v>
      </c>
      <c r="H544" s="29" t="n">
        <v>4596.05595</v>
      </c>
      <c r="I544" s="29" t="n">
        <v>4755.40355</v>
      </c>
      <c r="J544" s="29" t="n">
        <v>4792.76972</v>
      </c>
      <c r="K544" s="29" t="n">
        <v>4769.97694</v>
      </c>
      <c r="L544" s="29" t="n">
        <v>4716.33597</v>
      </c>
      <c r="M544" s="29" t="n">
        <v>4718.85043</v>
      </c>
      <c r="N544" s="29" t="n">
        <v>4531.36057</v>
      </c>
      <c r="O544" s="29" t="n">
        <v>4556.93783</v>
      </c>
      <c r="Q544" s="29" t="n">
        <v>4658.28994</v>
      </c>
      <c r="R544" s="29" t="n">
        <v>4706.3076</v>
      </c>
      <c r="S544" s="29" t="n">
        <v>4682.12399</v>
      </c>
      <c r="V544" s="29" t="n">
        <v>4625.64475</v>
      </c>
      <c r="AB544" s="29" t="n">
        <v>4683.6088</v>
      </c>
      <c r="AC544" s="29" t="n">
        <v>4683.88246</v>
      </c>
      <c r="AD544" s="29" t="n">
        <v>0</v>
      </c>
    </row>
    <row r="545" ht="14.25" customHeight="1" s="28">
      <c r="A545" s="29" t="n">
        <v>1778088601</v>
      </c>
      <c r="B545" s="29" t="inlineStr">
        <is>
          <t>XAUUSD</t>
        </is>
      </c>
      <c r="C545" s="29" t="inlineStr">
        <is>
          <t>M15</t>
        </is>
      </c>
      <c r="D545" s="29" t="n">
        <v>4680.64</v>
      </c>
      <c r="E545" s="29" t="n">
        <v>4717.79398</v>
      </c>
      <c r="F545" s="29" t="n">
        <v>4695.2428</v>
      </c>
      <c r="G545" s="29" t="n">
        <v>4518.59282</v>
      </c>
      <c r="H545" s="29" t="n">
        <v>4596.05595</v>
      </c>
      <c r="I545" s="29" t="n">
        <v>4755.40355</v>
      </c>
      <c r="J545" s="29" t="n">
        <v>4792.76972</v>
      </c>
      <c r="K545" s="29" t="n">
        <v>4769.97694</v>
      </c>
      <c r="L545" s="29" t="n">
        <v>4716.33597</v>
      </c>
      <c r="M545" s="29" t="n">
        <v>4718.85043</v>
      </c>
      <c r="N545" s="29" t="n">
        <v>4531.36057</v>
      </c>
      <c r="O545" s="29" t="n">
        <v>4556.93783</v>
      </c>
      <c r="Q545" s="29" t="n">
        <v>4658.49238</v>
      </c>
      <c r="R545" s="29" t="n">
        <v>4706.51005</v>
      </c>
      <c r="S545" s="29" t="n">
        <v>4682.32644</v>
      </c>
      <c r="V545" s="29" t="n">
        <v>4625.84719</v>
      </c>
      <c r="AA545" s="29" t="n">
        <v>4678.99</v>
      </c>
      <c r="AB545" s="29" t="n">
        <v>4683.92437</v>
      </c>
      <c r="AC545" s="29" t="n">
        <v>4683.90342</v>
      </c>
      <c r="AD545" s="29" t="n">
        <v>1</v>
      </c>
    </row>
    <row r="546" ht="14.25" customHeight="1" s="28">
      <c r="A546" s="29" t="n">
        <v>1778089501</v>
      </c>
      <c r="B546" s="29" t="inlineStr">
        <is>
          <t>XAUUSD</t>
        </is>
      </c>
      <c r="C546" s="29" t="inlineStr">
        <is>
          <t>M15</t>
        </is>
      </c>
      <c r="D546" s="29" t="n">
        <v>4684.13</v>
      </c>
      <c r="E546" s="29" t="n">
        <v>4717.79398</v>
      </c>
      <c r="F546" s="29" t="n">
        <v>4695.2428</v>
      </c>
      <c r="G546" s="29" t="n">
        <v>4518.59282</v>
      </c>
      <c r="H546" s="29" t="n">
        <v>4596.05595</v>
      </c>
      <c r="I546" s="29" t="n">
        <v>4755.40355</v>
      </c>
      <c r="J546" s="29" t="n">
        <v>4792.76972</v>
      </c>
      <c r="K546" s="29" t="n">
        <v>4769.97694</v>
      </c>
      <c r="L546" s="29" t="n">
        <v>4716.33597</v>
      </c>
      <c r="M546" s="29" t="n">
        <v>4718.85043</v>
      </c>
      <c r="N546" s="29" t="n">
        <v>4531.36057</v>
      </c>
      <c r="O546" s="29" t="n">
        <v>4556.93783</v>
      </c>
      <c r="Q546" s="29" t="n">
        <v>4658.69483</v>
      </c>
      <c r="R546" s="29" t="n">
        <v>4706.71249</v>
      </c>
      <c r="S546" s="29" t="n">
        <v>4682.52888</v>
      </c>
      <c r="V546" s="29" t="n">
        <v>4626.04964</v>
      </c>
      <c r="AB546" s="29" t="n">
        <v>4684.67972</v>
      </c>
      <c r="AC546" s="29" t="n">
        <v>4684.29157</v>
      </c>
      <c r="AD546" s="29" t="n">
        <v>0</v>
      </c>
    </row>
    <row r="547" ht="14.25" customHeight="1" s="28">
      <c r="A547" s="29" t="n">
        <v>1778090401</v>
      </c>
      <c r="B547" s="29" t="inlineStr">
        <is>
          <t>XAUUSD</t>
        </is>
      </c>
      <c r="C547" s="29" t="inlineStr">
        <is>
          <t>M15</t>
        </is>
      </c>
      <c r="D547" s="29" t="n">
        <v>4686.79</v>
      </c>
      <c r="E547" s="29" t="n">
        <v>4717.79398</v>
      </c>
      <c r="F547" s="29" t="n">
        <v>4695.2428</v>
      </c>
      <c r="G547" s="29" t="n">
        <v>4518.59282</v>
      </c>
      <c r="H547" s="29" t="n">
        <v>4596.05595</v>
      </c>
      <c r="I547" s="29" t="n">
        <v>4755.40355</v>
      </c>
      <c r="J547" s="29" t="n">
        <v>4792.76972</v>
      </c>
      <c r="K547" s="29" t="n">
        <v>4769.97694</v>
      </c>
      <c r="L547" s="29" t="n">
        <v>4716.33597</v>
      </c>
      <c r="M547" s="29" t="n">
        <v>4718.85043</v>
      </c>
      <c r="N547" s="29" t="n">
        <v>4531.36057</v>
      </c>
      <c r="O547" s="29" t="n">
        <v>4556.93783</v>
      </c>
      <c r="Q547" s="29" t="n">
        <v>4658.89728</v>
      </c>
      <c r="R547" s="29" t="n">
        <v>4706.91494</v>
      </c>
      <c r="S547" s="29" t="n">
        <v>4682.73133</v>
      </c>
      <c r="V547" s="29" t="n">
        <v>4626.25208</v>
      </c>
      <c r="AB547" s="29" t="n">
        <v>4685.82752</v>
      </c>
      <c r="AC547" s="29" t="n">
        <v>4685.05954</v>
      </c>
      <c r="AD547" s="29" t="n">
        <v>0</v>
      </c>
    </row>
    <row r="548" ht="14.25" customHeight="1" s="28">
      <c r="A548" s="29" t="n">
        <v>1778091301</v>
      </c>
      <c r="B548" s="29" t="inlineStr">
        <is>
          <t>XAUUSD</t>
        </is>
      </c>
      <c r="C548" s="29" t="inlineStr">
        <is>
          <t>M15</t>
        </is>
      </c>
      <c r="D548" s="29" t="n">
        <v>4687.85</v>
      </c>
      <c r="E548" s="29" t="n">
        <v>4717.79398</v>
      </c>
      <c r="F548" s="29" t="n">
        <v>4695.2428</v>
      </c>
      <c r="G548" s="29" t="n">
        <v>4518.59282</v>
      </c>
      <c r="H548" s="29" t="n">
        <v>4596.05595</v>
      </c>
      <c r="I548" s="29" t="n">
        <v>4755.40355</v>
      </c>
      <c r="J548" s="29" t="n">
        <v>4792.76972</v>
      </c>
      <c r="K548" s="29" t="n">
        <v>4769.97694</v>
      </c>
      <c r="L548" s="29" t="n">
        <v>4716.33597</v>
      </c>
      <c r="M548" s="29" t="n">
        <v>4718.85043</v>
      </c>
      <c r="N548" s="29" t="n">
        <v>4531.36057</v>
      </c>
      <c r="O548" s="29" t="n">
        <v>4556.93783</v>
      </c>
      <c r="Q548" s="29" t="n">
        <v>4659.09972</v>
      </c>
      <c r="R548" s="29" t="n">
        <v>4707.11739</v>
      </c>
      <c r="S548" s="29" t="n">
        <v>4682.93377</v>
      </c>
      <c r="V548" s="29" t="n">
        <v>4626.45453</v>
      </c>
      <c r="AB548" s="29" t="n">
        <v>4687.27037</v>
      </c>
      <c r="AC548" s="29" t="n">
        <v>4686.16496</v>
      </c>
      <c r="AD548" s="29" t="n">
        <v>0</v>
      </c>
    </row>
    <row r="549" ht="14.25" customHeight="1" s="28">
      <c r="A549" s="29" t="n">
        <v>1778092201</v>
      </c>
      <c r="B549" s="29" t="inlineStr">
        <is>
          <t>XAUUSD</t>
        </is>
      </c>
      <c r="C549" s="29" t="inlineStr">
        <is>
          <t>M15</t>
        </is>
      </c>
      <c r="D549" s="29" t="n">
        <v>4686.27</v>
      </c>
      <c r="E549" s="29" t="n">
        <v>4717.79398</v>
      </c>
      <c r="F549" s="29" t="n">
        <v>4695.2428</v>
      </c>
      <c r="G549" s="29" t="n">
        <v>4518.59282</v>
      </c>
      <c r="H549" s="29" t="n">
        <v>4596.05595</v>
      </c>
      <c r="I549" s="29" t="n">
        <v>4755.40355</v>
      </c>
      <c r="J549" s="29" t="n">
        <v>4792.76972</v>
      </c>
      <c r="K549" s="29" t="n">
        <v>4769.97694</v>
      </c>
      <c r="L549" s="29" t="n">
        <v>4716.33597</v>
      </c>
      <c r="M549" s="29" t="n">
        <v>4718.85043</v>
      </c>
      <c r="N549" s="29" t="n">
        <v>4531.36057</v>
      </c>
      <c r="O549" s="29" t="n">
        <v>4556.93783</v>
      </c>
      <c r="Q549" s="29" t="n">
        <v>4659.30217</v>
      </c>
      <c r="R549" s="29" t="n">
        <v>4707.31983</v>
      </c>
      <c r="S549" s="29" t="n">
        <v>4683.13622</v>
      </c>
      <c r="V549" s="29" t="n">
        <v>4626.65698</v>
      </c>
      <c r="AB549" s="29" t="n">
        <v>4688.89683</v>
      </c>
      <c r="AC549" s="29" t="n">
        <v>4687.53089</v>
      </c>
      <c r="AD549" s="29" t="n">
        <v>0</v>
      </c>
    </row>
    <row r="550" ht="14.25" customHeight="1" s="28">
      <c r="A550" s="29" t="n">
        <v>1778093101</v>
      </c>
      <c r="B550" s="29" t="inlineStr">
        <is>
          <t>XAUUSD</t>
        </is>
      </c>
      <c r="C550" s="29" t="inlineStr">
        <is>
          <t>M15</t>
        </is>
      </c>
      <c r="D550" s="29" t="n">
        <v>4686.1</v>
      </c>
      <c r="E550" s="29" t="n">
        <v>4717.79398</v>
      </c>
      <c r="F550" s="29" t="n">
        <v>4695.2428</v>
      </c>
      <c r="G550" s="29" t="n">
        <v>4518.59282</v>
      </c>
      <c r="H550" s="29" t="n">
        <v>4596.05595</v>
      </c>
      <c r="I550" s="29" t="n">
        <v>4755.40355</v>
      </c>
      <c r="J550" s="29" t="n">
        <v>4792.76972</v>
      </c>
      <c r="K550" s="29" t="n">
        <v>4769.97694</v>
      </c>
      <c r="L550" s="29" t="n">
        <v>4716.33597</v>
      </c>
      <c r="M550" s="29" t="n">
        <v>4718.85043</v>
      </c>
      <c r="N550" s="29" t="n">
        <v>4531.36057</v>
      </c>
      <c r="O550" s="29" t="n">
        <v>4556.93783</v>
      </c>
      <c r="Q550" s="29" t="n">
        <v>4659.50461</v>
      </c>
      <c r="R550" s="29" t="n">
        <v>4707.52228</v>
      </c>
      <c r="S550" s="29" t="n">
        <v>4683.33866</v>
      </c>
      <c r="V550" s="29" t="n">
        <v>4626.85942</v>
      </c>
      <c r="AB550" s="29" t="n">
        <v>4690.63568</v>
      </c>
      <c r="AC550" s="29" t="n">
        <v>4689.08329</v>
      </c>
      <c r="AD550" s="29" t="n">
        <v>0</v>
      </c>
    </row>
    <row r="551" ht="14.25" customHeight="1" s="28">
      <c r="A551" s="29" t="n">
        <v>1778094001</v>
      </c>
      <c r="B551" s="29" t="inlineStr">
        <is>
          <t>XAUUSD</t>
        </is>
      </c>
      <c r="C551" s="29" t="inlineStr">
        <is>
          <t>M15</t>
        </is>
      </c>
      <c r="D551" s="29" t="n">
        <v>4695.28</v>
      </c>
      <c r="E551" s="29" t="n">
        <v>4717.79398</v>
      </c>
      <c r="F551" s="29" t="n">
        <v>4695.2428</v>
      </c>
      <c r="G551" s="29" t="n">
        <v>4518.59282</v>
      </c>
      <c r="H551" s="29" t="n">
        <v>4596.05595</v>
      </c>
      <c r="I551" s="29" t="n">
        <v>4755.40355</v>
      </c>
      <c r="J551" s="29" t="n">
        <v>4792.76972</v>
      </c>
      <c r="K551" s="29" t="n">
        <v>4769.97694</v>
      </c>
      <c r="L551" s="29" t="n">
        <v>4716.33597</v>
      </c>
      <c r="M551" s="29" t="n">
        <v>4718.85043</v>
      </c>
      <c r="N551" s="29" t="n">
        <v>4531.36057</v>
      </c>
      <c r="O551" s="29" t="n">
        <v>4556.93783</v>
      </c>
      <c r="Q551" s="29" t="n">
        <v>4659.70706</v>
      </c>
      <c r="R551" s="29" t="n">
        <v>4707.72472</v>
      </c>
      <c r="S551" s="29" t="n">
        <v>4683.54111</v>
      </c>
      <c r="V551" s="29" t="n">
        <v>4627.06187</v>
      </c>
      <c r="AB551" s="29" t="n">
        <v>4692.34036</v>
      </c>
      <c r="AC551" s="29" t="n">
        <v>4690.71182</v>
      </c>
      <c r="AD551" s="29" t="n">
        <v>0</v>
      </c>
    </row>
    <row r="552" ht="14.25" customHeight="1" s="28">
      <c r="A552" s="29" t="n">
        <v>1778094901</v>
      </c>
      <c r="B552" s="29" t="inlineStr">
        <is>
          <t>XAUUSD</t>
        </is>
      </c>
      <c r="C552" s="29" t="inlineStr">
        <is>
          <t>M15</t>
        </is>
      </c>
      <c r="D552" s="29" t="n">
        <v>4698.51</v>
      </c>
      <c r="E552" s="29" t="n">
        <v>4717.79398</v>
      </c>
      <c r="F552" s="29" t="n">
        <v>4695.2428</v>
      </c>
      <c r="G552" s="29" t="n">
        <v>4518.59282</v>
      </c>
      <c r="H552" s="29" t="n">
        <v>4596.05595</v>
      </c>
      <c r="I552" s="29" t="n">
        <v>4755.40355</v>
      </c>
      <c r="J552" s="29" t="n">
        <v>4792.76972</v>
      </c>
      <c r="K552" s="29" t="n">
        <v>4769.97694</v>
      </c>
      <c r="L552" s="29" t="n">
        <v>4716.33597</v>
      </c>
      <c r="M552" s="29" t="n">
        <v>4718.85043</v>
      </c>
      <c r="N552" s="29" t="n">
        <v>4531.36057</v>
      </c>
      <c r="O552" s="29" t="n">
        <v>4556.93783</v>
      </c>
      <c r="Q552" s="29" t="n">
        <v>4659.9095</v>
      </c>
      <c r="R552" s="29" t="n">
        <v>4707.92717</v>
      </c>
      <c r="S552" s="29" t="n">
        <v>4683.74356</v>
      </c>
      <c r="V552" s="29" t="n">
        <v>4627.26431</v>
      </c>
      <c r="AB552" s="29" t="n">
        <v>4693.61055</v>
      </c>
      <c r="AC552" s="29" t="n">
        <v>4692.16119</v>
      </c>
      <c r="AD552" s="29" t="n">
        <v>0</v>
      </c>
    </row>
    <row r="553" ht="14.25" customHeight="1" s="28">
      <c r="A553" s="29" t="n">
        <v>1778095801</v>
      </c>
      <c r="B553" s="29" t="inlineStr">
        <is>
          <t>XAUUSD</t>
        </is>
      </c>
      <c r="C553" s="29" t="inlineStr">
        <is>
          <t>M15</t>
        </is>
      </c>
      <c r="D553" s="29" t="n">
        <v>4695.4</v>
      </c>
      <c r="E553" s="29" t="n">
        <v>4717.79398</v>
      </c>
      <c r="F553" s="29" t="n">
        <v>4695.2428</v>
      </c>
      <c r="G553" s="29" t="n">
        <v>4518.59282</v>
      </c>
      <c r="H553" s="29" t="n">
        <v>4596.05595</v>
      </c>
      <c r="I553" s="29" t="n">
        <v>4755.40355</v>
      </c>
      <c r="J553" s="29" t="n">
        <v>4792.76972</v>
      </c>
      <c r="K553" s="29" t="n">
        <v>4769.97694</v>
      </c>
      <c r="L553" s="29" t="n">
        <v>4716.33597</v>
      </c>
      <c r="M553" s="29" t="n">
        <v>4718.85043</v>
      </c>
      <c r="N553" s="29" t="n">
        <v>4531.36057</v>
      </c>
      <c r="O553" s="29" t="n">
        <v>4556.93783</v>
      </c>
      <c r="Q553" s="29" t="n">
        <v>4660.11195</v>
      </c>
      <c r="R553" s="29" t="n">
        <v>4708.12961</v>
      </c>
      <c r="S553" s="29" t="n">
        <v>4683.946</v>
      </c>
      <c r="V553" s="29" t="n">
        <v>4627.46676</v>
      </c>
      <c r="AB553" s="29" t="n">
        <v>4694.29578</v>
      </c>
      <c r="AC553" s="29" t="n">
        <v>4693.22848</v>
      </c>
      <c r="AD553" s="29" t="n">
        <v>0</v>
      </c>
    </row>
    <row r="554" ht="14.25" customHeight="1" s="28">
      <c r="A554" s="29" t="n">
        <v>1778096701</v>
      </c>
      <c r="B554" s="29" t="inlineStr">
        <is>
          <t>XAUUSD</t>
        </is>
      </c>
      <c r="C554" s="29" t="inlineStr">
        <is>
          <t>M15</t>
        </is>
      </c>
      <c r="D554" s="29" t="n">
        <v>4692.6</v>
      </c>
      <c r="E554" s="29" t="n">
        <v>4717.79398</v>
      </c>
      <c r="F554" s="29" t="n">
        <v>4695.2428</v>
      </c>
      <c r="G554" s="29" t="n">
        <v>4518.59282</v>
      </c>
      <c r="H554" s="29" t="n">
        <v>4596.05595</v>
      </c>
      <c r="I554" s="29" t="n">
        <v>4755.40355</v>
      </c>
      <c r="J554" s="29" t="n">
        <v>4792.76972</v>
      </c>
      <c r="K554" s="29" t="n">
        <v>4769.97694</v>
      </c>
      <c r="L554" s="29" t="n">
        <v>4716.33597</v>
      </c>
      <c r="M554" s="29" t="n">
        <v>4718.85043</v>
      </c>
      <c r="N554" s="29" t="n">
        <v>4531.36057</v>
      </c>
      <c r="O554" s="29" t="n">
        <v>4556.93783</v>
      </c>
      <c r="Q554" s="29" t="n">
        <v>4660.3144</v>
      </c>
      <c r="R554" s="29" t="n">
        <v>4708.33206</v>
      </c>
      <c r="S554" s="29" t="n">
        <v>4684.14845</v>
      </c>
      <c r="V554" s="29" t="n">
        <v>4627.6692</v>
      </c>
      <c r="AB554" s="29" t="n">
        <v>4694.54766</v>
      </c>
      <c r="AC554" s="29" t="n">
        <v>4693.88807</v>
      </c>
      <c r="AD554" s="29" t="n">
        <v>0</v>
      </c>
    </row>
    <row r="555" ht="14.25" customHeight="1" s="28">
      <c r="A555" s="29" t="n">
        <v>1778097601</v>
      </c>
      <c r="B555" s="29" t="inlineStr">
        <is>
          <t>XAUUSD</t>
        </is>
      </c>
      <c r="C555" s="29" t="inlineStr">
        <is>
          <t>M15</t>
        </is>
      </c>
      <c r="D555" s="29" t="n">
        <v>4698.99</v>
      </c>
      <c r="E555" s="29" t="n">
        <v>4717.79398</v>
      </c>
      <c r="F555" s="29" t="n">
        <v>4695.2428</v>
      </c>
      <c r="G555" s="29" t="n">
        <v>4518.59282</v>
      </c>
      <c r="H555" s="29" t="n">
        <v>4596.05595</v>
      </c>
      <c r="I555" s="29" t="n">
        <v>4755.40355</v>
      </c>
      <c r="J555" s="29" t="n">
        <v>4792.76972</v>
      </c>
      <c r="K555" s="29" t="n">
        <v>4769.97694</v>
      </c>
      <c r="L555" s="29" t="n">
        <v>4716.33597</v>
      </c>
      <c r="M555" s="29" t="n">
        <v>4718.85043</v>
      </c>
      <c r="N555" s="29" t="n">
        <v>4531.36057</v>
      </c>
      <c r="O555" s="29" t="n">
        <v>4556.93783</v>
      </c>
      <c r="Q555" s="29" t="n">
        <v>4660.51684</v>
      </c>
      <c r="R555" s="29" t="n">
        <v>4708.53451</v>
      </c>
      <c r="S555" s="29" t="n">
        <v>4684.35089</v>
      </c>
      <c r="V555" s="29" t="n">
        <v>4627.87165</v>
      </c>
      <c r="AB555" s="29" t="n">
        <v>4694.54007</v>
      </c>
      <c r="AC555" s="29" t="n">
        <v>4694.21407</v>
      </c>
      <c r="AD555" s="29" t="n">
        <v>0</v>
      </c>
    </row>
    <row r="556" ht="14.25" customHeight="1" s="28">
      <c r="A556" s="29" t="n">
        <v>1778098501</v>
      </c>
      <c r="B556" s="29" t="inlineStr">
        <is>
          <t>XAUUSD</t>
        </is>
      </c>
      <c r="C556" s="29" t="inlineStr">
        <is>
          <t>M15</t>
        </is>
      </c>
      <c r="D556" s="29" t="n">
        <v>4692.65</v>
      </c>
      <c r="E556" s="29" t="n">
        <v>4717.79398</v>
      </c>
      <c r="F556" s="29" t="n">
        <v>4695.2428</v>
      </c>
      <c r="G556" s="29" t="n">
        <v>4518.59282</v>
      </c>
      <c r="H556" s="29" t="n">
        <v>4596.05595</v>
      </c>
      <c r="I556" s="29" t="n">
        <v>4755.40355</v>
      </c>
      <c r="J556" s="29" t="n">
        <v>4792.76972</v>
      </c>
      <c r="K556" s="29" t="n">
        <v>4769.97694</v>
      </c>
      <c r="L556" s="29" t="n">
        <v>4716.33597</v>
      </c>
      <c r="M556" s="29" t="n">
        <v>4718.85043</v>
      </c>
      <c r="N556" s="29" t="n">
        <v>4531.36057</v>
      </c>
      <c r="O556" s="29" t="n">
        <v>4556.93783</v>
      </c>
      <c r="Q556" s="29" t="n">
        <v>4660.71929</v>
      </c>
      <c r="R556" s="29" t="n">
        <v>4708.73695</v>
      </c>
      <c r="S556" s="29" t="n">
        <v>4684.55334</v>
      </c>
      <c r="V556" s="29" t="n">
        <v>4628.07409</v>
      </c>
      <c r="AB556" s="29" t="n">
        <v>4694.25959</v>
      </c>
      <c r="AC556" s="29" t="n">
        <v>4694.23683</v>
      </c>
      <c r="AD556" s="29" t="n">
        <v>0</v>
      </c>
    </row>
    <row r="557" ht="14.25" customHeight="1" s="28">
      <c r="A557" s="29" t="n">
        <v>1778099401</v>
      </c>
      <c r="B557" s="29" t="inlineStr">
        <is>
          <t>XAUUSD</t>
        </is>
      </c>
      <c r="C557" s="29" t="inlineStr">
        <is>
          <t>M15</t>
        </is>
      </c>
      <c r="D557" s="29" t="n">
        <v>4689.09</v>
      </c>
      <c r="E557" s="29" t="n">
        <v>4717.79398</v>
      </c>
      <c r="F557" s="29" t="n">
        <v>4695.2428</v>
      </c>
      <c r="G557" s="29" t="n">
        <v>4518.59282</v>
      </c>
      <c r="H557" s="29" t="n">
        <v>4596.05595</v>
      </c>
      <c r="I557" s="29" t="n">
        <v>4755.40355</v>
      </c>
      <c r="J557" s="29" t="n">
        <v>4792.76972</v>
      </c>
      <c r="K557" s="29" t="n">
        <v>4769.97694</v>
      </c>
      <c r="L557" s="29" t="n">
        <v>4716.33597</v>
      </c>
      <c r="M557" s="29" t="n">
        <v>4718.85043</v>
      </c>
      <c r="N557" s="29" t="n">
        <v>4531.36057</v>
      </c>
      <c r="O557" s="29" t="n">
        <v>4556.93783</v>
      </c>
      <c r="Q557" s="29" t="n">
        <v>4660.92173</v>
      </c>
      <c r="R557" s="29" t="n">
        <v>4708.9394</v>
      </c>
      <c r="S557" s="29" t="n">
        <v>4684.75578</v>
      </c>
      <c r="V557" s="29" t="n">
        <v>4628.27654</v>
      </c>
      <c r="AB557" s="29" t="n">
        <v>4694.06466</v>
      </c>
      <c r="AC557" s="29" t="n">
        <v>4694.15075</v>
      </c>
      <c r="AD557" s="29" t="n">
        <v>1</v>
      </c>
    </row>
    <row r="558" ht="14.25" customHeight="1" s="28">
      <c r="A558" s="29" t="n">
        <v>1778100301</v>
      </c>
      <c r="B558" s="29" t="inlineStr">
        <is>
          <t>XAUUSD</t>
        </is>
      </c>
      <c r="C558" s="29" t="inlineStr">
        <is>
          <t>M15</t>
        </is>
      </c>
      <c r="D558" s="29" t="n">
        <v>4690.95</v>
      </c>
      <c r="E558" s="29" t="n">
        <v>4717.79398</v>
      </c>
      <c r="F558" s="29" t="n">
        <v>4695.2428</v>
      </c>
      <c r="G558" s="29" t="n">
        <v>4518.59282</v>
      </c>
      <c r="H558" s="29" t="n">
        <v>4596.05595</v>
      </c>
      <c r="I558" s="29" t="n">
        <v>4755.40355</v>
      </c>
      <c r="J558" s="29" t="n">
        <v>4792.76972</v>
      </c>
      <c r="K558" s="29" t="n">
        <v>4769.97694</v>
      </c>
      <c r="L558" s="29" t="n">
        <v>4716.33597</v>
      </c>
      <c r="M558" s="29" t="n">
        <v>4718.85043</v>
      </c>
      <c r="N558" s="29" t="n">
        <v>4531.36057</v>
      </c>
      <c r="O558" s="29" t="n">
        <v>4556.93783</v>
      </c>
      <c r="Q558" s="29" t="n">
        <v>4661.12418</v>
      </c>
      <c r="R558" s="29" t="n">
        <v>4709.14184</v>
      </c>
      <c r="S558" s="29" t="n">
        <v>4684.95823</v>
      </c>
      <c r="V558" s="29" t="n">
        <v>4628.47899</v>
      </c>
      <c r="AB558" s="29" t="n">
        <v>4694.181</v>
      </c>
      <c r="AC558" s="29" t="n">
        <v>4694.16587</v>
      </c>
      <c r="AD558" s="29" t="n">
        <v>1</v>
      </c>
    </row>
    <row r="559" ht="14.25" customHeight="1" s="28">
      <c r="A559" s="29" t="n">
        <v>1778104801</v>
      </c>
      <c r="B559" s="29" t="inlineStr">
        <is>
          <t>XAUUSD</t>
        </is>
      </c>
      <c r="C559" s="29" t="inlineStr">
        <is>
          <t>M15</t>
        </is>
      </c>
      <c r="D559" s="29" t="n">
        <v>4697.18</v>
      </c>
      <c r="E559" s="29" t="n">
        <v>4717.79398</v>
      </c>
      <c r="F559" s="29" t="n">
        <v>4695.2428</v>
      </c>
      <c r="G559" s="29" t="n">
        <v>4518.59282</v>
      </c>
      <c r="H559" s="29" t="n">
        <v>4596.05595</v>
      </c>
      <c r="I559" s="29" t="n">
        <v>4755.40355</v>
      </c>
      <c r="J559" s="29" t="n">
        <v>4792.76972</v>
      </c>
      <c r="K559" s="29" t="n">
        <v>4769.97694</v>
      </c>
      <c r="L559" s="29" t="n">
        <v>4716.33597</v>
      </c>
      <c r="M559" s="29" t="n">
        <v>4718.85043</v>
      </c>
      <c r="N559" s="29" t="n">
        <v>4531.36057</v>
      </c>
      <c r="O559" s="29" t="n">
        <v>4556.93783</v>
      </c>
      <c r="Q559" s="29" t="n">
        <v>4661.32662</v>
      </c>
      <c r="R559" s="29" t="n">
        <v>4709.34429</v>
      </c>
      <c r="S559" s="29" t="n">
        <v>4685.16068</v>
      </c>
      <c r="V559" s="29" t="n">
        <v>4628.68143</v>
      </c>
      <c r="AB559" s="29" t="n">
        <v>4694.5928</v>
      </c>
      <c r="AC559" s="29" t="n">
        <v>4694.37934</v>
      </c>
      <c r="AD559" s="29" t="n">
        <v>0</v>
      </c>
    </row>
    <row r="560" ht="14.25" customHeight="1" s="28">
      <c r="A560" s="29" t="n">
        <v>1778105701</v>
      </c>
      <c r="B560" s="29" t="inlineStr">
        <is>
          <t>XAUUSD</t>
        </is>
      </c>
      <c r="C560" s="29" t="inlineStr">
        <is>
          <t>M15</t>
        </is>
      </c>
      <c r="D560" s="29" t="n">
        <v>4695.42</v>
      </c>
      <c r="E560" s="29" t="n">
        <v>4717.79398</v>
      </c>
      <c r="F560" s="29" t="n">
        <v>4695.2428</v>
      </c>
      <c r="G560" s="29" t="n">
        <v>4518.59282</v>
      </c>
      <c r="H560" s="29" t="n">
        <v>4596.05595</v>
      </c>
      <c r="I560" s="29" t="n">
        <v>4755.40355</v>
      </c>
      <c r="J560" s="29" t="n">
        <v>4792.76972</v>
      </c>
      <c r="K560" s="29" t="n">
        <v>4769.97694</v>
      </c>
      <c r="L560" s="29" t="n">
        <v>4716.33597</v>
      </c>
      <c r="M560" s="29" t="n">
        <v>4718.85043</v>
      </c>
      <c r="N560" s="29" t="n">
        <v>4531.36057</v>
      </c>
      <c r="O560" s="29" t="n">
        <v>4556.93783</v>
      </c>
      <c r="Q560" s="29" t="n">
        <v>4661.52907</v>
      </c>
      <c r="R560" s="29" t="n">
        <v>4709.54673</v>
      </c>
      <c r="S560" s="29" t="n">
        <v>4685.36312</v>
      </c>
      <c r="V560" s="29" t="n">
        <v>4628.88388</v>
      </c>
      <c r="AB560" s="29" t="n">
        <v>4695.02797</v>
      </c>
      <c r="AC560" s="29" t="n">
        <v>4694.70365</v>
      </c>
      <c r="AD560" s="29" t="n">
        <v>0</v>
      </c>
    </row>
    <row r="561" ht="14.25" customHeight="1" s="28">
      <c r="A561" s="29" t="n">
        <v>1778106601</v>
      </c>
      <c r="B561" s="29" t="inlineStr">
        <is>
          <t>XAUUSD</t>
        </is>
      </c>
      <c r="C561" s="29" t="inlineStr">
        <is>
          <t>M15</t>
        </is>
      </c>
      <c r="D561" s="29" t="n">
        <v>4698.63</v>
      </c>
      <c r="E561" s="29" t="n">
        <v>4717.79398</v>
      </c>
      <c r="F561" s="29" t="n">
        <v>4695.2428</v>
      </c>
      <c r="G561" s="29" t="n">
        <v>4518.59282</v>
      </c>
      <c r="H561" s="29" t="n">
        <v>4596.05595</v>
      </c>
      <c r="I561" s="29" t="n">
        <v>4755.40355</v>
      </c>
      <c r="J561" s="29" t="n">
        <v>4792.76972</v>
      </c>
      <c r="K561" s="29" t="n">
        <v>4769.97694</v>
      </c>
      <c r="L561" s="29" t="n">
        <v>4716.33597</v>
      </c>
      <c r="M561" s="29" t="n">
        <v>4718.85043</v>
      </c>
      <c r="N561" s="29" t="n">
        <v>4531.36057</v>
      </c>
      <c r="O561" s="29" t="n">
        <v>4556.93783</v>
      </c>
      <c r="Q561" s="29" t="n">
        <v>4661.73152</v>
      </c>
      <c r="R561" s="29" t="n">
        <v>4709.74918</v>
      </c>
      <c r="S561" s="29" t="n">
        <v>4685.56557</v>
      </c>
      <c r="V561" s="29" t="n">
        <v>4629.08632</v>
      </c>
      <c r="AB561" s="29" t="n">
        <v>4695.40277</v>
      </c>
      <c r="AC561" s="29" t="n">
        <v>4695.05321</v>
      </c>
      <c r="AD561" s="29" t="n">
        <v>0</v>
      </c>
    </row>
    <row r="562" ht="14.25" customHeight="1" s="28">
      <c r="A562" s="29" t="n">
        <v>1778107501</v>
      </c>
      <c r="B562" s="29" t="inlineStr">
        <is>
          <t>XAUUSD</t>
        </is>
      </c>
      <c r="C562" s="29" t="inlineStr">
        <is>
          <t>M15</t>
        </is>
      </c>
      <c r="D562" s="29" t="n">
        <v>4694.94</v>
      </c>
      <c r="E562" s="29" t="n">
        <v>4717.79398</v>
      </c>
      <c r="F562" s="29" t="n">
        <v>4695.2428</v>
      </c>
      <c r="G562" s="29" t="n">
        <v>4518.59282</v>
      </c>
      <c r="H562" s="29" t="n">
        <v>4596.05595</v>
      </c>
      <c r="I562" s="29" t="n">
        <v>4755.40355</v>
      </c>
      <c r="J562" s="29" t="n">
        <v>4792.76972</v>
      </c>
      <c r="K562" s="29" t="n">
        <v>4769.97694</v>
      </c>
      <c r="L562" s="29" t="n">
        <v>4716.33597</v>
      </c>
      <c r="M562" s="29" t="n">
        <v>4718.85043</v>
      </c>
      <c r="N562" s="29" t="n">
        <v>4531.36057</v>
      </c>
      <c r="O562" s="29" t="n">
        <v>4556.93783</v>
      </c>
      <c r="Q562" s="29" t="n">
        <v>4661.93396</v>
      </c>
      <c r="R562" s="29" t="n">
        <v>4709.95163</v>
      </c>
      <c r="S562" s="29" t="n">
        <v>4685.76801</v>
      </c>
      <c r="V562" s="29" t="n">
        <v>4629.28877</v>
      </c>
      <c r="AB562" s="29" t="n">
        <v>4695.48865</v>
      </c>
      <c r="AC562" s="29" t="n">
        <v>4695.27093</v>
      </c>
      <c r="AD562" s="29" t="n">
        <v>0</v>
      </c>
    </row>
    <row r="563" ht="14.25" customHeight="1" s="28">
      <c r="A563" s="29" t="n">
        <v>1778108401</v>
      </c>
      <c r="B563" s="29" t="inlineStr">
        <is>
          <t>XAUUSD</t>
        </is>
      </c>
      <c r="C563" s="29" t="inlineStr">
        <is>
          <t>M15</t>
        </is>
      </c>
      <c r="D563" s="29" t="n">
        <v>4694.41</v>
      </c>
      <c r="E563" s="29" t="n">
        <v>4717.79398</v>
      </c>
      <c r="F563" s="29" t="n">
        <v>4695.2428</v>
      </c>
      <c r="G563" s="29" t="n">
        <v>4518.59282</v>
      </c>
      <c r="H563" s="29" t="n">
        <v>4596.05595</v>
      </c>
      <c r="I563" s="29" t="n">
        <v>4755.40355</v>
      </c>
      <c r="J563" s="29" t="n">
        <v>4792.76972</v>
      </c>
      <c r="K563" s="29" t="n">
        <v>4769.97694</v>
      </c>
      <c r="L563" s="29" t="n">
        <v>4716.33597</v>
      </c>
      <c r="M563" s="29" t="n">
        <v>4718.85043</v>
      </c>
      <c r="N563" s="29" t="n">
        <v>4531.36057</v>
      </c>
      <c r="O563" s="29" t="n">
        <v>4556.93783</v>
      </c>
      <c r="Q563" s="29" t="n">
        <v>4662.13641</v>
      </c>
      <c r="R563" s="29" t="n">
        <v>4710.15407</v>
      </c>
      <c r="S563" s="29" t="n">
        <v>4685.97046</v>
      </c>
      <c r="V563" s="29" t="n">
        <v>4629.49121</v>
      </c>
      <c r="AB563" s="29" t="n">
        <v>4695.3319</v>
      </c>
      <c r="AC563" s="29" t="n">
        <v>4695.30142</v>
      </c>
      <c r="AD563" s="29" t="n">
        <v>0</v>
      </c>
    </row>
    <row r="564" ht="14.25" customHeight="1" s="28">
      <c r="A564" s="29" t="n">
        <v>1778109301</v>
      </c>
      <c r="B564" s="29" t="inlineStr">
        <is>
          <t>XAUUSD</t>
        </is>
      </c>
      <c r="C564" s="29" t="inlineStr">
        <is>
          <t>M15</t>
        </is>
      </c>
      <c r="D564" s="29" t="n">
        <v>4693.6</v>
      </c>
      <c r="E564" s="29" t="n">
        <v>4717.79398</v>
      </c>
      <c r="F564" s="29" t="n">
        <v>4695.2428</v>
      </c>
      <c r="G564" s="29" t="n">
        <v>4518.59282</v>
      </c>
      <c r="H564" s="29" t="n">
        <v>4596.05595</v>
      </c>
      <c r="I564" s="29" t="n">
        <v>4755.40355</v>
      </c>
      <c r="J564" s="29" t="n">
        <v>4792.76972</v>
      </c>
      <c r="K564" s="29" t="n">
        <v>4769.97694</v>
      </c>
      <c r="L564" s="29" t="n">
        <v>4716.33597</v>
      </c>
      <c r="M564" s="29" t="n">
        <v>4718.85043</v>
      </c>
      <c r="N564" s="29" t="n">
        <v>4531.36057</v>
      </c>
      <c r="O564" s="29" t="n">
        <v>4556.93783</v>
      </c>
      <c r="Q564" s="29" t="n">
        <v>4662.33885</v>
      </c>
      <c r="R564" s="29" t="n">
        <v>4710.35652</v>
      </c>
      <c r="S564" s="29" t="n">
        <v>4686.1729</v>
      </c>
      <c r="V564" s="29" t="n">
        <v>4629.69366</v>
      </c>
      <c r="AB564" s="29" t="n">
        <v>4694.94249</v>
      </c>
      <c r="AC564" s="29" t="n">
        <v>4695.12195</v>
      </c>
      <c r="AD564" s="29" t="n">
        <v>1</v>
      </c>
    </row>
    <row r="565" ht="14.25" customHeight="1" s="28">
      <c r="A565" s="29" t="n">
        <v>1778110201</v>
      </c>
      <c r="B565" s="29" t="inlineStr">
        <is>
          <t>XAUUSD</t>
        </is>
      </c>
      <c r="C565" s="29" t="inlineStr">
        <is>
          <t>M15</t>
        </is>
      </c>
      <c r="D565" s="29" t="n">
        <v>4693.6</v>
      </c>
      <c r="E565" s="29" t="n">
        <v>4717.79398</v>
      </c>
      <c r="F565" s="29" t="n">
        <v>4695.2428</v>
      </c>
      <c r="G565" s="29" t="n">
        <v>4518.59282</v>
      </c>
      <c r="H565" s="29" t="n">
        <v>4596.05595</v>
      </c>
      <c r="I565" s="29" t="n">
        <v>4755.40355</v>
      </c>
      <c r="J565" s="29" t="n">
        <v>4792.76972</v>
      </c>
      <c r="K565" s="29" t="n">
        <v>4769.97694</v>
      </c>
      <c r="L565" s="29" t="n">
        <v>4716.33597</v>
      </c>
      <c r="M565" s="29" t="n">
        <v>4718.85043</v>
      </c>
      <c r="N565" s="29" t="n">
        <v>4531.36057</v>
      </c>
      <c r="O565" s="29" t="n">
        <v>4556.93783</v>
      </c>
      <c r="Q565" s="29" t="n">
        <v>4662.5413</v>
      </c>
      <c r="R565" s="29" t="n">
        <v>4710.55896</v>
      </c>
      <c r="S565" s="29" t="n">
        <v>4686.37535</v>
      </c>
      <c r="V565" s="29" t="n">
        <v>4629.89611</v>
      </c>
      <c r="AB565" s="29" t="n">
        <v>4694.53213</v>
      </c>
      <c r="AC565" s="29" t="n">
        <v>4694.82704</v>
      </c>
      <c r="AD565" s="29" t="n">
        <v>0</v>
      </c>
    </row>
    <row r="566" ht="14.25" customHeight="1" s="28">
      <c r="A566" s="29" t="n">
        <v>1778111101</v>
      </c>
      <c r="B566" s="29" t="inlineStr">
        <is>
          <t>XAUUSD</t>
        </is>
      </c>
      <c r="C566" s="29" t="inlineStr">
        <is>
          <t>M15</t>
        </is>
      </c>
      <c r="D566" s="29" t="n">
        <v>4699</v>
      </c>
      <c r="E566" s="29" t="n">
        <v>4717.79398</v>
      </c>
      <c r="F566" s="29" t="n">
        <v>4695.2428</v>
      </c>
      <c r="G566" s="29" t="n">
        <v>4518.59282</v>
      </c>
      <c r="H566" s="29" t="n">
        <v>4596.05595</v>
      </c>
      <c r="I566" s="29" t="n">
        <v>4755.40355</v>
      </c>
      <c r="J566" s="29" t="n">
        <v>4792.76972</v>
      </c>
      <c r="K566" s="29" t="n">
        <v>4769.97694</v>
      </c>
      <c r="L566" s="29" t="n">
        <v>4716.33597</v>
      </c>
      <c r="M566" s="29" t="n">
        <v>4718.85043</v>
      </c>
      <c r="N566" s="29" t="n">
        <v>4531.36057</v>
      </c>
      <c r="O566" s="29" t="n">
        <v>4556.93783</v>
      </c>
      <c r="Q566" s="29" t="n">
        <v>4662.74374</v>
      </c>
      <c r="R566" s="29" t="n">
        <v>4710.76141</v>
      </c>
      <c r="S566" s="29" t="n">
        <v>4686.5778</v>
      </c>
      <c r="V566" s="29" t="n">
        <v>4630.09855</v>
      </c>
      <c r="AB566" s="29" t="n">
        <v>4694.32063</v>
      </c>
      <c r="AC566" s="29" t="n">
        <v>4694.57383</v>
      </c>
      <c r="AD566" s="29" t="n">
        <v>0</v>
      </c>
    </row>
    <row r="567" ht="14.25" customHeight="1" s="28">
      <c r="A567" s="29" t="n">
        <v>1778112001</v>
      </c>
      <c r="B567" s="29" t="inlineStr">
        <is>
          <t>XAUUSD</t>
        </is>
      </c>
      <c r="C567" s="29" t="inlineStr">
        <is>
          <t>M15</t>
        </is>
      </c>
      <c r="D567" s="29" t="n">
        <v>4699.88</v>
      </c>
      <c r="E567" s="29" t="n">
        <v>4717.79398</v>
      </c>
      <c r="F567" s="29" t="n">
        <v>4695.2428</v>
      </c>
      <c r="G567" s="29" t="n">
        <v>4518.59282</v>
      </c>
      <c r="H567" s="29" t="n">
        <v>4596.05595</v>
      </c>
      <c r="I567" s="29" t="n">
        <v>4755.40355</v>
      </c>
      <c r="J567" s="29" t="n">
        <v>4792.76972</v>
      </c>
      <c r="K567" s="29" t="n">
        <v>4769.97694</v>
      </c>
      <c r="L567" s="29" t="n">
        <v>4716.33597</v>
      </c>
      <c r="M567" s="29" t="n">
        <v>4718.85043</v>
      </c>
      <c r="N567" s="29" t="n">
        <v>4531.36057</v>
      </c>
      <c r="O567" s="29" t="n">
        <v>4556.93783</v>
      </c>
      <c r="Q567" s="29" t="n">
        <v>4662.94619</v>
      </c>
      <c r="R567" s="29" t="n">
        <v>4710.96385</v>
      </c>
      <c r="S567" s="29" t="n">
        <v>4686.78024</v>
      </c>
      <c r="V567" s="29" t="n">
        <v>4630.301</v>
      </c>
      <c r="AB567" s="29" t="n">
        <v>4694.41583</v>
      </c>
      <c r="AC567" s="29" t="n">
        <v>4694.49483</v>
      </c>
      <c r="AD567" s="29" t="n">
        <v>0</v>
      </c>
    </row>
    <row r="568" ht="14.25" customHeight="1" s="28">
      <c r="A568" s="29" t="n">
        <v>1778112901</v>
      </c>
      <c r="B568" s="29" t="inlineStr">
        <is>
          <t>XAUUSD</t>
        </is>
      </c>
      <c r="C568" s="29" t="inlineStr">
        <is>
          <t>M15</t>
        </is>
      </c>
      <c r="D568" s="29" t="n">
        <v>4692.51</v>
      </c>
      <c r="E568" s="29" t="n">
        <v>4717.79398</v>
      </c>
      <c r="F568" s="29" t="n">
        <v>4695.2428</v>
      </c>
      <c r="G568" s="29" t="n">
        <v>4518.59282</v>
      </c>
      <c r="H568" s="29" t="n">
        <v>4596.05595</v>
      </c>
      <c r="I568" s="29" t="n">
        <v>4755.40355</v>
      </c>
      <c r="J568" s="29" t="n">
        <v>4792.76972</v>
      </c>
      <c r="K568" s="29" t="n">
        <v>4769.97694</v>
      </c>
      <c r="L568" s="29" t="n">
        <v>4716.33597</v>
      </c>
      <c r="M568" s="29" t="n">
        <v>4718.85043</v>
      </c>
      <c r="N568" s="29" t="n">
        <v>4531.36057</v>
      </c>
      <c r="O568" s="29" t="n">
        <v>4556.93783</v>
      </c>
      <c r="Q568" s="29" t="n">
        <v>4663.14863</v>
      </c>
      <c r="R568" s="29" t="n">
        <v>4711.1663</v>
      </c>
      <c r="S568" s="29" t="n">
        <v>4686.98269</v>
      </c>
      <c r="V568" s="29" t="n">
        <v>4630.50344</v>
      </c>
      <c r="AB568" s="29" t="n">
        <v>4694.99582</v>
      </c>
      <c r="AC568" s="29" t="n">
        <v>4694.74533</v>
      </c>
      <c r="AD568" s="29" t="n">
        <v>1</v>
      </c>
    </row>
    <row r="569" ht="14.25" customHeight="1" s="28">
      <c r="A569" s="29" t="n">
        <v>1778113801</v>
      </c>
      <c r="B569" s="29" t="inlineStr">
        <is>
          <t>XAUUSD</t>
        </is>
      </c>
      <c r="C569" s="29" t="inlineStr">
        <is>
          <t>M15</t>
        </is>
      </c>
      <c r="D569" s="29" t="n">
        <v>4688.45</v>
      </c>
      <c r="E569" s="29" t="n">
        <v>4717.79398</v>
      </c>
      <c r="F569" s="29" t="n">
        <v>4695.2428</v>
      </c>
      <c r="G569" s="29" t="n">
        <v>4518.59282</v>
      </c>
      <c r="H569" s="29" t="n">
        <v>4596.05595</v>
      </c>
      <c r="I569" s="29" t="n">
        <v>4755.40355</v>
      </c>
      <c r="J569" s="29" t="n">
        <v>4792.76972</v>
      </c>
      <c r="K569" s="29" t="n">
        <v>4769.97694</v>
      </c>
      <c r="L569" s="29" t="n">
        <v>4716.33597</v>
      </c>
      <c r="M569" s="29" t="n">
        <v>4718.85043</v>
      </c>
      <c r="N569" s="29" t="n">
        <v>4531.36057</v>
      </c>
      <c r="O569" s="29" t="n">
        <v>4556.93783</v>
      </c>
      <c r="Q569" s="29" t="n">
        <v>4663.35108</v>
      </c>
      <c r="R569" s="29" t="n">
        <v>4711.36874</v>
      </c>
      <c r="S569" s="29" t="n">
        <v>4687.18513</v>
      </c>
      <c r="V569" s="29" t="n">
        <v>4630.70589</v>
      </c>
      <c r="AB569" s="29" t="n">
        <v>4696.38361</v>
      </c>
      <c r="AC569" s="29" t="n">
        <v>4695.56447</v>
      </c>
      <c r="AD569" s="29" t="n">
        <v>0</v>
      </c>
    </row>
    <row r="570" ht="14.25" customHeight="1" s="28">
      <c r="A570" s="29" t="n">
        <v>1778114701</v>
      </c>
      <c r="B570" s="29" t="inlineStr">
        <is>
          <t>XAUUSD</t>
        </is>
      </c>
      <c r="C570" s="29" t="inlineStr">
        <is>
          <t>M15</t>
        </is>
      </c>
      <c r="D570" s="29" t="n">
        <v>4688.57</v>
      </c>
      <c r="E570" s="29" t="n">
        <v>4717.79398</v>
      </c>
      <c r="F570" s="29" t="n">
        <v>4695.2428</v>
      </c>
      <c r="G570" s="29" t="n">
        <v>4518.59282</v>
      </c>
      <c r="H570" s="29" t="n">
        <v>4596.05595</v>
      </c>
      <c r="I570" s="29" t="n">
        <v>4755.40355</v>
      </c>
      <c r="J570" s="29" t="n">
        <v>4792.76972</v>
      </c>
      <c r="K570" s="29" t="n">
        <v>4769.97694</v>
      </c>
      <c r="L570" s="29" t="n">
        <v>4716.33597</v>
      </c>
      <c r="M570" s="29" t="n">
        <v>4718.85043</v>
      </c>
      <c r="N570" s="29" t="n">
        <v>4531.36057</v>
      </c>
      <c r="O570" s="29" t="n">
        <v>4556.93783</v>
      </c>
      <c r="Q570" s="29" t="n">
        <v>4663.55353</v>
      </c>
      <c r="R570" s="29" t="n">
        <v>4711.57119</v>
      </c>
      <c r="S570" s="29" t="n">
        <v>4687.38758</v>
      </c>
      <c r="V570" s="29" t="n">
        <v>4630.90833</v>
      </c>
      <c r="AB570" s="29" t="n">
        <v>4698.654</v>
      </c>
      <c r="AC570" s="29" t="n">
        <v>4697.10923</v>
      </c>
      <c r="AD570" s="29" t="n">
        <v>0</v>
      </c>
    </row>
    <row r="571" ht="14.25" customHeight="1" s="28">
      <c r="A571" s="29" t="n">
        <v>1778115601</v>
      </c>
      <c r="B571" s="29" t="inlineStr">
        <is>
          <t>XAUUSD</t>
        </is>
      </c>
      <c r="C571" s="29" t="inlineStr">
        <is>
          <t>M15</t>
        </is>
      </c>
      <c r="D571" s="29" t="n">
        <v>4709.88</v>
      </c>
      <c r="E571" s="29" t="n">
        <v>4717.79398</v>
      </c>
      <c r="F571" s="29" t="n">
        <v>4695.2428</v>
      </c>
      <c r="G571" s="29" t="n">
        <v>4518.59282</v>
      </c>
      <c r="H571" s="29" t="n">
        <v>4596.05595</v>
      </c>
      <c r="I571" s="29" t="n">
        <v>4755.40355</v>
      </c>
      <c r="J571" s="29" t="n">
        <v>4792.76972</v>
      </c>
      <c r="K571" s="29" t="n">
        <v>4769.97694</v>
      </c>
      <c r="L571" s="29" t="n">
        <v>4716.33597</v>
      </c>
      <c r="M571" s="29" t="n">
        <v>4718.85043</v>
      </c>
      <c r="N571" s="29" t="n">
        <v>4531.36057</v>
      </c>
      <c r="O571" s="29" t="n">
        <v>4556.93783</v>
      </c>
      <c r="Q571" s="29" t="n">
        <v>4663.75597</v>
      </c>
      <c r="R571" s="29" t="n">
        <v>4711.77364</v>
      </c>
      <c r="S571" s="29" t="n">
        <v>4687.59002</v>
      </c>
      <c r="V571" s="29" t="n">
        <v>4631.11078</v>
      </c>
      <c r="AB571" s="29" t="n">
        <v>4701.56979</v>
      </c>
      <c r="AC571" s="29" t="n">
        <v>4699.33951</v>
      </c>
      <c r="AD571" s="29" t="n">
        <v>0</v>
      </c>
    </row>
    <row r="572" ht="14.25" customHeight="1" s="28">
      <c r="A572" s="29" t="n">
        <v>1778116501</v>
      </c>
      <c r="B572" s="29" t="inlineStr">
        <is>
          <t>XAUUSD</t>
        </is>
      </c>
      <c r="C572" s="29" t="inlineStr">
        <is>
          <t>M15</t>
        </is>
      </c>
      <c r="D572" s="29" t="n">
        <v>4704.22</v>
      </c>
      <c r="E572" s="29" t="n">
        <v>4717.79398</v>
      </c>
      <c r="F572" s="29" t="n">
        <v>4695.2428</v>
      </c>
      <c r="G572" s="29" t="n">
        <v>4518.59282</v>
      </c>
      <c r="H572" s="29" t="n">
        <v>4596.05595</v>
      </c>
      <c r="I572" s="29" t="n">
        <v>4755.40355</v>
      </c>
      <c r="J572" s="29" t="n">
        <v>4792.76972</v>
      </c>
      <c r="K572" s="29" t="n">
        <v>4769.97694</v>
      </c>
      <c r="L572" s="29" t="n">
        <v>4716.33597</v>
      </c>
      <c r="M572" s="29" t="n">
        <v>4718.85043</v>
      </c>
      <c r="N572" s="29" t="n">
        <v>4531.36057</v>
      </c>
      <c r="O572" s="29" t="n">
        <v>4556.93783</v>
      </c>
      <c r="Q572" s="29" t="n">
        <v>4663.95842</v>
      </c>
      <c r="R572" s="29" t="n">
        <v>4711.97608</v>
      </c>
      <c r="S572" s="29" t="n">
        <v>4687.79247</v>
      </c>
      <c r="V572" s="29" t="n">
        <v>4631.31323</v>
      </c>
      <c r="AB572" s="29" t="n">
        <v>4704.21044</v>
      </c>
      <c r="AC572" s="29" t="n">
        <v>4701.77497</v>
      </c>
      <c r="AD572" s="29" t="n">
        <v>0</v>
      </c>
    </row>
    <row r="573" ht="14.25" customHeight="1" s="28">
      <c r="A573" s="29" t="n">
        <v>1778117401</v>
      </c>
      <c r="B573" s="29" t="inlineStr">
        <is>
          <t>XAUUSD</t>
        </is>
      </c>
      <c r="C573" s="29" t="inlineStr">
        <is>
          <t>M15</t>
        </is>
      </c>
      <c r="D573" s="29" t="n">
        <v>4712.93</v>
      </c>
      <c r="E573" s="29" t="n">
        <v>4717.79398</v>
      </c>
      <c r="F573" s="29" t="n">
        <v>4695.2428</v>
      </c>
      <c r="G573" s="29" t="n">
        <v>4518.59282</v>
      </c>
      <c r="H573" s="29" t="n">
        <v>4596.05595</v>
      </c>
      <c r="I573" s="29" t="n">
        <v>4755.40355</v>
      </c>
      <c r="J573" s="29" t="n">
        <v>4792.76972</v>
      </c>
      <c r="K573" s="29" t="n">
        <v>4769.97694</v>
      </c>
      <c r="L573" s="29" t="n">
        <v>4716.33597</v>
      </c>
      <c r="M573" s="29" t="n">
        <v>4718.85043</v>
      </c>
      <c r="N573" s="29" t="n">
        <v>4531.36057</v>
      </c>
      <c r="O573" s="29" t="n">
        <v>4556.93783</v>
      </c>
      <c r="Q573" s="29" t="n">
        <v>4664.16086</v>
      </c>
      <c r="R573" s="29" t="n">
        <v>4712.17853</v>
      </c>
      <c r="S573" s="29" t="n">
        <v>4687.99492</v>
      </c>
      <c r="V573" s="29" t="n">
        <v>4631.51567</v>
      </c>
      <c r="AB573" s="29" t="n">
        <v>4706.42706</v>
      </c>
      <c r="AC573" s="29" t="n">
        <v>4704.10102</v>
      </c>
      <c r="AD573" s="29" t="n">
        <v>0</v>
      </c>
    </row>
    <row r="574" ht="14.25" customHeight="1" s="28">
      <c r="A574" s="29" t="n">
        <v>1778118301</v>
      </c>
      <c r="B574" s="29" t="inlineStr">
        <is>
          <t>XAUUSD</t>
        </is>
      </c>
      <c r="C574" s="29" t="inlineStr">
        <is>
          <t>M15</t>
        </is>
      </c>
      <c r="D574" s="29" t="n">
        <v>4714.86</v>
      </c>
      <c r="E574" s="29" t="n">
        <v>4717.79398</v>
      </c>
      <c r="F574" s="29" t="n">
        <v>4695.2428</v>
      </c>
      <c r="G574" s="29" t="n">
        <v>4518.59282</v>
      </c>
      <c r="H574" s="29" t="n">
        <v>4596.05595</v>
      </c>
      <c r="I574" s="29" t="n">
        <v>4755.40355</v>
      </c>
      <c r="J574" s="29" t="n">
        <v>4792.76972</v>
      </c>
      <c r="K574" s="29" t="n">
        <v>4769.97694</v>
      </c>
      <c r="L574" s="29" t="n">
        <v>4716.33597</v>
      </c>
      <c r="M574" s="29" t="n">
        <v>4718.85043</v>
      </c>
      <c r="N574" s="29" t="n">
        <v>4531.36057</v>
      </c>
      <c r="O574" s="29" t="n">
        <v>4556.93783</v>
      </c>
      <c r="Q574" s="29" t="n">
        <v>4664.36331</v>
      </c>
      <c r="R574" s="29" t="n">
        <v>4712.38097</v>
      </c>
      <c r="S574" s="29" t="n">
        <v>4688.19736</v>
      </c>
      <c r="V574" s="29" t="n">
        <v>4631.71812</v>
      </c>
      <c r="Z574" s="29" t="n">
        <v>4721.44</v>
      </c>
      <c r="AB574" s="29" t="n">
        <v>4707.76158</v>
      </c>
      <c r="AC574" s="29" t="n">
        <v>4705.9313</v>
      </c>
      <c r="AD574" s="29" t="n">
        <v>0</v>
      </c>
    </row>
    <row r="575" ht="14.25" customHeight="1" s="28">
      <c r="A575" s="29" t="n">
        <v>1778119201</v>
      </c>
      <c r="B575" s="29" t="inlineStr">
        <is>
          <t>XAUUSD</t>
        </is>
      </c>
      <c r="C575" s="29" t="inlineStr">
        <is>
          <t>M15</t>
        </is>
      </c>
      <c r="D575" s="29" t="n">
        <v>4704.21</v>
      </c>
      <c r="E575" s="29" t="n">
        <v>4717.79398</v>
      </c>
      <c r="F575" s="29" t="n">
        <v>4695.2428</v>
      </c>
      <c r="G575" s="29" t="n">
        <v>4518.59282</v>
      </c>
      <c r="H575" s="29" t="n">
        <v>4596.05595</v>
      </c>
      <c r="I575" s="29" t="n">
        <v>4755.40355</v>
      </c>
      <c r="J575" s="29" t="n">
        <v>4792.76972</v>
      </c>
      <c r="K575" s="29" t="n">
        <v>4769.97694</v>
      </c>
      <c r="L575" s="29" t="n">
        <v>4716.33597</v>
      </c>
      <c r="M575" s="29" t="n">
        <v>4718.85043</v>
      </c>
      <c r="N575" s="29" t="n">
        <v>4531.36057</v>
      </c>
      <c r="O575" s="29" t="n">
        <v>4556.93783</v>
      </c>
      <c r="Q575" s="29" t="n">
        <v>4664.56575</v>
      </c>
      <c r="R575" s="29" t="n">
        <v>4712.58342</v>
      </c>
      <c r="S575" s="29" t="n">
        <v>4688.39981</v>
      </c>
      <c r="V575" s="29" t="n">
        <v>4631.92056</v>
      </c>
      <c r="AB575" s="29" t="n">
        <v>4708.11905</v>
      </c>
      <c r="AC575" s="29" t="n">
        <v>4707.02517</v>
      </c>
      <c r="AD575" s="29" t="n">
        <v>0</v>
      </c>
    </row>
    <row r="576" ht="14.25" customHeight="1" s="28">
      <c r="A576" s="29" t="n">
        <v>1778120101</v>
      </c>
      <c r="B576" s="29" t="inlineStr">
        <is>
          <t>XAUUSD</t>
        </is>
      </c>
      <c r="C576" s="29" t="inlineStr">
        <is>
          <t>M15</t>
        </is>
      </c>
      <c r="D576" s="29" t="n">
        <v>4702.84</v>
      </c>
      <c r="E576" s="29" t="n">
        <v>4717.79398</v>
      </c>
      <c r="F576" s="29" t="n">
        <v>4695.2428</v>
      </c>
      <c r="G576" s="29" t="n">
        <v>4518.59282</v>
      </c>
      <c r="H576" s="29" t="n">
        <v>4596.05595</v>
      </c>
      <c r="I576" s="29" t="n">
        <v>4755.40355</v>
      </c>
      <c r="J576" s="29" t="n">
        <v>4792.76972</v>
      </c>
      <c r="K576" s="29" t="n">
        <v>4769.97694</v>
      </c>
      <c r="L576" s="29" t="n">
        <v>4716.33597</v>
      </c>
      <c r="M576" s="29" t="n">
        <v>4718.85043</v>
      </c>
      <c r="N576" s="29" t="n">
        <v>4531.36057</v>
      </c>
      <c r="O576" s="29" t="n">
        <v>4556.93783</v>
      </c>
      <c r="Q576" s="29" t="n">
        <v>4664.7682</v>
      </c>
      <c r="R576" s="29" t="n">
        <v>4712.78586</v>
      </c>
      <c r="S576" s="29" t="n">
        <v>4688.60225</v>
      </c>
      <c r="V576" s="29" t="n">
        <v>4632.12301</v>
      </c>
      <c r="AB576" s="29" t="n">
        <v>4707.89896</v>
      </c>
      <c r="AC576" s="29" t="n">
        <v>4707.46207</v>
      </c>
      <c r="AD576" s="29" t="n">
        <v>0</v>
      </c>
    </row>
    <row r="577" ht="14.25" customHeight="1" s="28">
      <c r="A577" s="29" t="n">
        <v>1778121001</v>
      </c>
      <c r="B577" s="29" t="inlineStr">
        <is>
          <t>XAUUSD</t>
        </is>
      </c>
      <c r="C577" s="29" t="inlineStr">
        <is>
          <t>M15</t>
        </is>
      </c>
      <c r="D577" s="29" t="n">
        <v>4704.24</v>
      </c>
      <c r="E577" s="29" t="n">
        <v>4717.79398</v>
      </c>
      <c r="F577" s="29" t="n">
        <v>4695.2428</v>
      </c>
      <c r="G577" s="29" t="n">
        <v>4518.59282</v>
      </c>
      <c r="H577" s="29" t="n">
        <v>4596.05595</v>
      </c>
      <c r="I577" s="29" t="n">
        <v>4755.40355</v>
      </c>
      <c r="J577" s="29" t="n">
        <v>4792.76972</v>
      </c>
      <c r="K577" s="29" t="n">
        <v>4769.97694</v>
      </c>
      <c r="L577" s="29" t="n">
        <v>4716.33597</v>
      </c>
      <c r="M577" s="29" t="n">
        <v>4718.85043</v>
      </c>
      <c r="N577" s="29" t="n">
        <v>4531.36057</v>
      </c>
      <c r="O577" s="29" t="n">
        <v>4556.93783</v>
      </c>
      <c r="Q577" s="29" t="n">
        <v>4664.97065</v>
      </c>
      <c r="R577" s="29" t="n">
        <v>4712.98831</v>
      </c>
      <c r="S577" s="29" t="n">
        <v>4688.8047</v>
      </c>
      <c r="V577" s="29" t="n">
        <v>4632.32545</v>
      </c>
      <c r="AB577" s="29" t="n">
        <v>4707.31271</v>
      </c>
      <c r="AC577" s="29" t="n">
        <v>4707.38739</v>
      </c>
      <c r="AD577" s="29" t="n">
        <v>1</v>
      </c>
    </row>
    <row r="578" ht="14.25" customHeight="1" s="28">
      <c r="A578" s="29" t="n">
        <v>1778121901</v>
      </c>
      <c r="B578" s="29" t="inlineStr">
        <is>
          <t>XAUUSD</t>
        </is>
      </c>
      <c r="C578" s="29" t="inlineStr">
        <is>
          <t>M15</t>
        </is>
      </c>
      <c r="D578" s="29" t="n">
        <v>4707.22</v>
      </c>
      <c r="E578" s="29" t="n">
        <v>4717.79398</v>
      </c>
      <c r="F578" s="29" t="n">
        <v>4695.2428</v>
      </c>
      <c r="G578" s="29" t="n">
        <v>4518.59282</v>
      </c>
      <c r="H578" s="29" t="n">
        <v>4596.05595</v>
      </c>
      <c r="I578" s="29" t="n">
        <v>4755.40355</v>
      </c>
      <c r="J578" s="29" t="n">
        <v>4792.76972</v>
      </c>
      <c r="K578" s="29" t="n">
        <v>4769.97694</v>
      </c>
      <c r="L578" s="29" t="n">
        <v>4716.33597</v>
      </c>
      <c r="M578" s="29" t="n">
        <v>4718.85043</v>
      </c>
      <c r="N578" s="29" t="n">
        <v>4531.36057</v>
      </c>
      <c r="O578" s="29" t="n">
        <v>4556.93783</v>
      </c>
      <c r="Q578" s="29" t="n">
        <v>4665.17309</v>
      </c>
      <c r="R578" s="29" t="n">
        <v>4713.19076</v>
      </c>
      <c r="S578" s="29" t="n">
        <v>4689.00714</v>
      </c>
      <c r="V578" s="29" t="n">
        <v>4632.5279</v>
      </c>
      <c r="AB578" s="29" t="n">
        <v>4706.4433</v>
      </c>
      <c r="AC578" s="29" t="n">
        <v>4706.91535</v>
      </c>
      <c r="AD578" s="29" t="n">
        <v>0</v>
      </c>
    </row>
    <row r="579" ht="14.25" customHeight="1" s="28">
      <c r="A579" s="29" t="n">
        <v>1778122801</v>
      </c>
      <c r="B579" s="29" t="inlineStr">
        <is>
          <t>XAUUSD</t>
        </is>
      </c>
      <c r="C579" s="29" t="inlineStr">
        <is>
          <t>M15</t>
        </is>
      </c>
      <c r="D579" s="29" t="n">
        <v>4705.93</v>
      </c>
      <c r="E579" s="29" t="n">
        <v>4717.79398</v>
      </c>
      <c r="F579" s="29" t="n">
        <v>4695.2428</v>
      </c>
      <c r="G579" s="29" t="n">
        <v>4518.59282</v>
      </c>
      <c r="H579" s="29" t="n">
        <v>4596.05595</v>
      </c>
      <c r="I579" s="29" t="n">
        <v>4755.40355</v>
      </c>
      <c r="J579" s="29" t="n">
        <v>4792.76972</v>
      </c>
      <c r="K579" s="29" t="n">
        <v>4769.97694</v>
      </c>
      <c r="L579" s="29" t="n">
        <v>4716.33597</v>
      </c>
      <c r="M579" s="29" t="n">
        <v>4718.85043</v>
      </c>
      <c r="N579" s="29" t="n">
        <v>4531.36057</v>
      </c>
      <c r="O579" s="29" t="n">
        <v>4556.93783</v>
      </c>
      <c r="Q579" s="29" t="n">
        <v>4665.37554</v>
      </c>
      <c r="R579" s="29" t="n">
        <v>4713.3932</v>
      </c>
      <c r="S579" s="29" t="n">
        <v>4689.20959</v>
      </c>
      <c r="V579" s="29" t="n">
        <v>4632.73035</v>
      </c>
      <c r="AB579" s="29" t="n">
        <v>4705.29124</v>
      </c>
      <c r="AC579" s="29" t="n">
        <v>4706.10329</v>
      </c>
      <c r="AD579" s="29" t="n">
        <v>0</v>
      </c>
    </row>
    <row r="580" ht="14.25" customHeight="1" s="28">
      <c r="A580" s="29" t="n">
        <v>1778123701</v>
      </c>
      <c r="B580" s="29" t="inlineStr">
        <is>
          <t>XAUUSD</t>
        </is>
      </c>
      <c r="C580" s="29" t="inlineStr">
        <is>
          <t>M15</t>
        </is>
      </c>
      <c r="D580" s="29" t="n">
        <v>4704.6</v>
      </c>
      <c r="E580" s="29" t="n">
        <v>4717.79398</v>
      </c>
      <c r="F580" s="29" t="n">
        <v>4695.2428</v>
      </c>
      <c r="G580" s="29" t="n">
        <v>4518.59282</v>
      </c>
      <c r="H580" s="29" t="n">
        <v>4596.05595</v>
      </c>
      <c r="I580" s="29" t="n">
        <v>4755.40355</v>
      </c>
      <c r="J580" s="29" t="n">
        <v>4792.76972</v>
      </c>
      <c r="K580" s="29" t="n">
        <v>4769.97694</v>
      </c>
      <c r="L580" s="29" t="n">
        <v>4716.33597</v>
      </c>
      <c r="M580" s="29" t="n">
        <v>4718.85043</v>
      </c>
      <c r="N580" s="29" t="n">
        <v>4531.36057</v>
      </c>
      <c r="O580" s="29" t="n">
        <v>4556.93783</v>
      </c>
      <c r="Q580" s="29" t="n">
        <v>4665.57798</v>
      </c>
      <c r="R580" s="29" t="n">
        <v>4713.59565</v>
      </c>
      <c r="S580" s="29" t="n">
        <v>4689.41204</v>
      </c>
      <c r="V580" s="29" t="n">
        <v>4632.93279</v>
      </c>
      <c r="AB580" s="29" t="n">
        <v>4703.90696</v>
      </c>
      <c r="AC580" s="29" t="n">
        <v>4705.00513</v>
      </c>
      <c r="AD580" s="29" t="n">
        <v>0</v>
      </c>
    </row>
    <row r="581" ht="14.25" customHeight="1" s="28">
      <c r="A581" s="29" t="n">
        <v>1778124601</v>
      </c>
      <c r="B581" s="29" t="inlineStr">
        <is>
          <t>XAUUSD</t>
        </is>
      </c>
      <c r="C581" s="29" t="inlineStr">
        <is>
          <t>M15</t>
        </is>
      </c>
      <c r="D581" s="29" t="n">
        <v>4703.96</v>
      </c>
      <c r="E581" s="29" t="n">
        <v>4717.79398</v>
      </c>
      <c r="F581" s="29" t="n">
        <v>4695.2428</v>
      </c>
      <c r="G581" s="29" t="n">
        <v>4518.59282</v>
      </c>
      <c r="H581" s="29" t="n">
        <v>4596.05595</v>
      </c>
      <c r="I581" s="29" t="n">
        <v>4755.40355</v>
      </c>
      <c r="J581" s="29" t="n">
        <v>4792.76972</v>
      </c>
      <c r="K581" s="29" t="n">
        <v>4769.97694</v>
      </c>
      <c r="L581" s="29" t="n">
        <v>4716.33597</v>
      </c>
      <c r="M581" s="29" t="n">
        <v>4718.85043</v>
      </c>
      <c r="N581" s="29" t="n">
        <v>4531.36057</v>
      </c>
      <c r="O581" s="29" t="n">
        <v>4556.93783</v>
      </c>
      <c r="Q581" s="29" t="n">
        <v>4665.78043</v>
      </c>
      <c r="R581" s="29" t="n">
        <v>4713.79809</v>
      </c>
      <c r="S581" s="29" t="n">
        <v>4689.61448</v>
      </c>
      <c r="V581" s="29" t="n">
        <v>4633.13524</v>
      </c>
      <c r="AB581" s="29" t="n">
        <v>4702.32311</v>
      </c>
      <c r="AC581" s="29" t="n">
        <v>4703.66412</v>
      </c>
      <c r="AD581" s="29" t="n">
        <v>0</v>
      </c>
    </row>
    <row r="582" ht="14.25" customHeight="1" s="28">
      <c r="A582" s="29" t="n">
        <v>1778125501</v>
      </c>
      <c r="B582" s="29" t="inlineStr">
        <is>
          <t>XAUUSD</t>
        </is>
      </c>
      <c r="C582" s="29" t="inlineStr">
        <is>
          <t>M15</t>
        </is>
      </c>
      <c r="D582" s="29" t="n">
        <v>4699.11</v>
      </c>
      <c r="E582" s="29" t="n">
        <v>4717.79398</v>
      </c>
      <c r="F582" s="29" t="n">
        <v>4695.2428</v>
      </c>
      <c r="G582" s="29" t="n">
        <v>4518.59282</v>
      </c>
      <c r="H582" s="29" t="n">
        <v>4596.05595</v>
      </c>
      <c r="I582" s="29" t="n">
        <v>4755.40355</v>
      </c>
      <c r="J582" s="29" t="n">
        <v>4792.76972</v>
      </c>
      <c r="K582" s="29" t="n">
        <v>4769.97694</v>
      </c>
      <c r="L582" s="29" t="n">
        <v>4716.33597</v>
      </c>
      <c r="M582" s="29" t="n">
        <v>4718.85043</v>
      </c>
      <c r="N582" s="29" t="n">
        <v>4531.36057</v>
      </c>
      <c r="O582" s="29" t="n">
        <v>4556.93783</v>
      </c>
      <c r="Q582" s="29" t="n">
        <v>4665.98287</v>
      </c>
      <c r="R582" s="29" t="n">
        <v>4714.00054</v>
      </c>
      <c r="S582" s="29" t="n">
        <v>4689.81693</v>
      </c>
      <c r="V582" s="29" t="n">
        <v>4633.33768</v>
      </c>
      <c r="AB582" s="29" t="n">
        <v>4700.54031</v>
      </c>
      <c r="AC582" s="29" t="n">
        <v>4702.10221</v>
      </c>
      <c r="AD582" s="29" t="n">
        <v>0</v>
      </c>
    </row>
    <row r="583" ht="14.25" customHeight="1" s="28">
      <c r="A583" s="29" t="n">
        <v>1778126401</v>
      </c>
      <c r="B583" s="29" t="inlineStr">
        <is>
          <t>XAUUSD</t>
        </is>
      </c>
      <c r="C583" s="29" t="inlineStr">
        <is>
          <t>M15</t>
        </is>
      </c>
      <c r="D583" s="29" t="n">
        <v>4696.87</v>
      </c>
      <c r="E583" s="29" t="n">
        <v>4717.79398</v>
      </c>
      <c r="F583" s="29" t="n">
        <v>4695.2428</v>
      </c>
      <c r="G583" s="29" t="n">
        <v>4518.59282</v>
      </c>
      <c r="H583" s="29" t="n">
        <v>4596.05595</v>
      </c>
      <c r="I583" s="29" t="n">
        <v>4755.40355</v>
      </c>
      <c r="J583" s="29" t="n">
        <v>4792.76972</v>
      </c>
      <c r="K583" s="29" t="n">
        <v>4769.97694</v>
      </c>
      <c r="L583" s="29" t="n">
        <v>4716.33597</v>
      </c>
      <c r="M583" s="29" t="n">
        <v>4718.85043</v>
      </c>
      <c r="N583" s="29" t="n">
        <v>4531.36057</v>
      </c>
      <c r="O583" s="29" t="n">
        <v>4556.93783</v>
      </c>
      <c r="Q583" s="29" t="n">
        <v>4666.18532</v>
      </c>
      <c r="R583" s="29" t="n">
        <v>4714.20298</v>
      </c>
      <c r="S583" s="29" t="n">
        <v>4690.01937</v>
      </c>
      <c r="V583" s="29" t="n">
        <v>4633.54013</v>
      </c>
      <c r="AB583" s="29" t="n">
        <v>4698.72013</v>
      </c>
      <c r="AC583" s="29" t="n">
        <v>4700.41117</v>
      </c>
      <c r="AD583" s="29" t="n">
        <v>0</v>
      </c>
    </row>
    <row r="584" ht="14.25" customHeight="1" s="28">
      <c r="A584" s="29" t="n">
        <v>1778127301</v>
      </c>
      <c r="B584" s="29" t="inlineStr">
        <is>
          <t>XAUUSD</t>
        </is>
      </c>
      <c r="C584" s="29" t="inlineStr">
        <is>
          <t>M15</t>
        </is>
      </c>
      <c r="D584" s="29" t="n">
        <v>4696.79</v>
      </c>
      <c r="E584" s="29" t="n">
        <v>4717.79398</v>
      </c>
      <c r="F584" s="29" t="n">
        <v>4695.2428</v>
      </c>
      <c r="G584" s="29" t="n">
        <v>4518.59282</v>
      </c>
      <c r="H584" s="29" t="n">
        <v>4596.05595</v>
      </c>
      <c r="I584" s="29" t="n">
        <v>4755.40355</v>
      </c>
      <c r="J584" s="29" t="n">
        <v>4792.76972</v>
      </c>
      <c r="K584" s="29" t="n">
        <v>4769.97694</v>
      </c>
      <c r="L584" s="29" t="n">
        <v>4716.33597</v>
      </c>
      <c r="M584" s="29" t="n">
        <v>4718.85043</v>
      </c>
      <c r="N584" s="29" t="n">
        <v>4531.36057</v>
      </c>
      <c r="O584" s="29" t="n">
        <v>4556.93783</v>
      </c>
      <c r="Q584" s="29" t="n">
        <v>4666.38777</v>
      </c>
      <c r="R584" s="29" t="n">
        <v>4714.40543</v>
      </c>
      <c r="S584" s="29" t="n">
        <v>4690.22182</v>
      </c>
      <c r="V584" s="29" t="n">
        <v>4633.74257</v>
      </c>
      <c r="AB584" s="29" t="n">
        <v>4697.05429</v>
      </c>
      <c r="AC584" s="29" t="n">
        <v>4698.73273</v>
      </c>
      <c r="AD584" s="29" t="n">
        <v>0</v>
      </c>
    </row>
    <row r="585" ht="14.25" customHeight="1" s="28">
      <c r="A585" s="29" t="n">
        <v>1778128201</v>
      </c>
      <c r="B585" s="29" t="inlineStr">
        <is>
          <t>XAUUSD</t>
        </is>
      </c>
      <c r="C585" s="29" t="inlineStr">
        <is>
          <t>M15</t>
        </is>
      </c>
      <c r="D585" s="29" t="n">
        <v>4698.15</v>
      </c>
      <c r="E585" s="29" t="n">
        <v>4717.79398</v>
      </c>
      <c r="F585" s="29" t="n">
        <v>4695.2428</v>
      </c>
      <c r="G585" s="29" t="n">
        <v>4518.59282</v>
      </c>
      <c r="H585" s="29" t="n">
        <v>4596.05595</v>
      </c>
      <c r="I585" s="29" t="n">
        <v>4755.40355</v>
      </c>
      <c r="J585" s="29" t="n">
        <v>4792.76972</v>
      </c>
      <c r="K585" s="29" t="n">
        <v>4769.97694</v>
      </c>
      <c r="L585" s="29" t="n">
        <v>4716.33597</v>
      </c>
      <c r="M585" s="29" t="n">
        <v>4718.85043</v>
      </c>
      <c r="N585" s="29" t="n">
        <v>4531.36057</v>
      </c>
      <c r="O585" s="29" t="n">
        <v>4556.93783</v>
      </c>
      <c r="Q585" s="29" t="n">
        <v>4666.59021</v>
      </c>
      <c r="R585" s="29" t="n">
        <v>4714.60788</v>
      </c>
      <c r="S585" s="29" t="n">
        <v>4690.42426</v>
      </c>
      <c r="V585" s="29" t="n">
        <v>4633.94502</v>
      </c>
      <c r="AB585" s="29" t="n">
        <v>4695.78868</v>
      </c>
      <c r="AC585" s="29" t="n">
        <v>4697.26071</v>
      </c>
      <c r="AD585" s="29" t="n">
        <v>0</v>
      </c>
    </row>
    <row r="586" ht="14.25" customHeight="1" s="28">
      <c r="A586" s="29" t="n">
        <v>1778129101</v>
      </c>
      <c r="B586" s="29" t="inlineStr">
        <is>
          <t>XAUUSD</t>
        </is>
      </c>
      <c r="C586" s="29" t="inlineStr">
        <is>
          <t>M15</t>
        </is>
      </c>
      <c r="D586" s="29" t="n">
        <v>4696.48</v>
      </c>
      <c r="E586" s="29" t="n">
        <v>4717.79398</v>
      </c>
      <c r="F586" s="29" t="n">
        <v>4695.2428</v>
      </c>
      <c r="G586" s="29" t="n">
        <v>4518.59282</v>
      </c>
      <c r="H586" s="29" t="n">
        <v>4596.05595</v>
      </c>
      <c r="I586" s="29" t="n">
        <v>4755.40355</v>
      </c>
      <c r="J586" s="29" t="n">
        <v>4792.76972</v>
      </c>
      <c r="K586" s="29" t="n">
        <v>4769.97694</v>
      </c>
      <c r="L586" s="29" t="n">
        <v>4716.33597</v>
      </c>
      <c r="M586" s="29" t="n">
        <v>4718.85043</v>
      </c>
      <c r="N586" s="29" t="n">
        <v>4531.36057</v>
      </c>
      <c r="O586" s="29" t="n">
        <v>4556.93783</v>
      </c>
      <c r="Q586" s="29" t="n">
        <v>4666.79266</v>
      </c>
      <c r="R586" s="29" t="n">
        <v>4714.81032</v>
      </c>
      <c r="S586" s="29" t="n">
        <v>4690.62671</v>
      </c>
      <c r="V586" s="29" t="n">
        <v>4634.14747</v>
      </c>
      <c r="AB586" s="29" t="n">
        <v>4695.23468</v>
      </c>
      <c r="AC586" s="29" t="n">
        <v>4696.24769</v>
      </c>
      <c r="AD586" s="29" t="n">
        <v>0</v>
      </c>
    </row>
    <row r="587" ht="14.25" customHeight="1" s="28">
      <c r="A587" s="29" t="n">
        <v>1778130001</v>
      </c>
      <c r="B587" s="29" t="inlineStr">
        <is>
          <t>XAUUSD</t>
        </is>
      </c>
      <c r="C587" s="29" t="inlineStr">
        <is>
          <t>M15</t>
        </is>
      </c>
      <c r="D587" s="29" t="n">
        <v>4700.45</v>
      </c>
      <c r="E587" s="29" t="n">
        <v>4717.79398</v>
      </c>
      <c r="F587" s="29" t="n">
        <v>4695.2428</v>
      </c>
      <c r="G587" s="29" t="n">
        <v>4518.59282</v>
      </c>
      <c r="H587" s="29" t="n">
        <v>4596.05595</v>
      </c>
      <c r="I587" s="29" t="n">
        <v>4755.40355</v>
      </c>
      <c r="J587" s="29" t="n">
        <v>4792.76972</v>
      </c>
      <c r="K587" s="29" t="n">
        <v>4769.97694</v>
      </c>
      <c r="L587" s="29" t="n">
        <v>4716.33597</v>
      </c>
      <c r="M587" s="29" t="n">
        <v>4718.85043</v>
      </c>
      <c r="N587" s="29" t="n">
        <v>4531.36057</v>
      </c>
      <c r="O587" s="29" t="n">
        <v>4556.93783</v>
      </c>
      <c r="Q587" s="29" t="n">
        <v>4666.9951</v>
      </c>
      <c r="R587" s="29" t="n">
        <v>4715.01277</v>
      </c>
      <c r="S587" s="29" t="n">
        <v>4690.82916</v>
      </c>
      <c r="V587" s="29" t="n">
        <v>4634.34991</v>
      </c>
      <c r="AB587" s="29" t="n">
        <v>4695.88746</v>
      </c>
      <c r="AC587" s="29" t="n">
        <v>4696.06758</v>
      </c>
      <c r="AD587" s="29" t="n">
        <v>0</v>
      </c>
    </row>
    <row r="588" ht="14.25" customHeight="1" s="28">
      <c r="A588" s="29" t="n">
        <v>1778130901</v>
      </c>
      <c r="B588" s="29" t="inlineStr">
        <is>
          <t>XAUUSD</t>
        </is>
      </c>
      <c r="C588" s="29" t="inlineStr">
        <is>
          <t>M15</t>
        </is>
      </c>
      <c r="D588" s="29" t="n">
        <v>4696.05</v>
      </c>
      <c r="E588" s="29" t="n">
        <v>4717.79398</v>
      </c>
      <c r="F588" s="29" t="n">
        <v>4695.2428</v>
      </c>
      <c r="G588" s="29" t="n">
        <v>4518.59282</v>
      </c>
      <c r="H588" s="29" t="n">
        <v>4596.05595</v>
      </c>
      <c r="I588" s="29" t="n">
        <v>4755.40355</v>
      </c>
      <c r="J588" s="29" t="n">
        <v>4792.76972</v>
      </c>
      <c r="K588" s="29" t="n">
        <v>4769.97694</v>
      </c>
      <c r="L588" s="29" t="n">
        <v>4716.33597</v>
      </c>
      <c r="M588" s="29" t="n">
        <v>4718.85043</v>
      </c>
      <c r="N588" s="29" t="n">
        <v>4531.36057</v>
      </c>
      <c r="O588" s="29" t="n">
        <v>4556.93783</v>
      </c>
      <c r="Q588" s="29" t="n">
        <v>4667.19755</v>
      </c>
      <c r="R588" s="29" t="n">
        <v>4715.21521</v>
      </c>
      <c r="S588" s="29" t="n">
        <v>4691.0316</v>
      </c>
      <c r="V588" s="29" t="n">
        <v>4634.55236</v>
      </c>
      <c r="AB588" s="29" t="n">
        <v>4698.03002</v>
      </c>
      <c r="AC588" s="29" t="n">
        <v>4697.0488</v>
      </c>
      <c r="AD588" s="29" t="n">
        <v>1</v>
      </c>
    </row>
    <row r="589" ht="14.25" customHeight="1" s="28">
      <c r="A589" s="29" t="n">
        <v>1778131801</v>
      </c>
      <c r="B589" s="29" t="inlineStr">
        <is>
          <t>XAUUSD</t>
        </is>
      </c>
      <c r="C589" s="29" t="inlineStr">
        <is>
          <t>M15</t>
        </is>
      </c>
      <c r="D589" s="29" t="n">
        <v>4703.63</v>
      </c>
      <c r="E589" s="29" t="n">
        <v>4717.79398</v>
      </c>
      <c r="F589" s="29" t="n">
        <v>4695.2428</v>
      </c>
      <c r="G589" s="29" t="n">
        <v>4518.59282</v>
      </c>
      <c r="H589" s="29" t="n">
        <v>4596.05595</v>
      </c>
      <c r="I589" s="29" t="n">
        <v>4755.40355</v>
      </c>
      <c r="J589" s="29" t="n">
        <v>4792.76972</v>
      </c>
      <c r="K589" s="29" t="n">
        <v>4769.97694</v>
      </c>
      <c r="L589" s="29" t="n">
        <v>4716.33597</v>
      </c>
      <c r="M589" s="29" t="n">
        <v>4718.85043</v>
      </c>
      <c r="N589" s="29" t="n">
        <v>4531.36057</v>
      </c>
      <c r="O589" s="29" t="n">
        <v>4556.93783</v>
      </c>
      <c r="Q589" s="29" t="n">
        <v>4667.39999</v>
      </c>
      <c r="R589" s="29" t="n">
        <v>4715.41766</v>
      </c>
      <c r="S589" s="29" t="n">
        <v>4691.23405</v>
      </c>
      <c r="V589" s="29" t="n">
        <v>4634.7548</v>
      </c>
      <c r="AB589" s="29" t="n">
        <v>4702.06245</v>
      </c>
      <c r="AC589" s="29" t="n">
        <v>4699.55563</v>
      </c>
      <c r="AD589" s="29" t="n">
        <v>0</v>
      </c>
    </row>
    <row r="590" ht="14.25" customHeight="1" s="28">
      <c r="A590" s="29" t="n">
        <v>1778132701</v>
      </c>
      <c r="B590" s="29" t="inlineStr">
        <is>
          <t>XAUUSD</t>
        </is>
      </c>
      <c r="C590" s="29" t="inlineStr">
        <is>
          <t>M15</t>
        </is>
      </c>
      <c r="D590" s="29" t="n">
        <v>4701.22</v>
      </c>
      <c r="E590" s="29" t="n">
        <v>4717.79398</v>
      </c>
      <c r="F590" s="29" t="n">
        <v>4695.2428</v>
      </c>
      <c r="G590" s="29" t="n">
        <v>4518.59282</v>
      </c>
      <c r="H590" s="29" t="n">
        <v>4596.05595</v>
      </c>
      <c r="I590" s="29" t="n">
        <v>4755.40355</v>
      </c>
      <c r="J590" s="29" t="n">
        <v>4792.76972</v>
      </c>
      <c r="K590" s="29" t="n">
        <v>4769.97694</v>
      </c>
      <c r="L590" s="29" t="n">
        <v>4716.33597</v>
      </c>
      <c r="M590" s="29" t="n">
        <v>4718.85043</v>
      </c>
      <c r="N590" s="29" t="n">
        <v>4531.36057</v>
      </c>
      <c r="O590" s="29" t="n">
        <v>4556.93783</v>
      </c>
      <c r="Q590" s="29" t="n">
        <v>4667.60244</v>
      </c>
      <c r="R590" s="29" t="n">
        <v>4715.6201</v>
      </c>
      <c r="S590" s="29" t="n">
        <v>4691.43649</v>
      </c>
      <c r="V590" s="29" t="n">
        <v>4634.95725</v>
      </c>
      <c r="AB590" s="29" t="n">
        <v>4707.83891</v>
      </c>
      <c r="AC590" s="29" t="n">
        <v>4703.69727</v>
      </c>
      <c r="AD590" s="29" t="n">
        <v>0</v>
      </c>
    </row>
    <row r="591" ht="14.25" customHeight="1" s="28">
      <c r="A591" s="29" t="n">
        <v>1778133601</v>
      </c>
      <c r="B591" s="29" t="inlineStr">
        <is>
          <t>XAUUSD</t>
        </is>
      </c>
      <c r="C591" s="29" t="inlineStr">
        <is>
          <t>M15</t>
        </is>
      </c>
      <c r="D591" s="29" t="n">
        <v>4708.23</v>
      </c>
      <c r="E591" s="29" t="n">
        <v>4717.79398</v>
      </c>
      <c r="F591" s="29" t="n">
        <v>4695.2428</v>
      </c>
      <c r="G591" s="29" t="n">
        <v>4518.59282</v>
      </c>
      <c r="H591" s="29" t="n">
        <v>4596.05595</v>
      </c>
      <c r="I591" s="29" t="n">
        <v>4755.40355</v>
      </c>
      <c r="J591" s="29" t="n">
        <v>4792.76972</v>
      </c>
      <c r="K591" s="29" t="n">
        <v>4769.97694</v>
      </c>
      <c r="L591" s="29" t="n">
        <v>4716.33597</v>
      </c>
      <c r="M591" s="29" t="n">
        <v>4718.85043</v>
      </c>
      <c r="N591" s="29" t="n">
        <v>4531.36057</v>
      </c>
      <c r="O591" s="29" t="n">
        <v>4556.93783</v>
      </c>
      <c r="Q591" s="29" t="n">
        <v>4667.80489</v>
      </c>
      <c r="R591" s="29" t="n">
        <v>4715.82255</v>
      </c>
      <c r="S591" s="29" t="n">
        <v>4691.63894</v>
      </c>
      <c r="V591" s="29" t="n">
        <v>4635.15969</v>
      </c>
      <c r="AB591" s="29" t="n">
        <v>4715.16619</v>
      </c>
      <c r="AC591" s="29" t="n">
        <v>4709.43173</v>
      </c>
      <c r="AD591" s="29" t="n">
        <v>0</v>
      </c>
    </row>
    <row r="592" ht="14.25" customHeight="1" s="28">
      <c r="A592" s="29" t="n">
        <v>1778134501</v>
      </c>
      <c r="B592" s="29" t="inlineStr">
        <is>
          <t>XAUUSD</t>
        </is>
      </c>
      <c r="C592" s="29" t="inlineStr">
        <is>
          <t>M15</t>
        </is>
      </c>
      <c r="D592" s="29" t="n">
        <v>4717.42</v>
      </c>
      <c r="E592" s="29" t="n">
        <v>4717.79398</v>
      </c>
      <c r="F592" s="29" t="n">
        <v>4695.2428</v>
      </c>
      <c r="G592" s="29" t="n">
        <v>4518.59282</v>
      </c>
      <c r="H592" s="29" t="n">
        <v>4596.05595</v>
      </c>
      <c r="I592" s="29" t="n">
        <v>4755.40355</v>
      </c>
      <c r="J592" s="29" t="n">
        <v>4792.76972</v>
      </c>
      <c r="K592" s="29" t="n">
        <v>4769.97694</v>
      </c>
      <c r="L592" s="29" t="n">
        <v>4716.33597</v>
      </c>
      <c r="M592" s="29" t="n">
        <v>4718.85043</v>
      </c>
      <c r="N592" s="29" t="n">
        <v>4531.36057</v>
      </c>
      <c r="O592" s="29" t="n">
        <v>4556.93783</v>
      </c>
      <c r="Q592" s="29" t="n">
        <v>4668.00733</v>
      </c>
      <c r="R592" s="29" t="n">
        <v>4716.025</v>
      </c>
      <c r="S592" s="29" t="n">
        <v>4691.84138</v>
      </c>
      <c r="V592" s="29" t="n">
        <v>4635.36214</v>
      </c>
      <c r="AB592" s="29" t="n">
        <v>4723.3297</v>
      </c>
      <c r="AC592" s="29" t="n">
        <v>4716.38072</v>
      </c>
      <c r="AD592" s="29" t="n">
        <v>0</v>
      </c>
    </row>
    <row r="593" ht="14.25" customHeight="1" s="28">
      <c r="A593" s="29" t="n">
        <v>1778135401</v>
      </c>
      <c r="B593" s="29" t="inlineStr">
        <is>
          <t>XAUUSD</t>
        </is>
      </c>
      <c r="C593" s="29" t="inlineStr">
        <is>
          <t>M15</t>
        </is>
      </c>
      <c r="D593" s="29" t="n">
        <v>4746.02</v>
      </c>
      <c r="E593" s="29" t="n">
        <v>4717.79398</v>
      </c>
      <c r="F593" s="29" t="n">
        <v>4695.2428</v>
      </c>
      <c r="G593" s="29" t="n">
        <v>4518.59282</v>
      </c>
      <c r="H593" s="29" t="n">
        <v>4596.05595</v>
      </c>
      <c r="I593" s="29" t="n">
        <v>4755.40355</v>
      </c>
      <c r="J593" s="29" t="n">
        <v>4792.76972</v>
      </c>
      <c r="K593" s="29" t="n">
        <v>4769.97694</v>
      </c>
      <c r="L593" s="29" t="n">
        <v>4716.33597</v>
      </c>
      <c r="M593" s="29" t="n">
        <v>4718.85043</v>
      </c>
      <c r="N593" s="29" t="n">
        <v>4531.36057</v>
      </c>
      <c r="O593" s="29" t="n">
        <v>4556.93783</v>
      </c>
      <c r="Q593" s="29" t="n">
        <v>4668.20978</v>
      </c>
      <c r="R593" s="29" t="n">
        <v>4716.22744</v>
      </c>
      <c r="S593" s="29" t="n">
        <v>4692.04383</v>
      </c>
      <c r="V593" s="29" t="n">
        <v>4635.56459</v>
      </c>
      <c r="AB593" s="29" t="n">
        <v>4731.39375</v>
      </c>
      <c r="AC593" s="29" t="n">
        <v>4723.88723</v>
      </c>
      <c r="AD593" s="29" t="n">
        <v>0</v>
      </c>
    </row>
    <row r="594" ht="14.25" customHeight="1" s="28">
      <c r="A594" s="29" t="n">
        <v>1778136301</v>
      </c>
      <c r="B594" s="29" t="inlineStr">
        <is>
          <t>XAUUSD</t>
        </is>
      </c>
      <c r="C594" s="29" t="inlineStr">
        <is>
          <t>M15</t>
        </is>
      </c>
      <c r="D594" s="29" t="n">
        <v>4739.12</v>
      </c>
      <c r="E594" s="29" t="n">
        <v>4717.79398</v>
      </c>
      <c r="F594" s="29" t="n">
        <v>4695.2428</v>
      </c>
      <c r="G594" s="29" t="n">
        <v>4518.59282</v>
      </c>
      <c r="H594" s="29" t="n">
        <v>4596.05595</v>
      </c>
      <c r="I594" s="29" t="n">
        <v>4755.40355</v>
      </c>
      <c r="J594" s="29" t="n">
        <v>4792.76972</v>
      </c>
      <c r="K594" s="29" t="n">
        <v>4769.97694</v>
      </c>
      <c r="L594" s="29" t="n">
        <v>4716.33597</v>
      </c>
      <c r="M594" s="29" t="n">
        <v>4718.85043</v>
      </c>
      <c r="N594" s="29" t="n">
        <v>4531.36057</v>
      </c>
      <c r="O594" s="29" t="n">
        <v>4556.93783</v>
      </c>
      <c r="Q594" s="29" t="n">
        <v>4668.41222</v>
      </c>
      <c r="R594" s="29" t="n">
        <v>4716.42989</v>
      </c>
      <c r="S594" s="29" t="n">
        <v>4692.24628</v>
      </c>
      <c r="V594" s="29" t="n">
        <v>4635.76703</v>
      </c>
      <c r="AB594" s="29" t="n">
        <v>4737.87875</v>
      </c>
      <c r="AC594" s="29" t="n">
        <v>4730.88299</v>
      </c>
      <c r="AD594" s="29" t="n">
        <v>0</v>
      </c>
    </row>
    <row r="595" ht="14.25" customHeight="1" s="28">
      <c r="A595" s="29" t="n">
        <v>1778137201</v>
      </c>
      <c r="B595" s="29" t="inlineStr">
        <is>
          <t>XAUUSD</t>
        </is>
      </c>
      <c r="C595" s="29" t="inlineStr">
        <is>
          <t>M15</t>
        </is>
      </c>
      <c r="D595" s="29" t="n">
        <v>4749.05</v>
      </c>
      <c r="E595" s="29" t="n">
        <v>4717.79398</v>
      </c>
      <c r="F595" s="29" t="n">
        <v>4695.2428</v>
      </c>
      <c r="G595" s="29" t="n">
        <v>4518.59282</v>
      </c>
      <c r="H595" s="29" t="n">
        <v>4596.05595</v>
      </c>
      <c r="I595" s="29" t="n">
        <v>4755.40355</v>
      </c>
      <c r="J595" s="29" t="n">
        <v>4792.76972</v>
      </c>
      <c r="K595" s="29" t="n">
        <v>4769.97694</v>
      </c>
      <c r="L595" s="29" t="n">
        <v>4716.33597</v>
      </c>
      <c r="M595" s="29" t="n">
        <v>4718.85043</v>
      </c>
      <c r="N595" s="29" t="n">
        <v>4531.36057</v>
      </c>
      <c r="O595" s="29" t="n">
        <v>4556.93783</v>
      </c>
      <c r="Q595" s="29" t="n">
        <v>4668.61467</v>
      </c>
      <c r="R595" s="29" t="n">
        <v>4716.63233</v>
      </c>
      <c r="S595" s="29" t="n">
        <v>4692.44872</v>
      </c>
      <c r="V595" s="29" t="n">
        <v>4635.96948</v>
      </c>
      <c r="AB595" s="29" t="n">
        <v>4742.49282</v>
      </c>
      <c r="AC595" s="29" t="n">
        <v>4736.68791</v>
      </c>
      <c r="AD595" s="29" t="n">
        <v>0</v>
      </c>
    </row>
    <row r="596" ht="14.25" customHeight="1" s="28">
      <c r="A596" s="29" t="n">
        <v>1778138101</v>
      </c>
      <c r="B596" s="29" t="inlineStr">
        <is>
          <t>XAUUSD</t>
        </is>
      </c>
      <c r="C596" s="29" t="inlineStr">
        <is>
          <t>M15</t>
        </is>
      </c>
      <c r="D596" s="29" t="n">
        <v>4739.5</v>
      </c>
      <c r="E596" s="29" t="n">
        <v>4717.79398</v>
      </c>
      <c r="F596" s="29" t="n">
        <v>4695.2428</v>
      </c>
      <c r="G596" s="29" t="n">
        <v>4518.59282</v>
      </c>
      <c r="H596" s="29" t="n">
        <v>4596.05595</v>
      </c>
      <c r="I596" s="29" t="n">
        <v>4755.40355</v>
      </c>
      <c r="J596" s="29" t="n">
        <v>4792.76972</v>
      </c>
      <c r="K596" s="29" t="n">
        <v>4769.97694</v>
      </c>
      <c r="L596" s="29" t="n">
        <v>4716.33597</v>
      </c>
      <c r="M596" s="29" t="n">
        <v>4718.85043</v>
      </c>
      <c r="N596" s="29" t="n">
        <v>4531.36057</v>
      </c>
      <c r="O596" s="29" t="n">
        <v>4556.93783</v>
      </c>
      <c r="Q596" s="29" t="n">
        <v>4668.81711</v>
      </c>
      <c r="R596" s="29" t="n">
        <v>4716.83478</v>
      </c>
      <c r="S596" s="29" t="n">
        <v>4692.65117</v>
      </c>
      <c r="V596" s="29" t="n">
        <v>4636.17192</v>
      </c>
      <c r="AB596" s="29" t="n">
        <v>4744.80855</v>
      </c>
      <c r="AC596" s="29" t="n">
        <v>4740.74823</v>
      </c>
      <c r="AD596" s="29" t="n">
        <v>0</v>
      </c>
    </row>
    <row r="597" ht="14.25" customHeight="1" s="28">
      <c r="A597" s="29" t="n">
        <v>1778139001</v>
      </c>
      <c r="B597" s="29" t="inlineStr">
        <is>
          <t>XAUUSD</t>
        </is>
      </c>
      <c r="C597" s="29" t="inlineStr">
        <is>
          <t>M15</t>
        </is>
      </c>
      <c r="D597" s="29" t="n">
        <v>4742.88</v>
      </c>
      <c r="E597" s="29" t="n">
        <v>4717.79398</v>
      </c>
      <c r="F597" s="29" t="n">
        <v>4695.2428</v>
      </c>
      <c r="G597" s="29" t="n">
        <v>4518.59282</v>
      </c>
      <c r="H597" s="29" t="n">
        <v>4596.05595</v>
      </c>
      <c r="I597" s="29" t="n">
        <v>4755.40355</v>
      </c>
      <c r="J597" s="29" t="n">
        <v>4792.76972</v>
      </c>
      <c r="K597" s="29" t="n">
        <v>4769.97694</v>
      </c>
      <c r="L597" s="29" t="n">
        <v>4716.33597</v>
      </c>
      <c r="M597" s="29" t="n">
        <v>4718.85043</v>
      </c>
      <c r="N597" s="29" t="n">
        <v>4531.36057</v>
      </c>
      <c r="O597" s="29" t="n">
        <v>4556.93783</v>
      </c>
      <c r="Q597" s="29" t="n">
        <v>4669.01956</v>
      </c>
      <c r="R597" s="29" t="n">
        <v>4717.03722</v>
      </c>
      <c r="S597" s="29" t="n">
        <v>4692.85361</v>
      </c>
      <c r="V597" s="29" t="n">
        <v>4636.37437</v>
      </c>
      <c r="AB597" s="29" t="n">
        <v>4745.21296</v>
      </c>
      <c r="AC597" s="29" t="n">
        <v>4742.9806</v>
      </c>
      <c r="AD597" s="29" t="n">
        <v>0</v>
      </c>
    </row>
    <row r="598" ht="14.25" customHeight="1" s="28">
      <c r="A598" s="29" t="n">
        <v>1778139901</v>
      </c>
      <c r="B598" s="29" t="inlineStr">
        <is>
          <t>XAUUSD</t>
        </is>
      </c>
      <c r="C598" s="29" t="inlineStr">
        <is>
          <t>M15</t>
        </is>
      </c>
      <c r="D598" s="29" t="n">
        <v>4743.06</v>
      </c>
      <c r="E598" s="29" t="n">
        <v>4717.79398</v>
      </c>
      <c r="F598" s="29" t="n">
        <v>4695.2428</v>
      </c>
      <c r="G598" s="29" t="n">
        <v>4518.59282</v>
      </c>
      <c r="H598" s="29" t="n">
        <v>4596.05595</v>
      </c>
      <c r="I598" s="29" t="n">
        <v>4755.40355</v>
      </c>
      <c r="J598" s="29" t="n">
        <v>4792.76972</v>
      </c>
      <c r="K598" s="29" t="n">
        <v>4769.97694</v>
      </c>
      <c r="L598" s="29" t="n">
        <v>4716.33597</v>
      </c>
      <c r="M598" s="29" t="n">
        <v>4718.85043</v>
      </c>
      <c r="N598" s="29" t="n">
        <v>4531.36057</v>
      </c>
      <c r="O598" s="29" t="n">
        <v>4556.93783</v>
      </c>
      <c r="Q598" s="29" t="n">
        <v>4669.22201</v>
      </c>
      <c r="R598" s="29" t="n">
        <v>4717.23967</v>
      </c>
      <c r="S598" s="29" t="n">
        <v>4693.05606</v>
      </c>
      <c r="V598" s="29" t="n">
        <v>4636.57681</v>
      </c>
      <c r="AB598" s="29" t="n">
        <v>4744.03131</v>
      </c>
      <c r="AC598" s="29" t="n">
        <v>4743.50595</v>
      </c>
      <c r="AD598" s="29" t="n">
        <v>0</v>
      </c>
    </row>
    <row r="599" ht="14.25" customHeight="1" s="28">
      <c r="A599" s="29" t="n">
        <v>1778140801</v>
      </c>
      <c r="B599" s="29" t="inlineStr">
        <is>
          <t>XAUUSD</t>
        </is>
      </c>
      <c r="C599" s="29" t="inlineStr">
        <is>
          <t>M15</t>
        </is>
      </c>
      <c r="D599" s="29" t="n">
        <v>4742.66</v>
      </c>
      <c r="E599" s="29" t="n">
        <v>4717.79398</v>
      </c>
      <c r="F599" s="29" t="n">
        <v>4695.2428</v>
      </c>
      <c r="G599" s="29" t="n">
        <v>4518.59282</v>
      </c>
      <c r="H599" s="29" t="n">
        <v>4596.05595</v>
      </c>
      <c r="I599" s="29" t="n">
        <v>4755.40355</v>
      </c>
      <c r="J599" s="29" t="n">
        <v>4792.76972</v>
      </c>
      <c r="K599" s="29" t="n">
        <v>4769.97694</v>
      </c>
      <c r="L599" s="29" t="n">
        <v>4716.33597</v>
      </c>
      <c r="M599" s="29" t="n">
        <v>4718.85043</v>
      </c>
      <c r="N599" s="29" t="n">
        <v>4531.36057</v>
      </c>
      <c r="O599" s="29" t="n">
        <v>4556.93783</v>
      </c>
      <c r="Q599" s="29" t="n">
        <v>4669.42445</v>
      </c>
      <c r="R599" s="29" t="n">
        <v>4717.44212</v>
      </c>
      <c r="S599" s="29" t="n">
        <v>4693.2585</v>
      </c>
      <c r="V599" s="29" t="n">
        <v>4636.77926</v>
      </c>
      <c r="Z599" s="29" t="n">
        <v>4753.47</v>
      </c>
      <c r="AB599" s="29" t="n">
        <v>4741.8388</v>
      </c>
      <c r="AC599" s="29" t="n">
        <v>4742.67238</v>
      </c>
      <c r="AD599" s="29" t="n">
        <v>1</v>
      </c>
    </row>
    <row r="600" ht="14.25" customHeight="1" s="28">
      <c r="A600" s="29" t="n">
        <v>1778141701</v>
      </c>
      <c r="B600" s="29" t="inlineStr">
        <is>
          <t>XAUUSD</t>
        </is>
      </c>
      <c r="C600" s="29" t="inlineStr">
        <is>
          <t>M15</t>
        </is>
      </c>
      <c r="D600" s="29" t="n">
        <v>4739.74</v>
      </c>
      <c r="E600" s="29" t="n">
        <v>4717.79398</v>
      </c>
      <c r="F600" s="29" t="n">
        <v>4695.2428</v>
      </c>
      <c r="G600" s="29" t="n">
        <v>4518.59282</v>
      </c>
      <c r="H600" s="29" t="n">
        <v>4596.05595</v>
      </c>
      <c r="I600" s="29" t="n">
        <v>4755.40355</v>
      </c>
      <c r="J600" s="29" t="n">
        <v>4792.76972</v>
      </c>
      <c r="K600" s="29" t="n">
        <v>4769.97694</v>
      </c>
      <c r="L600" s="29" t="n">
        <v>4716.33597</v>
      </c>
      <c r="M600" s="29" t="n">
        <v>4718.85043</v>
      </c>
      <c r="N600" s="29" t="n">
        <v>4531.36057</v>
      </c>
      <c r="O600" s="29" t="n">
        <v>4556.93783</v>
      </c>
      <c r="Q600" s="29" t="n">
        <v>4669.6269</v>
      </c>
      <c r="R600" s="29" t="n">
        <v>4717.64456</v>
      </c>
      <c r="S600" s="29" t="n">
        <v>4693.46095</v>
      </c>
      <c r="V600" s="29" t="n">
        <v>4636.98171</v>
      </c>
      <c r="AB600" s="29" t="n">
        <v>4739.22196</v>
      </c>
      <c r="AC600" s="29" t="n">
        <v>4740.94717</v>
      </c>
      <c r="AD600" s="29" t="n">
        <v>0</v>
      </c>
    </row>
    <row r="601" ht="14.25" customHeight="1" s="28">
      <c r="A601" s="29" t="n">
        <v>1778142601</v>
      </c>
      <c r="B601" s="29" t="inlineStr">
        <is>
          <t>XAUUSD</t>
        </is>
      </c>
      <c r="C601" s="29" t="inlineStr">
        <is>
          <t>M15</t>
        </is>
      </c>
      <c r="D601" s="29" t="n">
        <v>4735.34</v>
      </c>
      <c r="E601" s="29" t="n">
        <v>4717.79398</v>
      </c>
      <c r="F601" s="29" t="n">
        <v>4695.2428</v>
      </c>
      <c r="G601" s="29" t="n">
        <v>4518.59282</v>
      </c>
      <c r="H601" s="29" t="n">
        <v>4596.05595</v>
      </c>
      <c r="I601" s="29" t="n">
        <v>4755.40355</v>
      </c>
      <c r="J601" s="29" t="n">
        <v>4792.76972</v>
      </c>
      <c r="K601" s="29" t="n">
        <v>4769.97694</v>
      </c>
      <c r="L601" s="29" t="n">
        <v>4716.33597</v>
      </c>
      <c r="M601" s="29" t="n">
        <v>4718.85043</v>
      </c>
      <c r="N601" s="29" t="n">
        <v>4531.36057</v>
      </c>
      <c r="O601" s="29" t="n">
        <v>4556.93783</v>
      </c>
      <c r="Q601" s="29" t="n">
        <v>4669.82934</v>
      </c>
      <c r="R601" s="29" t="n">
        <v>4717.84701</v>
      </c>
      <c r="S601" s="29" t="n">
        <v>4693.6634</v>
      </c>
      <c r="V601" s="29" t="n">
        <v>4637.18415</v>
      </c>
      <c r="AB601" s="29" t="n">
        <v>4736.75447</v>
      </c>
      <c r="AC601" s="29" t="n">
        <v>4738.85082</v>
      </c>
      <c r="AD601" s="29" t="n">
        <v>0</v>
      </c>
    </row>
    <row r="602" ht="14.25" customHeight="1" s="28">
      <c r="A602" s="29" t="n">
        <v>1778143501</v>
      </c>
      <c r="B602" s="29" t="inlineStr">
        <is>
          <t>XAUUSD</t>
        </is>
      </c>
      <c r="C602" s="29" t="inlineStr">
        <is>
          <t>M15</t>
        </is>
      </c>
      <c r="D602" s="29" t="n">
        <v>4731.02</v>
      </c>
      <c r="E602" s="29" t="n">
        <v>4717.79398</v>
      </c>
      <c r="F602" s="29" t="n">
        <v>4695.2428</v>
      </c>
      <c r="G602" s="29" t="n">
        <v>4518.59282</v>
      </c>
      <c r="H602" s="29" t="n">
        <v>4596.05595</v>
      </c>
      <c r="I602" s="29" t="n">
        <v>4755.40355</v>
      </c>
      <c r="J602" s="29" t="n">
        <v>4792.76972</v>
      </c>
      <c r="K602" s="29" t="n">
        <v>4769.97694</v>
      </c>
      <c r="L602" s="29" t="n">
        <v>4716.33597</v>
      </c>
      <c r="M602" s="29" t="n">
        <v>4718.85043</v>
      </c>
      <c r="N602" s="29" t="n">
        <v>4531.36057</v>
      </c>
      <c r="O602" s="29" t="n">
        <v>4556.93783</v>
      </c>
      <c r="Q602" s="29" t="n">
        <v>4670.03179</v>
      </c>
      <c r="R602" s="29" t="n">
        <v>4718.04945</v>
      </c>
      <c r="S602" s="29" t="n">
        <v>4693.86584</v>
      </c>
      <c r="V602" s="29" t="n">
        <v>4637.3866</v>
      </c>
      <c r="AB602" s="29" t="n">
        <v>4734.84225</v>
      </c>
      <c r="AC602" s="29" t="n">
        <v>4736.84654</v>
      </c>
      <c r="AD602" s="29" t="n">
        <v>0</v>
      </c>
    </row>
    <row r="603" ht="14.25" customHeight="1" s="28">
      <c r="A603" s="29" t="n">
        <v>1778144401</v>
      </c>
      <c r="B603" s="29" t="inlineStr">
        <is>
          <t>XAUUSD</t>
        </is>
      </c>
      <c r="C603" s="29" t="inlineStr">
        <is>
          <t>M15</t>
        </is>
      </c>
      <c r="D603" s="29" t="n">
        <v>4734.22</v>
      </c>
      <c r="E603" s="29" t="n">
        <v>4717.79398</v>
      </c>
      <c r="F603" s="29" t="n">
        <v>4695.2428</v>
      </c>
      <c r="G603" s="29" t="n">
        <v>4518.59282</v>
      </c>
      <c r="H603" s="29" t="n">
        <v>4596.05595</v>
      </c>
      <c r="I603" s="29" t="n">
        <v>4755.40355</v>
      </c>
      <c r="J603" s="29" t="n">
        <v>4792.76972</v>
      </c>
      <c r="K603" s="29" t="n">
        <v>4769.97694</v>
      </c>
      <c r="L603" s="29" t="n">
        <v>4716.33597</v>
      </c>
      <c r="M603" s="29" t="n">
        <v>4718.85043</v>
      </c>
      <c r="N603" s="29" t="n">
        <v>4531.36057</v>
      </c>
      <c r="O603" s="29" t="n">
        <v>4556.93783</v>
      </c>
      <c r="Q603" s="29" t="n">
        <v>4670.23423</v>
      </c>
      <c r="R603" s="29" t="n">
        <v>4718.2519</v>
      </c>
      <c r="S603" s="29" t="n">
        <v>4694.06829</v>
      </c>
      <c r="V603" s="29" t="n">
        <v>4637.58904</v>
      </c>
      <c r="AB603" s="29" t="n">
        <v>4733.69538</v>
      </c>
      <c r="AC603" s="29" t="n">
        <v>4735.27096</v>
      </c>
      <c r="AD603" s="29" t="n">
        <v>0</v>
      </c>
    </row>
    <row r="604" ht="14.25" customHeight="1" s="28">
      <c r="A604" s="29" t="n">
        <v>1778145301</v>
      </c>
      <c r="B604" s="29" t="inlineStr">
        <is>
          <t>XAUUSD</t>
        </is>
      </c>
      <c r="C604" s="29" t="inlineStr">
        <is>
          <t>M15</t>
        </is>
      </c>
      <c r="D604" s="29" t="n">
        <v>4735.64</v>
      </c>
      <c r="E604" s="29" t="n">
        <v>4717.79398</v>
      </c>
      <c r="F604" s="29" t="n">
        <v>4695.2428</v>
      </c>
      <c r="G604" s="29" t="n">
        <v>4518.59282</v>
      </c>
      <c r="H604" s="29" t="n">
        <v>4596.05595</v>
      </c>
      <c r="I604" s="29" t="n">
        <v>4755.40355</v>
      </c>
      <c r="J604" s="29" t="n">
        <v>4792.76972</v>
      </c>
      <c r="K604" s="29" t="n">
        <v>4769.97694</v>
      </c>
      <c r="L604" s="29" t="n">
        <v>4716.33597</v>
      </c>
      <c r="M604" s="29" t="n">
        <v>4718.85043</v>
      </c>
      <c r="N604" s="29" t="n">
        <v>4531.36057</v>
      </c>
      <c r="O604" s="29" t="n">
        <v>4556.93783</v>
      </c>
      <c r="Q604" s="29" t="n">
        <v>4670.43668</v>
      </c>
      <c r="R604" s="29" t="n">
        <v>4718.45434</v>
      </c>
      <c r="S604" s="29" t="n">
        <v>4694.27073</v>
      </c>
      <c r="V604" s="29" t="n">
        <v>4637.79149</v>
      </c>
      <c r="AB604" s="29" t="n">
        <v>4733.14581</v>
      </c>
      <c r="AC604" s="29" t="n">
        <v>4734.20838</v>
      </c>
      <c r="AD604" s="29" t="n">
        <v>0</v>
      </c>
    </row>
    <row r="605" ht="14.25" customHeight="1" s="28">
      <c r="A605" s="29" t="n">
        <v>1778146201</v>
      </c>
      <c r="B605" s="29" t="inlineStr">
        <is>
          <t>XAUUSD</t>
        </is>
      </c>
      <c r="C605" s="29" t="inlineStr">
        <is>
          <t>M15</t>
        </is>
      </c>
      <c r="D605" s="29" t="n">
        <v>4737.77</v>
      </c>
      <c r="E605" s="29" t="n">
        <v>4717.79398</v>
      </c>
      <c r="F605" s="29" t="n">
        <v>4695.2428</v>
      </c>
      <c r="G605" s="29" t="n">
        <v>4518.59282</v>
      </c>
      <c r="H605" s="29" t="n">
        <v>4596.05595</v>
      </c>
      <c r="I605" s="29" t="n">
        <v>4755.40355</v>
      </c>
      <c r="J605" s="29" t="n">
        <v>4792.76972</v>
      </c>
      <c r="K605" s="29" t="n">
        <v>4769.97694</v>
      </c>
      <c r="L605" s="29" t="n">
        <v>4716.33597</v>
      </c>
      <c r="M605" s="29" t="n">
        <v>4718.85043</v>
      </c>
      <c r="N605" s="29" t="n">
        <v>4531.36057</v>
      </c>
      <c r="O605" s="29" t="n">
        <v>4556.93783</v>
      </c>
      <c r="Q605" s="29" t="n">
        <v>4670.63913</v>
      </c>
      <c r="R605" s="29" t="n">
        <v>4718.65679</v>
      </c>
      <c r="S605" s="29" t="n">
        <v>4694.47318</v>
      </c>
      <c r="V605" s="29" t="n">
        <v>4637.99393</v>
      </c>
      <c r="AB605" s="29" t="n">
        <v>4732.97862</v>
      </c>
      <c r="AC605" s="29" t="n">
        <v>4733.5935</v>
      </c>
      <c r="AD605" s="29" t="n">
        <v>0</v>
      </c>
    </row>
    <row r="606" ht="14.25" customHeight="1" s="28">
      <c r="A606" s="29" t="n">
        <v>1778147101</v>
      </c>
      <c r="B606" s="29" t="inlineStr">
        <is>
          <t>XAUUSD</t>
        </is>
      </c>
      <c r="C606" s="29" t="inlineStr">
        <is>
          <t>M15</t>
        </is>
      </c>
      <c r="D606" s="29" t="n">
        <v>4729.06</v>
      </c>
      <c r="E606" s="29" t="n">
        <v>4717.79398</v>
      </c>
      <c r="F606" s="29" t="n">
        <v>4695.2428</v>
      </c>
      <c r="G606" s="29" t="n">
        <v>4518.59282</v>
      </c>
      <c r="H606" s="29" t="n">
        <v>4596.05595</v>
      </c>
      <c r="I606" s="29" t="n">
        <v>4755.40355</v>
      </c>
      <c r="J606" s="29" t="n">
        <v>4792.76972</v>
      </c>
      <c r="K606" s="29" t="n">
        <v>4769.97694</v>
      </c>
      <c r="L606" s="29" t="n">
        <v>4716.33597</v>
      </c>
      <c r="M606" s="29" t="n">
        <v>4718.85043</v>
      </c>
      <c r="N606" s="29" t="n">
        <v>4531.36057</v>
      </c>
      <c r="O606" s="29" t="n">
        <v>4556.93783</v>
      </c>
      <c r="Q606" s="29" t="n">
        <v>4670.84157</v>
      </c>
      <c r="R606" s="29" t="n">
        <v>4718.85924</v>
      </c>
      <c r="S606" s="29" t="n">
        <v>4694.67562</v>
      </c>
      <c r="V606" s="29" t="n">
        <v>4638.19638</v>
      </c>
      <c r="AB606" s="29" t="n">
        <v>4733.00112</v>
      </c>
      <c r="AC606" s="29" t="n">
        <v>4733.29731</v>
      </c>
      <c r="AD606" s="29" t="n">
        <v>0</v>
      </c>
    </row>
    <row r="607" ht="14.25" customHeight="1" s="28">
      <c r="A607" s="29" t="n">
        <v>1778148001</v>
      </c>
      <c r="B607" s="29" t="inlineStr">
        <is>
          <t>XAUUSD</t>
        </is>
      </c>
      <c r="C607" s="29" t="inlineStr">
        <is>
          <t>M15</t>
        </is>
      </c>
      <c r="D607" s="29" t="n">
        <v>4734.98</v>
      </c>
      <c r="E607" s="29" t="n">
        <v>4717.79398</v>
      </c>
      <c r="F607" s="29" t="n">
        <v>4695.2428</v>
      </c>
      <c r="G607" s="29" t="n">
        <v>4518.59282</v>
      </c>
      <c r="H607" s="29" t="n">
        <v>4596.05595</v>
      </c>
      <c r="I607" s="29" t="n">
        <v>4755.40355</v>
      </c>
      <c r="J607" s="29" t="n">
        <v>4792.76972</v>
      </c>
      <c r="K607" s="29" t="n">
        <v>4769.97694</v>
      </c>
      <c r="L607" s="29" t="n">
        <v>4716.33597</v>
      </c>
      <c r="M607" s="29" t="n">
        <v>4718.85043</v>
      </c>
      <c r="N607" s="29" t="n">
        <v>4531.36057</v>
      </c>
      <c r="O607" s="29" t="n">
        <v>4556.93783</v>
      </c>
      <c r="Q607" s="29" t="n">
        <v>4671.04402</v>
      </c>
      <c r="R607" s="29" t="n">
        <v>4719.06168</v>
      </c>
      <c r="S607" s="29" t="n">
        <v>4694.87807</v>
      </c>
      <c r="V607" s="29" t="n">
        <v>4638.39883</v>
      </c>
      <c r="AB607" s="29" t="n">
        <v>4733.37555</v>
      </c>
      <c r="AC607" s="29" t="n">
        <v>4733.33643</v>
      </c>
      <c r="AD607" s="29" t="n">
        <v>1</v>
      </c>
    </row>
    <row r="608" ht="14.25" customHeight="1" s="28">
      <c r="A608" s="29" t="n">
        <v>1778148901</v>
      </c>
      <c r="B608" s="29" t="inlineStr">
        <is>
          <t>XAUUSD</t>
        </is>
      </c>
      <c r="C608" s="29" t="inlineStr">
        <is>
          <t>M15</t>
        </is>
      </c>
      <c r="D608" s="29" t="n">
        <v>4732.57</v>
      </c>
      <c r="E608" s="29" t="n">
        <v>4717.79398</v>
      </c>
      <c r="F608" s="29" t="n">
        <v>4695.2428</v>
      </c>
      <c r="G608" s="29" t="n">
        <v>4518.59282</v>
      </c>
      <c r="H608" s="29" t="n">
        <v>4596.05595</v>
      </c>
      <c r="I608" s="29" t="n">
        <v>4755.40355</v>
      </c>
      <c r="J608" s="29" t="n">
        <v>4792.76972</v>
      </c>
      <c r="K608" s="29" t="n">
        <v>4769.97694</v>
      </c>
      <c r="L608" s="29" t="n">
        <v>4716.33597</v>
      </c>
      <c r="M608" s="29" t="n">
        <v>4718.85043</v>
      </c>
      <c r="N608" s="29" t="n">
        <v>4531.36057</v>
      </c>
      <c r="O608" s="29" t="n">
        <v>4556.93783</v>
      </c>
      <c r="Q608" s="29" t="n">
        <v>4671.24646</v>
      </c>
      <c r="R608" s="29" t="n">
        <v>4719.26413</v>
      </c>
      <c r="S608" s="29" t="n">
        <v>4695.08051</v>
      </c>
      <c r="V608" s="29" t="n">
        <v>4638.60127</v>
      </c>
      <c r="AB608" s="29" t="n">
        <v>4733.87262</v>
      </c>
      <c r="AC608" s="29" t="n">
        <v>4733.60452</v>
      </c>
      <c r="AD608" s="29" t="n">
        <v>0</v>
      </c>
    </row>
    <row r="609" ht="14.25" customHeight="1" s="28">
      <c r="A609" s="29" t="n">
        <v>1778149801</v>
      </c>
      <c r="B609" s="29" t="inlineStr">
        <is>
          <t>XAUUSD</t>
        </is>
      </c>
      <c r="C609" s="29" t="inlineStr">
        <is>
          <t>M15</t>
        </is>
      </c>
      <c r="D609" s="29" t="n">
        <v>4739.17</v>
      </c>
      <c r="E609" s="29" t="n">
        <v>4717.79398</v>
      </c>
      <c r="F609" s="29" t="n">
        <v>4695.2428</v>
      </c>
      <c r="G609" s="29" t="n">
        <v>4518.59282</v>
      </c>
      <c r="H609" s="29" t="n">
        <v>4596.05595</v>
      </c>
      <c r="I609" s="29" t="n">
        <v>4755.40355</v>
      </c>
      <c r="J609" s="29" t="n">
        <v>4792.76972</v>
      </c>
      <c r="K609" s="29" t="n">
        <v>4769.97694</v>
      </c>
      <c r="L609" s="29" t="n">
        <v>4716.33597</v>
      </c>
      <c r="M609" s="29" t="n">
        <v>4718.85043</v>
      </c>
      <c r="N609" s="29" t="n">
        <v>4531.36057</v>
      </c>
      <c r="O609" s="29" t="n">
        <v>4556.93783</v>
      </c>
      <c r="Q609" s="29" t="n">
        <v>4671.44891</v>
      </c>
      <c r="R609" s="29" t="n">
        <v>4719.46657</v>
      </c>
      <c r="S609" s="29" t="n">
        <v>4695.28296</v>
      </c>
      <c r="V609" s="29" t="n">
        <v>4638.80372</v>
      </c>
      <c r="AB609" s="29" t="n">
        <v>4734.51391</v>
      </c>
      <c r="AC609" s="29" t="n">
        <v>4734.05922</v>
      </c>
      <c r="AD609" s="29" t="n">
        <v>0</v>
      </c>
    </row>
    <row r="610" ht="14.25" customHeight="1" s="28">
      <c r="A610" s="29" t="n">
        <v>1778150701</v>
      </c>
      <c r="B610" s="29" t="inlineStr">
        <is>
          <t>XAUUSD</t>
        </is>
      </c>
      <c r="C610" s="29" t="inlineStr">
        <is>
          <t>M15</t>
        </is>
      </c>
      <c r="D610" s="29" t="n">
        <v>4735.69</v>
      </c>
      <c r="E610" s="29" t="n">
        <v>4717.79398</v>
      </c>
      <c r="F610" s="29" t="n">
        <v>4695.2428</v>
      </c>
      <c r="G610" s="29" t="n">
        <v>4518.59282</v>
      </c>
      <c r="H610" s="29" t="n">
        <v>4596.05595</v>
      </c>
      <c r="I610" s="29" t="n">
        <v>4755.40355</v>
      </c>
      <c r="J610" s="29" t="n">
        <v>4792.76972</v>
      </c>
      <c r="K610" s="29" t="n">
        <v>4769.97694</v>
      </c>
      <c r="L610" s="29" t="n">
        <v>4716.33597</v>
      </c>
      <c r="M610" s="29" t="n">
        <v>4718.85043</v>
      </c>
      <c r="N610" s="29" t="n">
        <v>4531.36057</v>
      </c>
      <c r="O610" s="29" t="n">
        <v>4556.93783</v>
      </c>
      <c r="Q610" s="29" t="n">
        <v>4671.65135</v>
      </c>
      <c r="R610" s="29" t="n">
        <v>4719.66902</v>
      </c>
      <c r="S610" s="29" t="n">
        <v>4695.48541</v>
      </c>
      <c r="V610" s="29" t="n">
        <v>4639.00616</v>
      </c>
      <c r="AB610" s="29" t="n">
        <v>4735.15298</v>
      </c>
      <c r="AC610" s="29" t="n">
        <v>4734.6061</v>
      </c>
      <c r="AD610" s="29" t="n">
        <v>0</v>
      </c>
    </row>
    <row r="611" ht="14.25" customHeight="1" s="28">
      <c r="A611" s="29" t="n">
        <v>1778151601</v>
      </c>
      <c r="B611" s="29" t="inlineStr">
        <is>
          <t>XAUUSD</t>
        </is>
      </c>
      <c r="C611" s="29" t="inlineStr">
        <is>
          <t>M15</t>
        </is>
      </c>
      <c r="D611" s="29" t="n">
        <v>4730.38</v>
      </c>
      <c r="E611" s="29" t="n">
        <v>4717.79398</v>
      </c>
      <c r="F611" s="29" t="n">
        <v>4695.2428</v>
      </c>
      <c r="G611" s="29" t="n">
        <v>4518.59282</v>
      </c>
      <c r="H611" s="29" t="n">
        <v>4596.05595</v>
      </c>
      <c r="I611" s="29" t="n">
        <v>4755.40355</v>
      </c>
      <c r="J611" s="29" t="n">
        <v>4792.76972</v>
      </c>
      <c r="K611" s="29" t="n">
        <v>4769.97694</v>
      </c>
      <c r="L611" s="29" t="n">
        <v>4716.33597</v>
      </c>
      <c r="M611" s="29" t="n">
        <v>4718.85043</v>
      </c>
      <c r="N611" s="29" t="n">
        <v>4531.36057</v>
      </c>
      <c r="O611" s="29" t="n">
        <v>4556.93783</v>
      </c>
      <c r="Q611" s="29" t="n">
        <v>4671.8538</v>
      </c>
      <c r="R611" s="29" t="n">
        <v>4719.87146</v>
      </c>
      <c r="S611" s="29" t="n">
        <v>4695.68785</v>
      </c>
      <c r="V611" s="29" t="n">
        <v>4639.20861</v>
      </c>
      <c r="AB611" s="29" t="n">
        <v>4735.93392</v>
      </c>
      <c r="AC611" s="29" t="n">
        <v>4735.27001</v>
      </c>
      <c r="AD611" s="29" t="n">
        <v>0</v>
      </c>
    </row>
    <row r="612" ht="14.25" customHeight="1" s="28">
      <c r="A612" s="29" t="n">
        <v>1778152501</v>
      </c>
      <c r="B612" s="29" t="inlineStr">
        <is>
          <t>XAUUSD</t>
        </is>
      </c>
      <c r="C612" s="29" t="inlineStr">
        <is>
          <t>M15</t>
        </is>
      </c>
      <c r="D612" s="29" t="n">
        <v>4732.68</v>
      </c>
      <c r="E612" s="29" t="n">
        <v>4717.79398</v>
      </c>
      <c r="F612" s="29" t="n">
        <v>4695.2428</v>
      </c>
      <c r="G612" s="29" t="n">
        <v>4518.59282</v>
      </c>
      <c r="H612" s="29" t="n">
        <v>4596.05595</v>
      </c>
      <c r="I612" s="29" t="n">
        <v>4755.40355</v>
      </c>
      <c r="J612" s="29" t="n">
        <v>4792.76972</v>
      </c>
      <c r="K612" s="29" t="n">
        <v>4769.97694</v>
      </c>
      <c r="L612" s="29" t="n">
        <v>4716.33597</v>
      </c>
      <c r="M612" s="29" t="n">
        <v>4718.85043</v>
      </c>
      <c r="N612" s="29" t="n">
        <v>4531.36057</v>
      </c>
      <c r="O612" s="29" t="n">
        <v>4556.93783</v>
      </c>
      <c r="Q612" s="29" t="n">
        <v>4672.05625</v>
      </c>
      <c r="R612" s="29" t="n">
        <v>4720.07391</v>
      </c>
      <c r="S612" s="29" t="n">
        <v>4695.8903</v>
      </c>
      <c r="V612" s="29" t="n">
        <v>4639.41105</v>
      </c>
      <c r="AB612" s="29" t="n">
        <v>4737.0452</v>
      </c>
      <c r="AC612" s="29" t="n">
        <v>4736.1576</v>
      </c>
      <c r="AD612" s="29" t="n">
        <v>0</v>
      </c>
    </row>
    <row r="613" ht="14.25" customHeight="1" s="28">
      <c r="A613" s="29" t="n">
        <v>1778153401</v>
      </c>
      <c r="B613" s="29" t="inlineStr">
        <is>
          <t>XAUUSD</t>
        </is>
      </c>
      <c r="C613" s="29" t="inlineStr">
        <is>
          <t>M15</t>
        </is>
      </c>
      <c r="D613" s="29" t="n">
        <v>4736.98</v>
      </c>
      <c r="E613" s="29" t="n">
        <v>4717.79398</v>
      </c>
      <c r="F613" s="29" t="n">
        <v>4695.2428</v>
      </c>
      <c r="G613" s="29" t="n">
        <v>4518.59282</v>
      </c>
      <c r="H613" s="29" t="n">
        <v>4596.05595</v>
      </c>
      <c r="I613" s="29" t="n">
        <v>4755.40355</v>
      </c>
      <c r="J613" s="29" t="n">
        <v>4792.76972</v>
      </c>
      <c r="K613" s="29" t="n">
        <v>4769.97694</v>
      </c>
      <c r="L613" s="29" t="n">
        <v>4716.33597</v>
      </c>
      <c r="M613" s="29" t="n">
        <v>4718.85043</v>
      </c>
      <c r="N613" s="29" t="n">
        <v>4531.36057</v>
      </c>
      <c r="O613" s="29" t="n">
        <v>4556.93783</v>
      </c>
      <c r="Q613" s="29" t="n">
        <v>4672.25869</v>
      </c>
      <c r="R613" s="29" t="n">
        <v>4720.27636</v>
      </c>
      <c r="S613" s="29" t="n">
        <v>4696.09274</v>
      </c>
      <c r="V613" s="29" t="n">
        <v>4639.6135</v>
      </c>
      <c r="AB613" s="29" t="n">
        <v>4738.39214</v>
      </c>
      <c r="AC613" s="29" t="n">
        <v>4737.27487</v>
      </c>
      <c r="AD613" s="29" t="n">
        <v>0</v>
      </c>
    </row>
    <row r="614" ht="14.25" customHeight="1" s="28">
      <c r="A614" s="29" t="n">
        <v>1778154301</v>
      </c>
      <c r="B614" s="29" t="inlineStr">
        <is>
          <t>XAUUSD</t>
        </is>
      </c>
      <c r="C614" s="29" t="inlineStr">
        <is>
          <t>M15</t>
        </is>
      </c>
      <c r="D614" s="29" t="n">
        <v>4742.8</v>
      </c>
      <c r="E614" s="29" t="n">
        <v>4717.79398</v>
      </c>
      <c r="F614" s="29" t="n">
        <v>4695.2428</v>
      </c>
      <c r="G614" s="29" t="n">
        <v>4518.59282</v>
      </c>
      <c r="H614" s="29" t="n">
        <v>4596.05595</v>
      </c>
      <c r="I614" s="29" t="n">
        <v>4755.40355</v>
      </c>
      <c r="J614" s="29" t="n">
        <v>4792.76972</v>
      </c>
      <c r="K614" s="29" t="n">
        <v>4769.97694</v>
      </c>
      <c r="L614" s="29" t="n">
        <v>4716.33597</v>
      </c>
      <c r="M614" s="29" t="n">
        <v>4718.85043</v>
      </c>
      <c r="N614" s="29" t="n">
        <v>4531.36057</v>
      </c>
      <c r="O614" s="29" t="n">
        <v>4556.93783</v>
      </c>
      <c r="Q614" s="29" t="n">
        <v>4672.46114</v>
      </c>
      <c r="R614" s="29" t="n">
        <v>4720.4788</v>
      </c>
      <c r="S614" s="29" t="n">
        <v>4696.29519</v>
      </c>
      <c r="V614" s="29" t="n">
        <v>4639.81595</v>
      </c>
      <c r="AB614" s="29" t="n">
        <v>4739.7729</v>
      </c>
      <c r="AC614" s="29" t="n">
        <v>4738.52389</v>
      </c>
      <c r="AD614" s="29" t="n">
        <v>0</v>
      </c>
    </row>
    <row r="615" ht="14.25" customHeight="1" s="28">
      <c r="A615" s="29" t="n">
        <v>1778155201</v>
      </c>
      <c r="B615" s="29" t="inlineStr">
        <is>
          <t>XAUUSD</t>
        </is>
      </c>
      <c r="C615" s="29" t="inlineStr">
        <is>
          <t>M15</t>
        </is>
      </c>
      <c r="D615" s="29" t="n">
        <v>4744.19</v>
      </c>
      <c r="E615" s="29" t="n">
        <v>4717.79398</v>
      </c>
      <c r="F615" s="29" t="n">
        <v>4695.2428</v>
      </c>
      <c r="G615" s="29" t="n">
        <v>4518.59282</v>
      </c>
      <c r="H615" s="29" t="n">
        <v>4596.05595</v>
      </c>
      <c r="I615" s="29" t="n">
        <v>4755.40355</v>
      </c>
      <c r="J615" s="29" t="n">
        <v>4792.76972</v>
      </c>
      <c r="K615" s="29" t="n">
        <v>4769.97694</v>
      </c>
      <c r="L615" s="29" t="n">
        <v>4716.33597</v>
      </c>
      <c r="M615" s="29" t="n">
        <v>4718.85043</v>
      </c>
      <c r="N615" s="29" t="n">
        <v>4531.36057</v>
      </c>
      <c r="O615" s="29" t="n">
        <v>4556.93783</v>
      </c>
      <c r="Q615" s="29" t="n">
        <v>4672.66358</v>
      </c>
      <c r="R615" s="29" t="n">
        <v>4720.68125</v>
      </c>
      <c r="S615" s="29" t="n">
        <v>4696.49763</v>
      </c>
      <c r="V615" s="29" t="n">
        <v>4640.01839</v>
      </c>
      <c r="AB615" s="29" t="n">
        <v>4740.95372</v>
      </c>
      <c r="AC615" s="29" t="n">
        <v>4739.7388</v>
      </c>
      <c r="AD615" s="29" t="n">
        <v>0</v>
      </c>
    </row>
    <row r="616" ht="14.25" customHeight="1" s="28">
      <c r="A616" s="29" t="n">
        <v>1778156101</v>
      </c>
      <c r="B616" s="29" t="inlineStr">
        <is>
          <t>XAUUSD</t>
        </is>
      </c>
      <c r="C616" s="29" t="inlineStr">
        <is>
          <t>M15</t>
        </is>
      </c>
      <c r="D616" s="29" t="n">
        <v>4738.16</v>
      </c>
      <c r="E616" s="29" t="n">
        <v>4717.79398</v>
      </c>
      <c r="F616" s="29" t="n">
        <v>4695.2428</v>
      </c>
      <c r="G616" s="29" t="n">
        <v>4518.59282</v>
      </c>
      <c r="H616" s="29" t="n">
        <v>4596.05595</v>
      </c>
      <c r="I616" s="29" t="n">
        <v>4755.40355</v>
      </c>
      <c r="J616" s="29" t="n">
        <v>4792.76972</v>
      </c>
      <c r="K616" s="29" t="n">
        <v>4769.97694</v>
      </c>
      <c r="L616" s="29" t="n">
        <v>4716.33597</v>
      </c>
      <c r="M616" s="29" t="n">
        <v>4718.85043</v>
      </c>
      <c r="N616" s="29" t="n">
        <v>4531.36057</v>
      </c>
      <c r="O616" s="29" t="n">
        <v>4556.93783</v>
      </c>
      <c r="Q616" s="29" t="n">
        <v>4672.86603</v>
      </c>
      <c r="R616" s="29" t="n">
        <v>4720.88369</v>
      </c>
      <c r="S616" s="29" t="n">
        <v>4696.70008</v>
      </c>
      <c r="V616" s="29" t="n">
        <v>4640.22084</v>
      </c>
      <c r="AB616" s="29" t="n">
        <v>4741.87414</v>
      </c>
      <c r="AC616" s="29" t="n">
        <v>4740.80647</v>
      </c>
      <c r="AD616" s="29" t="n">
        <v>0</v>
      </c>
    </row>
    <row r="617" ht="14.25" customHeight="1" s="28">
      <c r="A617" s="29" t="n">
        <v>1778157001</v>
      </c>
      <c r="B617" s="29" t="inlineStr">
        <is>
          <t>XAUUSD</t>
        </is>
      </c>
      <c r="C617" s="29" t="inlineStr">
        <is>
          <t>M15</t>
        </is>
      </c>
      <c r="D617" s="29" t="n">
        <v>4751.15</v>
      </c>
      <c r="E617" s="29" t="n">
        <v>4717.79398</v>
      </c>
      <c r="F617" s="29" t="n">
        <v>4695.2428</v>
      </c>
      <c r="G617" s="29" t="n">
        <v>4518.59282</v>
      </c>
      <c r="H617" s="29" t="n">
        <v>4596.05595</v>
      </c>
      <c r="I617" s="29" t="n">
        <v>4755.40355</v>
      </c>
      <c r="J617" s="29" t="n">
        <v>4792.76972</v>
      </c>
      <c r="K617" s="29" t="n">
        <v>4769.97694</v>
      </c>
      <c r="L617" s="29" t="n">
        <v>4716.33597</v>
      </c>
      <c r="M617" s="29" t="n">
        <v>4718.85043</v>
      </c>
      <c r="N617" s="29" t="n">
        <v>4531.36057</v>
      </c>
      <c r="O617" s="29" t="n">
        <v>4556.93783</v>
      </c>
      <c r="Q617" s="29" t="n">
        <v>4673.06847</v>
      </c>
      <c r="R617" s="29" t="n">
        <v>4721.08614</v>
      </c>
      <c r="S617" s="29" t="n">
        <v>4696.90253</v>
      </c>
      <c r="V617" s="29" t="n">
        <v>4640.42328</v>
      </c>
      <c r="AB617" s="29" t="n">
        <v>4742.79778</v>
      </c>
      <c r="AC617" s="29" t="n">
        <v>4741.80213</v>
      </c>
      <c r="AD617" s="29" t="n">
        <v>0</v>
      </c>
    </row>
    <row r="618" ht="14.25" customHeight="1" s="28">
      <c r="A618" s="29" t="n">
        <v>1778157901</v>
      </c>
      <c r="B618" s="29" t="inlineStr">
        <is>
          <t>XAUUSD</t>
        </is>
      </c>
      <c r="C618" s="29" t="inlineStr">
        <is>
          <t>M15</t>
        </is>
      </c>
      <c r="D618" s="29" t="n">
        <v>4749.99</v>
      </c>
      <c r="E618" s="29" t="n">
        <v>4717.79398</v>
      </c>
      <c r="F618" s="29" t="n">
        <v>4695.2428</v>
      </c>
      <c r="G618" s="29" t="n">
        <v>4518.59282</v>
      </c>
      <c r="H618" s="29" t="n">
        <v>4596.05595</v>
      </c>
      <c r="I618" s="29" t="n">
        <v>4755.40355</v>
      </c>
      <c r="J618" s="29" t="n">
        <v>4792.76972</v>
      </c>
      <c r="K618" s="29" t="n">
        <v>4769.97694</v>
      </c>
      <c r="L618" s="29" t="n">
        <v>4716.33597</v>
      </c>
      <c r="M618" s="29" t="n">
        <v>4718.85043</v>
      </c>
      <c r="N618" s="29" t="n">
        <v>4531.36057</v>
      </c>
      <c r="O618" s="29" t="n">
        <v>4556.93783</v>
      </c>
      <c r="Q618" s="29" t="n">
        <v>4673.27092</v>
      </c>
      <c r="R618" s="29" t="n">
        <v>4721.28858</v>
      </c>
      <c r="S618" s="29" t="n">
        <v>4697.10497</v>
      </c>
      <c r="V618" s="29" t="n">
        <v>4640.62573</v>
      </c>
      <c r="AB618" s="29" t="n">
        <v>4743.52104</v>
      </c>
      <c r="AC618" s="29" t="n">
        <v>4742.66158</v>
      </c>
      <c r="AD618" s="29" t="n">
        <v>0</v>
      </c>
    </row>
    <row r="619" ht="14.25" customHeight="1" s="28">
      <c r="A619" s="29" t="n">
        <v>1778158801</v>
      </c>
      <c r="B619" s="29" t="inlineStr">
        <is>
          <t>XAUUSD</t>
        </is>
      </c>
      <c r="C619" s="29" t="inlineStr">
        <is>
          <t>M15</t>
        </is>
      </c>
      <c r="D619" s="29" t="n">
        <v>4733.46</v>
      </c>
      <c r="E619" s="29" t="n">
        <v>4717.79398</v>
      </c>
      <c r="F619" s="29" t="n">
        <v>4695.2428</v>
      </c>
      <c r="G619" s="29" t="n">
        <v>4518.59282</v>
      </c>
      <c r="H619" s="29" t="n">
        <v>4596.05595</v>
      </c>
      <c r="I619" s="29" t="n">
        <v>4755.40355</v>
      </c>
      <c r="J619" s="29" t="n">
        <v>4792.76972</v>
      </c>
      <c r="K619" s="29" t="n">
        <v>4769.97694</v>
      </c>
      <c r="L619" s="29" t="n">
        <v>4716.33597</v>
      </c>
      <c r="M619" s="29" t="n">
        <v>4718.85043</v>
      </c>
      <c r="N619" s="29" t="n">
        <v>4531.36057</v>
      </c>
      <c r="O619" s="29" t="n">
        <v>4556.93783</v>
      </c>
      <c r="Q619" s="29" t="n">
        <v>4673.47337</v>
      </c>
      <c r="R619" s="29" t="n">
        <v>4721.49103</v>
      </c>
      <c r="S619" s="29" t="n">
        <v>4697.30742</v>
      </c>
      <c r="V619" s="29" t="n">
        <v>4640.82817</v>
      </c>
      <c r="AB619" s="29" t="n">
        <v>4744.33363</v>
      </c>
      <c r="AC619" s="29" t="n">
        <v>4743.49761</v>
      </c>
      <c r="AD619" s="29" t="n">
        <v>0</v>
      </c>
    </row>
    <row r="620" ht="14.25" customHeight="1" s="28">
      <c r="A620" s="29" t="n">
        <v>1778159701</v>
      </c>
      <c r="B620" s="29" t="inlineStr">
        <is>
          <t>XAUUSD</t>
        </is>
      </c>
      <c r="C620" s="29" t="inlineStr">
        <is>
          <t>M15</t>
        </is>
      </c>
      <c r="D620" s="29" t="n">
        <v>4745.53</v>
      </c>
      <c r="E620" s="29" t="n">
        <v>4717.79398</v>
      </c>
      <c r="F620" s="29" t="n">
        <v>4695.2428</v>
      </c>
      <c r="G620" s="29" t="n">
        <v>4518.59282</v>
      </c>
      <c r="H620" s="29" t="n">
        <v>4596.05595</v>
      </c>
      <c r="I620" s="29" t="n">
        <v>4755.40355</v>
      </c>
      <c r="J620" s="29" t="n">
        <v>4792.76972</v>
      </c>
      <c r="K620" s="29" t="n">
        <v>4769.97694</v>
      </c>
      <c r="L620" s="29" t="n">
        <v>4716.33597</v>
      </c>
      <c r="M620" s="29" t="n">
        <v>4718.85043</v>
      </c>
      <c r="N620" s="29" t="n">
        <v>4531.36057</v>
      </c>
      <c r="O620" s="29" t="n">
        <v>4556.93783</v>
      </c>
      <c r="Q620" s="29" t="n">
        <v>4673.67581</v>
      </c>
      <c r="R620" s="29" t="n">
        <v>4721.69348</v>
      </c>
      <c r="S620" s="29" t="n">
        <v>4697.50986</v>
      </c>
      <c r="V620" s="29" t="n">
        <v>4641.03062</v>
      </c>
      <c r="AB620" s="29" t="n">
        <v>4745.9274</v>
      </c>
      <c r="AC620" s="29" t="n">
        <v>4744.71251</v>
      </c>
      <c r="AD620" s="29" t="n">
        <v>0</v>
      </c>
    </row>
    <row r="621" ht="14.25" customHeight="1" s="28">
      <c r="A621" s="29" t="n">
        <v>1778160601</v>
      </c>
      <c r="B621" s="29" t="inlineStr">
        <is>
          <t>XAUUSD</t>
        </is>
      </c>
      <c r="C621" s="29" t="inlineStr">
        <is>
          <t>M15</t>
        </is>
      </c>
      <c r="D621" s="29" t="n">
        <v>4748.49</v>
      </c>
      <c r="E621" s="29" t="n">
        <v>4717.79398</v>
      </c>
      <c r="F621" s="29" t="n">
        <v>4695.2428</v>
      </c>
      <c r="G621" s="29" t="n">
        <v>4518.59282</v>
      </c>
      <c r="H621" s="29" t="n">
        <v>4596.05595</v>
      </c>
      <c r="I621" s="29" t="n">
        <v>4755.40355</v>
      </c>
      <c r="J621" s="29" t="n">
        <v>4792.76972</v>
      </c>
      <c r="K621" s="29" t="n">
        <v>4769.97694</v>
      </c>
      <c r="L621" s="29" t="n">
        <v>4716.33597</v>
      </c>
      <c r="M621" s="29" t="n">
        <v>4718.85043</v>
      </c>
      <c r="N621" s="29" t="n">
        <v>4531.36057</v>
      </c>
      <c r="O621" s="29" t="n">
        <v>4556.93783</v>
      </c>
      <c r="Q621" s="29" t="n">
        <v>4673.87826</v>
      </c>
      <c r="R621" s="29" t="n">
        <v>4721.89592</v>
      </c>
      <c r="S621" s="29" t="n">
        <v>4697.71231</v>
      </c>
      <c r="V621" s="29" t="n">
        <v>4641.23307</v>
      </c>
      <c r="AB621" s="29" t="n">
        <v>4748.07254</v>
      </c>
      <c r="AC621" s="29" t="n">
        <v>4746.39252</v>
      </c>
      <c r="AD621" s="29" t="n">
        <v>0</v>
      </c>
    </row>
    <row r="622" ht="14.25" customHeight="1" s="28">
      <c r="A622" s="29" t="n">
        <v>1778161501</v>
      </c>
      <c r="B622" s="29" t="inlineStr">
        <is>
          <t>XAUUSD</t>
        </is>
      </c>
      <c r="C622" s="29" t="inlineStr">
        <is>
          <t>M15</t>
        </is>
      </c>
      <c r="D622" s="29" t="n">
        <v>4746.18</v>
      </c>
      <c r="E622" s="29" t="n">
        <v>4717.79398</v>
      </c>
      <c r="F622" s="29" t="n">
        <v>4695.2428</v>
      </c>
      <c r="G622" s="29" t="n">
        <v>4518.59282</v>
      </c>
      <c r="H622" s="29" t="n">
        <v>4596.05595</v>
      </c>
      <c r="I622" s="29" t="n">
        <v>4755.40355</v>
      </c>
      <c r="J622" s="29" t="n">
        <v>4792.76972</v>
      </c>
      <c r="K622" s="29" t="n">
        <v>4769.97694</v>
      </c>
      <c r="L622" s="29" t="n">
        <v>4716.33597</v>
      </c>
      <c r="M622" s="29" t="n">
        <v>4718.85043</v>
      </c>
      <c r="N622" s="29" t="n">
        <v>4531.36057</v>
      </c>
      <c r="O622" s="29" t="n">
        <v>4556.93783</v>
      </c>
      <c r="Q622" s="29" t="n">
        <v>4674.0807</v>
      </c>
      <c r="R622" s="29" t="n">
        <v>4722.09837</v>
      </c>
      <c r="S622" s="29" t="n">
        <v>4697.91475</v>
      </c>
      <c r="V622" s="29" t="n">
        <v>4641.43551</v>
      </c>
      <c r="AB622" s="29" t="n">
        <v>4750.51601</v>
      </c>
      <c r="AC622" s="29" t="n">
        <v>4748.45426</v>
      </c>
      <c r="AD622" s="29" t="n">
        <v>0</v>
      </c>
    </row>
    <row r="623" ht="14.25" customHeight="1" s="28">
      <c r="A623" s="29" t="n">
        <v>1778162401</v>
      </c>
      <c r="B623" s="29" t="inlineStr">
        <is>
          <t>XAUUSD</t>
        </is>
      </c>
      <c r="C623" s="29" t="inlineStr">
        <is>
          <t>M15</t>
        </is>
      </c>
      <c r="D623" s="29" t="n">
        <v>4752.05</v>
      </c>
      <c r="E623" s="29" t="n">
        <v>4717.79398</v>
      </c>
      <c r="F623" s="29" t="n">
        <v>4695.2428</v>
      </c>
      <c r="G623" s="29" t="n">
        <v>4518.59282</v>
      </c>
      <c r="H623" s="29" t="n">
        <v>4596.05595</v>
      </c>
      <c r="I623" s="29" t="n">
        <v>4755.40355</v>
      </c>
      <c r="J623" s="29" t="n">
        <v>4792.76972</v>
      </c>
      <c r="K623" s="29" t="n">
        <v>4769.97694</v>
      </c>
      <c r="L623" s="29" t="n">
        <v>4716.33597</v>
      </c>
      <c r="M623" s="29" t="n">
        <v>4718.85043</v>
      </c>
      <c r="N623" s="29" t="n">
        <v>4531.36057</v>
      </c>
      <c r="O623" s="29" t="n">
        <v>4556.93783</v>
      </c>
      <c r="Q623" s="29" t="n">
        <v>4674.28315</v>
      </c>
      <c r="R623" s="29" t="n">
        <v>4722.30081</v>
      </c>
      <c r="S623" s="29" t="n">
        <v>4698.1172</v>
      </c>
      <c r="V623" s="29" t="n">
        <v>4641.63796</v>
      </c>
      <c r="AB623" s="29" t="n">
        <v>4752.94184</v>
      </c>
      <c r="AC623" s="29" t="n">
        <v>4750.69805</v>
      </c>
      <c r="AD623" s="29" t="n">
        <v>0</v>
      </c>
    </row>
    <row r="624" ht="14.25" customHeight="1" s="28">
      <c r="A624" s="29" t="n">
        <v>1778163301</v>
      </c>
      <c r="B624" s="29" t="inlineStr">
        <is>
          <t>XAUUSD</t>
        </is>
      </c>
      <c r="C624" s="29" t="inlineStr">
        <is>
          <t>M15</t>
        </is>
      </c>
      <c r="D624" s="29" t="n">
        <v>4756.66</v>
      </c>
      <c r="E624" s="29" t="n">
        <v>4717.79398</v>
      </c>
      <c r="F624" s="29" t="n">
        <v>4695.2428</v>
      </c>
      <c r="G624" s="29" t="n">
        <v>4518.59282</v>
      </c>
      <c r="H624" s="29" t="n">
        <v>4596.05595</v>
      </c>
      <c r="I624" s="29" t="n">
        <v>4755.40355</v>
      </c>
      <c r="J624" s="29" t="n">
        <v>4792.76972</v>
      </c>
      <c r="K624" s="29" t="n">
        <v>4769.97694</v>
      </c>
      <c r="L624" s="29" t="n">
        <v>4716.33597</v>
      </c>
      <c r="M624" s="29" t="n">
        <v>4718.85043</v>
      </c>
      <c r="N624" s="29" t="n">
        <v>4531.36057</v>
      </c>
      <c r="O624" s="29" t="n">
        <v>4556.93783</v>
      </c>
      <c r="Q624" s="29" t="n">
        <v>4674.48559</v>
      </c>
      <c r="R624" s="29" t="n">
        <v>4722.50326</v>
      </c>
      <c r="S624" s="29" t="n">
        <v>4698.31965</v>
      </c>
      <c r="V624" s="29" t="n">
        <v>4641.8404</v>
      </c>
      <c r="AB624" s="29" t="n">
        <v>4754.63852</v>
      </c>
      <c r="AC624" s="29" t="n">
        <v>4752.66829</v>
      </c>
      <c r="AD624" s="29" t="n">
        <v>0</v>
      </c>
    </row>
    <row r="625" ht="14.25" customHeight="1" s="28">
      <c r="A625" s="29" t="n">
        <v>1778164201</v>
      </c>
      <c r="B625" s="29" t="inlineStr">
        <is>
          <t>XAUUSD</t>
        </is>
      </c>
      <c r="C625" s="29" t="inlineStr">
        <is>
          <t>M15</t>
        </is>
      </c>
      <c r="D625" s="29" t="n">
        <v>4751.91</v>
      </c>
      <c r="E625" s="29" t="n">
        <v>4717.79398</v>
      </c>
      <c r="F625" s="29" t="n">
        <v>4695.2428</v>
      </c>
      <c r="G625" s="29" t="n">
        <v>4518.59282</v>
      </c>
      <c r="H625" s="29" t="n">
        <v>4596.05595</v>
      </c>
      <c r="I625" s="29" t="n">
        <v>4755.40355</v>
      </c>
      <c r="J625" s="29" t="n">
        <v>4792.76972</v>
      </c>
      <c r="K625" s="29" t="n">
        <v>4769.97694</v>
      </c>
      <c r="L625" s="29" t="n">
        <v>4716.33597</v>
      </c>
      <c r="M625" s="29" t="n">
        <v>4718.85043</v>
      </c>
      <c r="N625" s="29" t="n">
        <v>4531.36057</v>
      </c>
      <c r="O625" s="29" t="n">
        <v>4556.93783</v>
      </c>
      <c r="Q625" s="29" t="n">
        <v>4674.68804</v>
      </c>
      <c r="R625" s="29" t="n">
        <v>4722.7057</v>
      </c>
      <c r="S625" s="29" t="n">
        <v>4698.52209</v>
      </c>
      <c r="V625" s="29" t="n">
        <v>4642.04285</v>
      </c>
      <c r="AB625" s="29" t="n">
        <v>4754.95669</v>
      </c>
      <c r="AC625" s="29" t="n">
        <v>4753.81249</v>
      </c>
      <c r="AD625" s="29" t="n">
        <v>0</v>
      </c>
    </row>
    <row r="626" ht="14.25" customHeight="1" s="28">
      <c r="A626" s="29" t="n">
        <v>1778165101</v>
      </c>
      <c r="B626" s="29" t="inlineStr">
        <is>
          <t>XAUUSD</t>
        </is>
      </c>
      <c r="C626" s="29" t="inlineStr">
        <is>
          <t>M15</t>
        </is>
      </c>
      <c r="D626" s="29" t="n">
        <v>4762.74</v>
      </c>
      <c r="E626" s="29" t="n">
        <v>4717.79398</v>
      </c>
      <c r="F626" s="29" t="n">
        <v>4695.2428</v>
      </c>
      <c r="G626" s="29" t="n">
        <v>4518.59282</v>
      </c>
      <c r="H626" s="29" t="n">
        <v>4596.05595</v>
      </c>
      <c r="I626" s="29" t="n">
        <v>4755.40355</v>
      </c>
      <c r="J626" s="29" t="n">
        <v>4792.76972</v>
      </c>
      <c r="K626" s="29" t="n">
        <v>4769.97694</v>
      </c>
      <c r="L626" s="29" t="n">
        <v>4716.33597</v>
      </c>
      <c r="M626" s="29" t="n">
        <v>4718.85043</v>
      </c>
      <c r="N626" s="29" t="n">
        <v>4531.36057</v>
      </c>
      <c r="O626" s="29" t="n">
        <v>4556.93783</v>
      </c>
      <c r="Q626" s="29" t="n">
        <v>4674.89049</v>
      </c>
      <c r="R626" s="29" t="n">
        <v>4722.90815</v>
      </c>
      <c r="S626" s="29" t="n">
        <v>4698.72454</v>
      </c>
      <c r="V626" s="29" t="n">
        <v>4642.24529</v>
      </c>
      <c r="AB626" s="29" t="n">
        <v>4753.57583</v>
      </c>
      <c r="AC626" s="29" t="n">
        <v>4753.69416</v>
      </c>
      <c r="AD626" s="29" t="n">
        <v>1</v>
      </c>
    </row>
    <row r="627" ht="14.25" customHeight="1" s="28">
      <c r="A627" s="29" t="n">
        <v>1778166001</v>
      </c>
      <c r="B627" s="29" t="inlineStr">
        <is>
          <t>XAUUSD</t>
        </is>
      </c>
      <c r="C627" s="29" t="inlineStr">
        <is>
          <t>M15</t>
        </is>
      </c>
      <c r="D627" s="29" t="n">
        <v>4754.77</v>
      </c>
      <c r="E627" s="29" t="n">
        <v>4717.79398</v>
      </c>
      <c r="F627" s="29" t="n">
        <v>4695.2428</v>
      </c>
      <c r="G627" s="29" t="n">
        <v>4518.59282</v>
      </c>
      <c r="H627" s="29" t="n">
        <v>4596.05595</v>
      </c>
      <c r="I627" s="29" t="n">
        <v>4755.40355</v>
      </c>
      <c r="J627" s="29" t="n">
        <v>4792.76972</v>
      </c>
      <c r="K627" s="29" t="n">
        <v>4769.97694</v>
      </c>
      <c r="L627" s="29" t="n">
        <v>4716.33597</v>
      </c>
      <c r="M627" s="29" t="n">
        <v>4718.85043</v>
      </c>
      <c r="N627" s="29" t="n">
        <v>4531.36057</v>
      </c>
      <c r="O627" s="29" t="n">
        <v>4556.93783</v>
      </c>
      <c r="Q627" s="29" t="n">
        <v>4675.09293</v>
      </c>
      <c r="R627" s="29" t="n">
        <v>4723.1106</v>
      </c>
      <c r="S627" s="29" t="n">
        <v>4698.92698</v>
      </c>
      <c r="V627" s="29" t="n">
        <v>4642.44774</v>
      </c>
      <c r="Z627" s="29" t="n">
        <v>4764.7</v>
      </c>
      <c r="AB627" s="29" t="n">
        <v>4750.00249</v>
      </c>
      <c r="AC627" s="29" t="n">
        <v>4751.84833</v>
      </c>
      <c r="AD627" s="29" t="n">
        <v>0</v>
      </c>
    </row>
    <row r="628" ht="14.25" customHeight="1" s="28">
      <c r="A628" s="29" t="n">
        <v>1778166901</v>
      </c>
      <c r="B628" s="29" t="inlineStr">
        <is>
          <t>XAUUSD</t>
        </is>
      </c>
      <c r="C628" s="29" t="inlineStr">
        <is>
          <t>M15</t>
        </is>
      </c>
      <c r="D628" s="29" t="n">
        <v>4740.18</v>
      </c>
      <c r="E628" s="29" t="n">
        <v>4717.79398</v>
      </c>
      <c r="F628" s="29" t="n">
        <v>4695.2428</v>
      </c>
      <c r="G628" s="29" t="n">
        <v>4518.59282</v>
      </c>
      <c r="H628" s="29" t="n">
        <v>4596.05595</v>
      </c>
      <c r="I628" s="29" t="n">
        <v>4755.40355</v>
      </c>
      <c r="J628" s="29" t="n">
        <v>4792.76972</v>
      </c>
      <c r="K628" s="29" t="n">
        <v>4769.97694</v>
      </c>
      <c r="L628" s="29" t="n">
        <v>4716.33597</v>
      </c>
      <c r="M628" s="29" t="n">
        <v>4718.85043</v>
      </c>
      <c r="N628" s="29" t="n">
        <v>4531.36057</v>
      </c>
      <c r="O628" s="29" t="n">
        <v>4556.93783</v>
      </c>
      <c r="Q628" s="29" t="n">
        <v>4675.29538</v>
      </c>
      <c r="R628" s="29" t="n">
        <v>4723.31304</v>
      </c>
      <c r="S628" s="29" t="n">
        <v>4699.12943</v>
      </c>
      <c r="V628" s="29" t="n">
        <v>4642.65019</v>
      </c>
      <c r="AB628" s="29" t="n">
        <v>4744.53907</v>
      </c>
      <c r="AC628" s="29" t="n">
        <v>4748.1937</v>
      </c>
      <c r="AD628" s="29" t="n">
        <v>0</v>
      </c>
    </row>
    <row r="629" ht="14.25" customHeight="1" s="28">
      <c r="A629" s="29" t="n">
        <v>1778167801</v>
      </c>
      <c r="B629" s="29" t="inlineStr">
        <is>
          <t>XAUUSD</t>
        </is>
      </c>
      <c r="C629" s="29" t="inlineStr">
        <is>
          <t>M15</t>
        </is>
      </c>
      <c r="D629" s="29" t="n">
        <v>4738.92</v>
      </c>
      <c r="E629" s="29" t="n">
        <v>4717.79398</v>
      </c>
      <c r="F629" s="29" t="n">
        <v>4695.2428</v>
      </c>
      <c r="G629" s="29" t="n">
        <v>4518.59282</v>
      </c>
      <c r="H629" s="29" t="n">
        <v>4596.05595</v>
      </c>
      <c r="I629" s="29" t="n">
        <v>4755.40355</v>
      </c>
      <c r="J629" s="29" t="n">
        <v>4792.76972</v>
      </c>
      <c r="K629" s="29" t="n">
        <v>4769.97694</v>
      </c>
      <c r="L629" s="29" t="n">
        <v>4716.33597</v>
      </c>
      <c r="M629" s="29" t="n">
        <v>4718.85043</v>
      </c>
      <c r="N629" s="29" t="n">
        <v>4531.36057</v>
      </c>
      <c r="O629" s="29" t="n">
        <v>4556.93783</v>
      </c>
      <c r="Q629" s="29" t="n">
        <v>4675.49782</v>
      </c>
      <c r="R629" s="29" t="n">
        <v>4723.51549</v>
      </c>
      <c r="S629" s="29" t="n">
        <v>4699.33187</v>
      </c>
      <c r="V629" s="29" t="n">
        <v>4642.85263</v>
      </c>
      <c r="AB629" s="29" t="n">
        <v>4737.92792</v>
      </c>
      <c r="AC629" s="29" t="n">
        <v>4743.06081</v>
      </c>
      <c r="AD629" s="29" t="n">
        <v>0</v>
      </c>
    </row>
    <row r="630" ht="14.25" customHeight="1" s="28">
      <c r="A630" s="29" t="n">
        <v>1778168701</v>
      </c>
      <c r="B630" s="29" t="inlineStr">
        <is>
          <t>XAUUSD</t>
        </is>
      </c>
      <c r="C630" s="29" t="inlineStr">
        <is>
          <t>M15</t>
        </is>
      </c>
      <c r="D630" s="29" t="n">
        <v>4729.17</v>
      </c>
      <c r="E630" s="29" t="n">
        <v>4717.79398</v>
      </c>
      <c r="F630" s="29" t="n">
        <v>4695.2428</v>
      </c>
      <c r="G630" s="29" t="n">
        <v>4518.59282</v>
      </c>
      <c r="H630" s="29" t="n">
        <v>4596.05595</v>
      </c>
      <c r="I630" s="29" t="n">
        <v>4755.40355</v>
      </c>
      <c r="J630" s="29" t="n">
        <v>4792.76972</v>
      </c>
      <c r="K630" s="29" t="n">
        <v>4769.97694</v>
      </c>
      <c r="L630" s="29" t="n">
        <v>4716.33597</v>
      </c>
      <c r="M630" s="29" t="n">
        <v>4718.85043</v>
      </c>
      <c r="N630" s="29" t="n">
        <v>4531.36057</v>
      </c>
      <c r="O630" s="29" t="n">
        <v>4556.93783</v>
      </c>
      <c r="Q630" s="29" t="n">
        <v>4675.70027</v>
      </c>
      <c r="R630" s="29" t="n">
        <v>4723.71793</v>
      </c>
      <c r="S630" s="29" t="n">
        <v>4699.53432</v>
      </c>
      <c r="V630" s="29" t="n">
        <v>4643.05508</v>
      </c>
      <c r="AB630" s="29" t="n">
        <v>4730.71071</v>
      </c>
      <c r="AC630" s="29" t="n">
        <v>4736.88576</v>
      </c>
      <c r="AD630" s="29" t="n">
        <v>0</v>
      </c>
    </row>
    <row r="631" ht="14.25" customHeight="1" s="28">
      <c r="A631" s="29" t="n">
        <v>1778169601</v>
      </c>
      <c r="B631" s="29" t="inlineStr">
        <is>
          <t>XAUUSD</t>
        </is>
      </c>
      <c r="C631" s="29" t="inlineStr">
        <is>
          <t>M15</t>
        </is>
      </c>
      <c r="D631" s="29" t="n">
        <v>4714.99</v>
      </c>
      <c r="E631" s="29" t="n">
        <v>4717.79398</v>
      </c>
      <c r="F631" s="29" t="n">
        <v>4695.2428</v>
      </c>
      <c r="G631" s="29" t="n">
        <v>4518.59282</v>
      </c>
      <c r="H631" s="29" t="n">
        <v>4596.05595</v>
      </c>
      <c r="I631" s="29" t="n">
        <v>4755.40355</v>
      </c>
      <c r="J631" s="29" t="n">
        <v>4792.76972</v>
      </c>
      <c r="K631" s="29" t="n">
        <v>4769.97694</v>
      </c>
      <c r="L631" s="29" t="n">
        <v>4716.33597</v>
      </c>
      <c r="M631" s="29" t="n">
        <v>4718.85043</v>
      </c>
      <c r="N631" s="29" t="n">
        <v>4531.36057</v>
      </c>
      <c r="O631" s="29" t="n">
        <v>4556.93783</v>
      </c>
      <c r="Q631" s="29" t="n">
        <v>4675.90271</v>
      </c>
      <c r="R631" s="29" t="n">
        <v>4723.92038</v>
      </c>
      <c r="S631" s="29" t="n">
        <v>4699.73677</v>
      </c>
      <c r="V631" s="29" t="n">
        <v>4643.25752</v>
      </c>
      <c r="AB631" s="29" t="n">
        <v>4723.70758</v>
      </c>
      <c r="AC631" s="29" t="n">
        <v>4730.29667</v>
      </c>
      <c r="AD631" s="29" t="n">
        <v>0</v>
      </c>
    </row>
    <row r="632" ht="14.25" customHeight="1" s="28">
      <c r="A632" s="29" t="n">
        <v>1778170501</v>
      </c>
      <c r="B632" s="29" t="inlineStr">
        <is>
          <t>XAUUSD</t>
        </is>
      </c>
      <c r="C632" s="29" t="inlineStr">
        <is>
          <t>M15</t>
        </is>
      </c>
      <c r="D632" s="29" t="n">
        <v>4719.84</v>
      </c>
      <c r="E632" s="29" t="n">
        <v>4717.79398</v>
      </c>
      <c r="F632" s="29" t="n">
        <v>4695.2428</v>
      </c>
      <c r="G632" s="29" t="n">
        <v>4518.59282</v>
      </c>
      <c r="H632" s="29" t="n">
        <v>4596.05595</v>
      </c>
      <c r="I632" s="29" t="n">
        <v>4755.40355</v>
      </c>
      <c r="J632" s="29" t="n">
        <v>4792.76972</v>
      </c>
      <c r="K632" s="29" t="n">
        <v>4769.97694</v>
      </c>
      <c r="L632" s="29" t="n">
        <v>4716.33597</v>
      </c>
      <c r="M632" s="29" t="n">
        <v>4718.85043</v>
      </c>
      <c r="N632" s="29" t="n">
        <v>4531.36057</v>
      </c>
      <c r="O632" s="29" t="n">
        <v>4556.93783</v>
      </c>
      <c r="Q632" s="29" t="n">
        <v>4676.10516</v>
      </c>
      <c r="R632" s="29" t="n">
        <v>4724.12282</v>
      </c>
      <c r="S632" s="29" t="n">
        <v>4699.93921</v>
      </c>
      <c r="V632" s="29" t="n">
        <v>4643.45997</v>
      </c>
      <c r="AB632" s="29" t="n">
        <v>4717.73927</v>
      </c>
      <c r="AC632" s="29" t="n">
        <v>4724.01797</v>
      </c>
      <c r="AD632" s="29" t="n">
        <v>0</v>
      </c>
    </row>
    <row r="633" ht="14.25" customHeight="1" s="28">
      <c r="A633" s="29" t="n">
        <v>1778171401</v>
      </c>
      <c r="B633" s="29" t="inlineStr">
        <is>
          <t>XAUUSD</t>
        </is>
      </c>
      <c r="C633" s="29" t="inlineStr">
        <is>
          <t>M15</t>
        </is>
      </c>
      <c r="D633" s="29" t="n">
        <v>4711.23</v>
      </c>
      <c r="E633" s="29" t="n">
        <v>4717.79398</v>
      </c>
      <c r="F633" s="29" t="n">
        <v>4695.2428</v>
      </c>
      <c r="G633" s="29" t="n">
        <v>4518.59282</v>
      </c>
      <c r="H633" s="29" t="n">
        <v>4596.05595</v>
      </c>
      <c r="I633" s="29" t="n">
        <v>4755.40355</v>
      </c>
      <c r="J633" s="29" t="n">
        <v>4792.76972</v>
      </c>
      <c r="K633" s="29" t="n">
        <v>4769.97694</v>
      </c>
      <c r="L633" s="29" t="n">
        <v>4716.33597</v>
      </c>
      <c r="M633" s="29" t="n">
        <v>4718.85043</v>
      </c>
      <c r="N633" s="29" t="n">
        <v>4531.36057</v>
      </c>
      <c r="O633" s="29" t="n">
        <v>4556.93783</v>
      </c>
      <c r="Q633" s="29" t="n">
        <v>4676.30761</v>
      </c>
      <c r="R633" s="29" t="n">
        <v>4724.32527</v>
      </c>
      <c r="S633" s="29" t="n">
        <v>4700.14166</v>
      </c>
      <c r="V633" s="29" t="n">
        <v>4643.66241</v>
      </c>
      <c r="AB633" s="29" t="n">
        <v>4712.9297</v>
      </c>
      <c r="AC633" s="29" t="n">
        <v>4718.47384</v>
      </c>
      <c r="AD633" s="29" t="n">
        <v>0</v>
      </c>
    </row>
    <row r="634" ht="14.25" customHeight="1" s="28">
      <c r="A634" s="29" t="n">
        <v>1778172301</v>
      </c>
      <c r="B634" s="29" t="inlineStr">
        <is>
          <t>XAUUSD</t>
        </is>
      </c>
      <c r="C634" s="29" t="inlineStr">
        <is>
          <t>M15</t>
        </is>
      </c>
      <c r="D634" s="29" t="n">
        <v>4715</v>
      </c>
      <c r="E634" s="29" t="n">
        <v>4717.79398</v>
      </c>
      <c r="F634" s="29" t="n">
        <v>4695.2428</v>
      </c>
      <c r="G634" s="29" t="n">
        <v>4518.59282</v>
      </c>
      <c r="H634" s="29" t="n">
        <v>4596.05595</v>
      </c>
      <c r="I634" s="29" t="n">
        <v>4755.40355</v>
      </c>
      <c r="J634" s="29" t="n">
        <v>4792.76972</v>
      </c>
      <c r="K634" s="29" t="n">
        <v>4769.97694</v>
      </c>
      <c r="L634" s="29" t="n">
        <v>4716.33597</v>
      </c>
      <c r="M634" s="29" t="n">
        <v>4718.85043</v>
      </c>
      <c r="N634" s="29" t="n">
        <v>4531.36057</v>
      </c>
      <c r="O634" s="29" t="n">
        <v>4556.93783</v>
      </c>
      <c r="Q634" s="29" t="n">
        <v>4676.51005</v>
      </c>
      <c r="R634" s="29" t="n">
        <v>4724.52772</v>
      </c>
      <c r="S634" s="29" t="n">
        <v>4700.3441</v>
      </c>
      <c r="V634" s="29" t="n">
        <v>4643.86486</v>
      </c>
      <c r="AB634" s="29" t="n">
        <v>4709.52521</v>
      </c>
      <c r="AC634" s="29" t="n">
        <v>4713.99952</v>
      </c>
      <c r="AD634" s="29" t="n">
        <v>0</v>
      </c>
    </row>
    <row r="635" ht="14.25" customHeight="1" s="28">
      <c r="A635" s="29" t="n">
        <v>1778173201</v>
      </c>
      <c r="B635" s="29" t="inlineStr">
        <is>
          <t>XAUUSD</t>
        </is>
      </c>
      <c r="C635" s="29" t="inlineStr">
        <is>
          <t>M15</t>
        </is>
      </c>
      <c r="D635" s="29" t="n">
        <v>4714.61</v>
      </c>
      <c r="E635" s="29" t="n">
        <v>4717.79398</v>
      </c>
      <c r="F635" s="29" t="n">
        <v>4695.2428</v>
      </c>
      <c r="G635" s="29" t="n">
        <v>4518.59282</v>
      </c>
      <c r="H635" s="29" t="n">
        <v>4596.05595</v>
      </c>
      <c r="I635" s="29" t="n">
        <v>4755.40355</v>
      </c>
      <c r="J635" s="29" t="n">
        <v>4792.76972</v>
      </c>
      <c r="K635" s="29" t="n">
        <v>4769.97694</v>
      </c>
      <c r="L635" s="29" t="n">
        <v>4716.33597</v>
      </c>
      <c r="M635" s="29" t="n">
        <v>4718.85043</v>
      </c>
      <c r="N635" s="29" t="n">
        <v>4531.36057</v>
      </c>
      <c r="O635" s="29" t="n">
        <v>4556.93783</v>
      </c>
      <c r="Q635" s="29" t="n">
        <v>4676.7125</v>
      </c>
      <c r="R635" s="29" t="n">
        <v>4724.73016</v>
      </c>
      <c r="S635" s="29" t="n">
        <v>4700.54655</v>
      </c>
      <c r="V635" s="29" t="n">
        <v>4644.0673</v>
      </c>
      <c r="AB635" s="29" t="n">
        <v>4707.29405</v>
      </c>
      <c r="AC635" s="29" t="n">
        <v>4710.64678</v>
      </c>
      <c r="AD635" s="29" t="n">
        <v>0</v>
      </c>
    </row>
    <row r="636" ht="14.25" customHeight="1" s="28">
      <c r="A636" s="29" t="n">
        <v>1778174101</v>
      </c>
      <c r="B636" s="29" t="inlineStr">
        <is>
          <t>XAUUSD</t>
        </is>
      </c>
      <c r="C636" s="29" t="inlineStr">
        <is>
          <t>M15</t>
        </is>
      </c>
      <c r="D636" s="29" t="n">
        <v>4699.29</v>
      </c>
      <c r="E636" s="29" t="n">
        <v>4717.79398</v>
      </c>
      <c r="F636" s="29" t="n">
        <v>4695.2428</v>
      </c>
      <c r="G636" s="29" t="n">
        <v>4518.59282</v>
      </c>
      <c r="H636" s="29" t="n">
        <v>4596.05595</v>
      </c>
      <c r="I636" s="29" t="n">
        <v>4755.40355</v>
      </c>
      <c r="J636" s="29" t="n">
        <v>4792.76972</v>
      </c>
      <c r="K636" s="29" t="n">
        <v>4769.97694</v>
      </c>
      <c r="L636" s="29" t="n">
        <v>4716.33597</v>
      </c>
      <c r="M636" s="29" t="n">
        <v>4718.85043</v>
      </c>
      <c r="N636" s="29" t="n">
        <v>4531.36057</v>
      </c>
      <c r="O636" s="29" t="n">
        <v>4556.93783</v>
      </c>
      <c r="Q636" s="29" t="n">
        <v>4676.91494</v>
      </c>
      <c r="R636" s="29" t="n">
        <v>4724.93261</v>
      </c>
      <c r="S636" s="29" t="n">
        <v>4700.74899</v>
      </c>
      <c r="V636" s="29" t="n">
        <v>4644.26975</v>
      </c>
      <c r="AB636" s="29" t="n">
        <v>4706.02639</v>
      </c>
      <c r="AC636" s="29" t="n">
        <v>4708.33659</v>
      </c>
      <c r="AD636" s="29" t="n">
        <v>0</v>
      </c>
    </row>
    <row r="637" ht="14.25" customHeight="1" s="28">
      <c r="A637" s="29" t="n">
        <v>1778175001</v>
      </c>
      <c r="B637" s="29" t="inlineStr">
        <is>
          <t>XAUUSD</t>
        </is>
      </c>
      <c r="C637" s="29" t="inlineStr">
        <is>
          <t>M15</t>
        </is>
      </c>
      <c r="D637" s="29" t="n">
        <v>4699.72</v>
      </c>
      <c r="E637" s="29" t="n">
        <v>4717.79398</v>
      </c>
      <c r="F637" s="29" t="n">
        <v>4695.2428</v>
      </c>
      <c r="G637" s="29" t="n">
        <v>4518.59282</v>
      </c>
      <c r="H637" s="29" t="n">
        <v>4596.05595</v>
      </c>
      <c r="I637" s="29" t="n">
        <v>4755.40355</v>
      </c>
      <c r="J637" s="29" t="n">
        <v>4792.76972</v>
      </c>
      <c r="K637" s="29" t="n">
        <v>4769.97694</v>
      </c>
      <c r="L637" s="29" t="n">
        <v>4716.33597</v>
      </c>
      <c r="M637" s="29" t="n">
        <v>4718.85043</v>
      </c>
      <c r="N637" s="29" t="n">
        <v>4531.36057</v>
      </c>
      <c r="O637" s="29" t="n">
        <v>4556.93783</v>
      </c>
      <c r="Q637" s="29" t="n">
        <v>4677.11739</v>
      </c>
      <c r="R637" s="29" t="n">
        <v>4725.13505</v>
      </c>
      <c r="S637" s="29" t="n">
        <v>4700.95144</v>
      </c>
      <c r="V637" s="29" t="n">
        <v>4644.4722</v>
      </c>
      <c r="AB637" s="29" t="n">
        <v>4705.87867</v>
      </c>
      <c r="AC637" s="29" t="n">
        <v>4707.10763</v>
      </c>
      <c r="AD637" s="29" t="n">
        <v>0</v>
      </c>
    </row>
    <row r="638" ht="14.25" customHeight="1" s="28">
      <c r="A638" s="29" t="n">
        <v>1778175901</v>
      </c>
      <c r="B638" s="29" t="inlineStr">
        <is>
          <t>XAUUSD</t>
        </is>
      </c>
      <c r="C638" s="29" t="inlineStr">
        <is>
          <t>M15</t>
        </is>
      </c>
      <c r="D638" s="29" t="n">
        <v>4711.45</v>
      </c>
      <c r="E638" s="29" t="n">
        <v>4717.79398</v>
      </c>
      <c r="F638" s="29" t="n">
        <v>4695.2428</v>
      </c>
      <c r="G638" s="29" t="n">
        <v>4518.59282</v>
      </c>
      <c r="H638" s="29" t="n">
        <v>4596.05595</v>
      </c>
      <c r="I638" s="29" t="n">
        <v>4755.40355</v>
      </c>
      <c r="J638" s="29" t="n">
        <v>4792.76972</v>
      </c>
      <c r="K638" s="29" t="n">
        <v>4769.97694</v>
      </c>
      <c r="L638" s="29" t="n">
        <v>4716.33597</v>
      </c>
      <c r="M638" s="29" t="n">
        <v>4718.85043</v>
      </c>
      <c r="N638" s="29" t="n">
        <v>4531.36057</v>
      </c>
      <c r="O638" s="29" t="n">
        <v>4556.93783</v>
      </c>
      <c r="Q638" s="29" t="n">
        <v>4677.31983</v>
      </c>
      <c r="R638" s="29" t="n">
        <v>4725.3375</v>
      </c>
      <c r="S638" s="29" t="n">
        <v>4701.15389</v>
      </c>
      <c r="V638" s="29" t="n">
        <v>4644.67464</v>
      </c>
      <c r="AB638" s="29" t="n">
        <v>4706.53825</v>
      </c>
      <c r="AC638" s="29" t="n">
        <v>4706.82294</v>
      </c>
      <c r="AD638" s="29" t="n">
        <v>0</v>
      </c>
    </row>
    <row r="639" ht="14.25" customHeight="1" s="28">
      <c r="A639" s="29" t="n">
        <v>1778176801</v>
      </c>
      <c r="B639" s="29" t="inlineStr">
        <is>
          <t>XAUUSD</t>
        </is>
      </c>
      <c r="C639" s="29" t="inlineStr">
        <is>
          <t>M15</t>
        </is>
      </c>
      <c r="D639" s="29" t="n">
        <v>4708.08</v>
      </c>
      <c r="E639" s="29" t="n">
        <v>4717.79398</v>
      </c>
      <c r="F639" s="29" t="n">
        <v>4695.2428</v>
      </c>
      <c r="G639" s="29" t="n">
        <v>4518.59282</v>
      </c>
      <c r="H639" s="29" t="n">
        <v>4596.05595</v>
      </c>
      <c r="I639" s="29" t="n">
        <v>4755.40355</v>
      </c>
      <c r="J639" s="29" t="n">
        <v>4792.76972</v>
      </c>
      <c r="K639" s="29" t="n">
        <v>4769.97694</v>
      </c>
      <c r="L639" s="29" t="n">
        <v>4716.33597</v>
      </c>
      <c r="M639" s="29" t="n">
        <v>4718.85043</v>
      </c>
      <c r="N639" s="29" t="n">
        <v>4531.36057</v>
      </c>
      <c r="O639" s="29" t="n">
        <v>4556.93783</v>
      </c>
      <c r="Q639" s="29" t="n">
        <v>4677.52228</v>
      </c>
      <c r="R639" s="29" t="n">
        <v>4725.53994</v>
      </c>
      <c r="S639" s="29" t="n">
        <v>4701.35633</v>
      </c>
      <c r="V639" s="29" t="n">
        <v>4644.87709</v>
      </c>
      <c r="AB639" s="29" t="n">
        <v>4707.40678</v>
      </c>
      <c r="AC639" s="29" t="n">
        <v>4707.11486</v>
      </c>
      <c r="AD639" s="29" t="n">
        <v>1</v>
      </c>
    </row>
    <row r="640" ht="14.25" customHeight="1" s="28">
      <c r="A640" s="29" t="n">
        <v>1778177701</v>
      </c>
      <c r="B640" s="29" t="inlineStr">
        <is>
          <t>XAUUSD</t>
        </is>
      </c>
      <c r="C640" s="29" t="inlineStr">
        <is>
          <t>M15</t>
        </is>
      </c>
      <c r="D640" s="29" t="n">
        <v>4712.9</v>
      </c>
      <c r="E640" s="29" t="n">
        <v>4717.79398</v>
      </c>
      <c r="F640" s="29" t="n">
        <v>4695.2428</v>
      </c>
      <c r="G640" s="29" t="n">
        <v>4518.59282</v>
      </c>
      <c r="H640" s="29" t="n">
        <v>4596.05595</v>
      </c>
      <c r="I640" s="29" t="n">
        <v>4755.40355</v>
      </c>
      <c r="J640" s="29" t="n">
        <v>4792.76972</v>
      </c>
      <c r="K640" s="29" t="n">
        <v>4769.97694</v>
      </c>
      <c r="L640" s="29" t="n">
        <v>4716.33597</v>
      </c>
      <c r="M640" s="29" t="n">
        <v>4718.85043</v>
      </c>
      <c r="N640" s="29" t="n">
        <v>4531.36057</v>
      </c>
      <c r="O640" s="29" t="n">
        <v>4556.93783</v>
      </c>
      <c r="Q640" s="29" t="n">
        <v>4677.72473</v>
      </c>
      <c r="R640" s="29" t="n">
        <v>4725.74239</v>
      </c>
      <c r="S640" s="29" t="n">
        <v>4701.55878</v>
      </c>
      <c r="V640" s="29" t="n">
        <v>4645.07953</v>
      </c>
      <c r="AB640" s="29" t="n">
        <v>4708.35741</v>
      </c>
      <c r="AC640" s="29" t="n">
        <v>4707.73613</v>
      </c>
      <c r="AD640" s="29" t="n">
        <v>0</v>
      </c>
    </row>
    <row r="641" ht="14.25" customHeight="1" s="28">
      <c r="A641" s="29" t="n">
        <v>1778178601</v>
      </c>
      <c r="B641" s="29" t="inlineStr">
        <is>
          <t>XAUUSD</t>
        </is>
      </c>
      <c r="C641" s="29" t="inlineStr">
        <is>
          <t>M15</t>
        </is>
      </c>
      <c r="D641" s="29" t="n">
        <v>4705.96</v>
      </c>
      <c r="E641" s="29" t="n">
        <v>4717.79398</v>
      </c>
      <c r="F641" s="29" t="n">
        <v>4695.2428</v>
      </c>
      <c r="G641" s="29" t="n">
        <v>4518.59282</v>
      </c>
      <c r="H641" s="29" t="n">
        <v>4596.05595</v>
      </c>
      <c r="I641" s="29" t="n">
        <v>4755.40355</v>
      </c>
      <c r="J641" s="29" t="n">
        <v>4792.76972</v>
      </c>
      <c r="K641" s="29" t="n">
        <v>4769.97694</v>
      </c>
      <c r="L641" s="29" t="n">
        <v>4716.33597</v>
      </c>
      <c r="M641" s="29" t="n">
        <v>4718.85043</v>
      </c>
      <c r="N641" s="29" t="n">
        <v>4531.36057</v>
      </c>
      <c r="O641" s="29" t="n">
        <v>4556.93783</v>
      </c>
      <c r="Q641" s="29" t="n">
        <v>4677.92717</v>
      </c>
      <c r="R641" s="29" t="n">
        <v>4725.94484</v>
      </c>
      <c r="S641" s="29" t="n">
        <v>4701.76122</v>
      </c>
      <c r="V641" s="29" t="n">
        <v>4645.28198</v>
      </c>
      <c r="AB641" s="29" t="n">
        <v>4709.10357</v>
      </c>
      <c r="AC641" s="29" t="n">
        <v>4708.41985</v>
      </c>
      <c r="AD641" s="29" t="n">
        <v>0</v>
      </c>
    </row>
    <row r="642" ht="14.25" customHeight="1" s="28">
      <c r="A642" s="29" t="n">
        <v>1778179501</v>
      </c>
      <c r="B642" s="29" t="inlineStr">
        <is>
          <t>XAUUSD</t>
        </is>
      </c>
      <c r="C642" s="29" t="inlineStr">
        <is>
          <t>M15</t>
        </is>
      </c>
      <c r="D642" s="29" t="n">
        <v>4709.55</v>
      </c>
      <c r="E642" s="29" t="n">
        <v>4717.79398</v>
      </c>
      <c r="F642" s="29" t="n">
        <v>4695.2428</v>
      </c>
      <c r="G642" s="29" t="n">
        <v>4518.59282</v>
      </c>
      <c r="H642" s="29" t="n">
        <v>4596.05595</v>
      </c>
      <c r="I642" s="29" t="n">
        <v>4755.40355</v>
      </c>
      <c r="J642" s="29" t="n">
        <v>4792.76972</v>
      </c>
      <c r="K642" s="29" t="n">
        <v>4769.97694</v>
      </c>
      <c r="L642" s="29" t="n">
        <v>4716.33597</v>
      </c>
      <c r="M642" s="29" t="n">
        <v>4718.85043</v>
      </c>
      <c r="N642" s="29" t="n">
        <v>4531.36057</v>
      </c>
      <c r="O642" s="29" t="n">
        <v>4556.93783</v>
      </c>
      <c r="Q642" s="29" t="n">
        <v>4678.12962</v>
      </c>
      <c r="R642" s="29" t="n">
        <v>4726.14728</v>
      </c>
      <c r="S642" s="29" t="n">
        <v>4701.96367</v>
      </c>
      <c r="V642" s="29" t="n">
        <v>4645.48442</v>
      </c>
      <c r="AB642" s="29" t="n">
        <v>4709.72996</v>
      </c>
      <c r="AC642" s="29" t="n">
        <v>4709.07491</v>
      </c>
      <c r="AD642" s="29" t="n">
        <v>0</v>
      </c>
    </row>
    <row r="643" ht="14.25" customHeight="1" s="28">
      <c r="A643" s="29" t="n">
        <v>1778180401</v>
      </c>
      <c r="B643" s="29" t="inlineStr">
        <is>
          <t>XAUUSD</t>
        </is>
      </c>
      <c r="C643" s="29" t="inlineStr">
        <is>
          <t>M15</t>
        </is>
      </c>
      <c r="D643" s="29" t="n">
        <v>4710.04</v>
      </c>
      <c r="E643" s="29" t="n">
        <v>4717.79398</v>
      </c>
      <c r="F643" s="29" t="n">
        <v>4695.2428</v>
      </c>
      <c r="G643" s="29" t="n">
        <v>4518.59282</v>
      </c>
      <c r="H643" s="29" t="n">
        <v>4596.05595</v>
      </c>
      <c r="I643" s="29" t="n">
        <v>4755.40355</v>
      </c>
      <c r="J643" s="29" t="n">
        <v>4792.76972</v>
      </c>
      <c r="K643" s="29" t="n">
        <v>4769.97694</v>
      </c>
      <c r="L643" s="29" t="n">
        <v>4716.33597</v>
      </c>
      <c r="M643" s="29" t="n">
        <v>4718.85043</v>
      </c>
      <c r="N643" s="29" t="n">
        <v>4531.36057</v>
      </c>
      <c r="O643" s="29" t="n">
        <v>4556.93783</v>
      </c>
      <c r="Q643" s="29" t="n">
        <v>4678.33206</v>
      </c>
      <c r="R643" s="29" t="n">
        <v>4726.34973</v>
      </c>
      <c r="S643" s="29" t="n">
        <v>4702.16611</v>
      </c>
      <c r="V643" s="29" t="n">
        <v>4645.68687</v>
      </c>
      <c r="AB643" s="29" t="n">
        <v>4710.04</v>
      </c>
      <c r="AC643" s="29" t="n">
        <v>4709.55746</v>
      </c>
      <c r="AD643" s="29" t="n">
        <v>0</v>
      </c>
    </row>
    <row r="644" ht="14.25" customHeight="1" s="28">
      <c r="A644" s="29" t="n">
        <v>1778181301</v>
      </c>
      <c r="B644" s="29" t="inlineStr">
        <is>
          <t>XAUUSD</t>
        </is>
      </c>
      <c r="C644" s="29" t="inlineStr">
        <is>
          <t>M15</t>
        </is>
      </c>
      <c r="D644" s="29" t="n">
        <v>4705.05</v>
      </c>
      <c r="E644" s="29" t="n">
        <v>4717.79398</v>
      </c>
      <c r="F644" s="29" t="n">
        <v>4695.2428</v>
      </c>
      <c r="G644" s="29" t="n">
        <v>4518.59282</v>
      </c>
      <c r="H644" s="29" t="n">
        <v>4596.05595</v>
      </c>
      <c r="I644" s="29" t="n">
        <v>4755.40355</v>
      </c>
      <c r="J644" s="29" t="n">
        <v>4792.76972</v>
      </c>
      <c r="K644" s="29" t="n">
        <v>4769.97694</v>
      </c>
      <c r="L644" s="29" t="n">
        <v>4716.33597</v>
      </c>
      <c r="M644" s="29" t="n">
        <v>4718.85043</v>
      </c>
      <c r="N644" s="29" t="n">
        <v>4531.36057</v>
      </c>
      <c r="O644" s="29" t="n">
        <v>4556.93783</v>
      </c>
      <c r="Q644" s="29" t="n">
        <v>4678.53451</v>
      </c>
      <c r="R644" s="29" t="n">
        <v>4726.55217</v>
      </c>
      <c r="S644" s="29" t="n">
        <v>4702.36856</v>
      </c>
      <c r="V644" s="29" t="n">
        <v>4645.88932</v>
      </c>
      <c r="AB644" s="29" t="n">
        <v>4709.89908</v>
      </c>
      <c r="AC644" s="29" t="n">
        <v>4709.72827</v>
      </c>
      <c r="AD644" s="29" t="n">
        <v>0</v>
      </c>
    </row>
    <row r="645" ht="14.25" customHeight="1" s="28">
      <c r="A645" s="29" t="n">
        <v>1778182201</v>
      </c>
      <c r="B645" s="29" t="inlineStr">
        <is>
          <t>XAUUSD</t>
        </is>
      </c>
      <c r="C645" s="29" t="inlineStr">
        <is>
          <t>M15</t>
        </is>
      </c>
      <c r="D645" s="29" t="n">
        <v>4709.69</v>
      </c>
      <c r="E645" s="29" t="n">
        <v>4717.79398</v>
      </c>
      <c r="F645" s="29" t="n">
        <v>4695.2428</v>
      </c>
      <c r="G645" s="29" t="n">
        <v>4518.59282</v>
      </c>
      <c r="H645" s="29" t="n">
        <v>4596.05595</v>
      </c>
      <c r="I645" s="29" t="n">
        <v>4755.40355</v>
      </c>
      <c r="J645" s="29" t="n">
        <v>4792.76972</v>
      </c>
      <c r="K645" s="29" t="n">
        <v>4769.97694</v>
      </c>
      <c r="L645" s="29" t="n">
        <v>4716.33597</v>
      </c>
      <c r="M645" s="29" t="n">
        <v>4718.85043</v>
      </c>
      <c r="N645" s="29" t="n">
        <v>4531.36057</v>
      </c>
      <c r="O645" s="29" t="n">
        <v>4556.93783</v>
      </c>
      <c r="Q645" s="29" t="n">
        <v>4678.73695</v>
      </c>
      <c r="R645" s="29" t="n">
        <v>4726.75462</v>
      </c>
      <c r="S645" s="29" t="n">
        <v>4702.57101</v>
      </c>
      <c r="V645" s="29" t="n">
        <v>4646.09176</v>
      </c>
      <c r="AB645" s="29" t="n">
        <v>4709.3224</v>
      </c>
      <c r="AC645" s="29" t="n">
        <v>4709.52533</v>
      </c>
      <c r="AD645" s="29" t="n">
        <v>1</v>
      </c>
    </row>
    <row r="646" ht="14.25" customHeight="1" s="28">
      <c r="A646" s="29" t="n">
        <v>1778183101</v>
      </c>
      <c r="B646" s="29" t="inlineStr">
        <is>
          <t>XAUUSD</t>
        </is>
      </c>
      <c r="C646" s="29" t="inlineStr">
        <is>
          <t>M15</t>
        </is>
      </c>
      <c r="D646" s="29" t="n">
        <v>4702.9</v>
      </c>
      <c r="E646" s="29" t="n">
        <v>4717.79398</v>
      </c>
      <c r="F646" s="29" t="n">
        <v>4695.2428</v>
      </c>
      <c r="G646" s="29" t="n">
        <v>4518.59282</v>
      </c>
      <c r="H646" s="29" t="n">
        <v>4596.05595</v>
      </c>
      <c r="I646" s="29" t="n">
        <v>4755.40355</v>
      </c>
      <c r="J646" s="29" t="n">
        <v>4792.76972</v>
      </c>
      <c r="K646" s="29" t="n">
        <v>4769.97694</v>
      </c>
      <c r="L646" s="29" t="n">
        <v>4716.33597</v>
      </c>
      <c r="M646" s="29" t="n">
        <v>4718.85043</v>
      </c>
      <c r="N646" s="29" t="n">
        <v>4531.36057</v>
      </c>
      <c r="O646" s="29" t="n">
        <v>4556.93783</v>
      </c>
      <c r="Q646" s="29" t="n">
        <v>4678.9394</v>
      </c>
      <c r="R646" s="29" t="n">
        <v>4726.95706</v>
      </c>
      <c r="S646" s="29" t="n">
        <v>4702.77345</v>
      </c>
      <c r="V646" s="29" t="n">
        <v>4646.29421</v>
      </c>
      <c r="AB646" s="29" t="n">
        <v>4708.0634</v>
      </c>
      <c r="AC646" s="29" t="n">
        <v>4708.79437</v>
      </c>
      <c r="AD646" s="29" t="n">
        <v>0</v>
      </c>
    </row>
    <row r="647" ht="14.25" customHeight="1" s="28">
      <c r="A647" s="29" t="n">
        <v>1778184001</v>
      </c>
      <c r="B647" s="29" t="inlineStr">
        <is>
          <t>XAUUSD</t>
        </is>
      </c>
      <c r="C647" s="29" t="inlineStr">
        <is>
          <t>M15</t>
        </is>
      </c>
      <c r="D647" s="29" t="n">
        <v>4711.55</v>
      </c>
      <c r="E647" s="29" t="n">
        <v>4717.79398</v>
      </c>
      <c r="F647" s="29" t="n">
        <v>4695.2428</v>
      </c>
      <c r="G647" s="29" t="n">
        <v>4518.59282</v>
      </c>
      <c r="H647" s="29" t="n">
        <v>4596.05595</v>
      </c>
      <c r="I647" s="29" t="n">
        <v>4755.40355</v>
      </c>
      <c r="J647" s="29" t="n">
        <v>4792.76972</v>
      </c>
      <c r="K647" s="29" t="n">
        <v>4769.97694</v>
      </c>
      <c r="L647" s="29" t="n">
        <v>4716.33597</v>
      </c>
      <c r="M647" s="29" t="n">
        <v>4718.85043</v>
      </c>
      <c r="N647" s="29" t="n">
        <v>4531.36057</v>
      </c>
      <c r="O647" s="29" t="n">
        <v>4556.93783</v>
      </c>
      <c r="Q647" s="29" t="n">
        <v>4679.14184</v>
      </c>
      <c r="R647" s="29" t="n">
        <v>4727.15951</v>
      </c>
      <c r="S647" s="29" t="n">
        <v>4702.9759</v>
      </c>
      <c r="V647" s="29" t="n">
        <v>4646.49665</v>
      </c>
      <c r="AB647" s="29" t="n">
        <v>4706.22051</v>
      </c>
      <c r="AC647" s="29" t="n">
        <v>4707.50744</v>
      </c>
      <c r="AD647" s="29" t="n">
        <v>0</v>
      </c>
    </row>
    <row r="648" ht="14.25" customHeight="1" s="28">
      <c r="A648" s="29" t="n">
        <v>1778184901</v>
      </c>
      <c r="B648" s="29" t="inlineStr">
        <is>
          <t>XAUUSD</t>
        </is>
      </c>
      <c r="C648" s="29" t="inlineStr">
        <is>
          <t>M15</t>
        </is>
      </c>
      <c r="D648" s="29" t="n">
        <v>4712.98</v>
      </c>
      <c r="E648" s="29" t="n">
        <v>4717.79398</v>
      </c>
      <c r="F648" s="29" t="n">
        <v>4695.2428</v>
      </c>
      <c r="G648" s="29" t="n">
        <v>4518.59282</v>
      </c>
      <c r="H648" s="29" t="n">
        <v>4596.05595</v>
      </c>
      <c r="I648" s="29" t="n">
        <v>4755.40355</v>
      </c>
      <c r="J648" s="29" t="n">
        <v>4792.76972</v>
      </c>
      <c r="K648" s="29" t="n">
        <v>4769.97694</v>
      </c>
      <c r="L648" s="29" t="n">
        <v>4716.33597</v>
      </c>
      <c r="M648" s="29" t="n">
        <v>4718.85043</v>
      </c>
      <c r="N648" s="29" t="n">
        <v>4531.36057</v>
      </c>
      <c r="O648" s="29" t="n">
        <v>4556.93783</v>
      </c>
      <c r="Q648" s="29" t="n">
        <v>4679.34429</v>
      </c>
      <c r="R648" s="29" t="n">
        <v>4727.36195</v>
      </c>
      <c r="S648" s="29" t="n">
        <v>4703.17834</v>
      </c>
      <c r="V648" s="29" t="n">
        <v>4646.6991</v>
      </c>
      <c r="AB648" s="29" t="n">
        <v>4703.5293</v>
      </c>
      <c r="AC648" s="29" t="n">
        <v>4705.51837</v>
      </c>
      <c r="AD648" s="29" t="n">
        <v>0</v>
      </c>
    </row>
    <row r="649" ht="14.25" customHeight="1" s="28">
      <c r="A649" s="29" t="n">
        <v>1778185801</v>
      </c>
      <c r="B649" s="29" t="inlineStr">
        <is>
          <t>XAUUSD</t>
        </is>
      </c>
      <c r="C649" s="29" t="inlineStr">
        <is>
          <t>M15</t>
        </is>
      </c>
      <c r="D649" s="29" t="n">
        <v>4703.9</v>
      </c>
      <c r="E649" s="29" t="n">
        <v>4717.79398</v>
      </c>
      <c r="F649" s="29" t="n">
        <v>4695.2428</v>
      </c>
      <c r="G649" s="29" t="n">
        <v>4518.59282</v>
      </c>
      <c r="H649" s="29" t="n">
        <v>4596.05595</v>
      </c>
      <c r="I649" s="29" t="n">
        <v>4755.40355</v>
      </c>
      <c r="J649" s="29" t="n">
        <v>4792.76972</v>
      </c>
      <c r="K649" s="29" t="n">
        <v>4769.97694</v>
      </c>
      <c r="L649" s="29" t="n">
        <v>4716.33597</v>
      </c>
      <c r="M649" s="29" t="n">
        <v>4718.85043</v>
      </c>
      <c r="N649" s="29" t="n">
        <v>4531.36057</v>
      </c>
      <c r="O649" s="29" t="n">
        <v>4556.93783</v>
      </c>
      <c r="Q649" s="29" t="n">
        <v>4679.54674</v>
      </c>
      <c r="R649" s="29" t="n">
        <v>4727.5644</v>
      </c>
      <c r="S649" s="29" t="n">
        <v>4703.38079</v>
      </c>
      <c r="V649" s="29" t="n">
        <v>4646.90154</v>
      </c>
      <c r="AB649" s="29" t="n">
        <v>4700.0862</v>
      </c>
      <c r="AC649" s="29" t="n">
        <v>4702.80229</v>
      </c>
      <c r="AD649" s="29" t="n">
        <v>0</v>
      </c>
    </row>
    <row r="650" ht="14.25" customHeight="1" s="28">
      <c r="A650" s="29" t="n">
        <v>1778186701</v>
      </c>
      <c r="B650" s="29" t="inlineStr">
        <is>
          <t>XAUUSD</t>
        </is>
      </c>
      <c r="C650" s="29" t="inlineStr">
        <is>
          <t>M15</t>
        </is>
      </c>
      <c r="D650" s="29" t="n">
        <v>4687.24</v>
      </c>
      <c r="E650" s="29" t="n">
        <v>4717.79398</v>
      </c>
      <c r="F650" s="29" t="n">
        <v>4695.2428</v>
      </c>
      <c r="G650" s="29" t="n">
        <v>4518.59282</v>
      </c>
      <c r="H650" s="29" t="n">
        <v>4596.05595</v>
      </c>
      <c r="I650" s="29" t="n">
        <v>4755.40355</v>
      </c>
      <c r="J650" s="29" t="n">
        <v>4792.76972</v>
      </c>
      <c r="K650" s="29" t="n">
        <v>4769.97694</v>
      </c>
      <c r="L650" s="29" t="n">
        <v>4716.33597</v>
      </c>
      <c r="M650" s="29" t="n">
        <v>4718.85043</v>
      </c>
      <c r="N650" s="29" t="n">
        <v>4531.36057</v>
      </c>
      <c r="O650" s="29" t="n">
        <v>4556.93783</v>
      </c>
      <c r="Q650" s="29" t="n">
        <v>4679.74918</v>
      </c>
      <c r="R650" s="29" t="n">
        <v>4727.76685</v>
      </c>
      <c r="S650" s="29" t="n">
        <v>4703.58323</v>
      </c>
      <c r="V650" s="29" t="n">
        <v>4647.10399</v>
      </c>
      <c r="AB650" s="29" t="n">
        <v>4696.46654</v>
      </c>
      <c r="AC650" s="29" t="n">
        <v>4699.63441</v>
      </c>
      <c r="AD650" s="29" t="n">
        <v>0</v>
      </c>
    </row>
    <row r="651" ht="14.25" customHeight="1" s="28">
      <c r="A651" s="29" t="n">
        <v>1778191201</v>
      </c>
      <c r="B651" s="29" t="inlineStr">
        <is>
          <t>XAUUSD</t>
        </is>
      </c>
      <c r="C651" s="29" t="inlineStr">
        <is>
          <t>M15</t>
        </is>
      </c>
      <c r="D651" s="29" t="n">
        <v>4691.37</v>
      </c>
      <c r="E651" s="29" t="n">
        <v>4717.79398</v>
      </c>
      <c r="F651" s="29" t="n">
        <v>4695.2428</v>
      </c>
      <c r="G651" s="29" t="n">
        <v>4518.59282</v>
      </c>
      <c r="H651" s="29" t="n">
        <v>4596.05595</v>
      </c>
      <c r="I651" s="29" t="n">
        <v>4755.40355</v>
      </c>
      <c r="J651" s="29" t="n">
        <v>4792.76972</v>
      </c>
      <c r="K651" s="29" t="n">
        <v>4769.97694</v>
      </c>
      <c r="L651" s="29" t="n">
        <v>4716.33597</v>
      </c>
      <c r="M651" s="29" t="n">
        <v>4718.85043</v>
      </c>
      <c r="N651" s="29" t="n">
        <v>4531.36057</v>
      </c>
      <c r="O651" s="29" t="n">
        <v>4556.93783</v>
      </c>
      <c r="Q651" s="29" t="n">
        <v>4679.95163</v>
      </c>
      <c r="R651" s="29" t="n">
        <v>4727.96929</v>
      </c>
      <c r="S651" s="29" t="n">
        <v>4703.78568</v>
      </c>
      <c r="V651" s="29" t="n">
        <v>4647.30644</v>
      </c>
      <c r="AA651" s="29" t="n">
        <v>4678.1</v>
      </c>
      <c r="AB651" s="29" t="n">
        <v>4693.46808</v>
      </c>
      <c r="AC651" s="29" t="n">
        <v>4696.55125</v>
      </c>
      <c r="AD651" s="29" t="n">
        <v>0</v>
      </c>
    </row>
    <row r="652" ht="14.25" customHeight="1" s="28">
      <c r="A652" s="29" t="n">
        <v>1778192101</v>
      </c>
      <c r="B652" s="29" t="inlineStr">
        <is>
          <t>XAUUSD</t>
        </is>
      </c>
      <c r="C652" s="29" t="inlineStr">
        <is>
          <t>M15</t>
        </is>
      </c>
      <c r="D652" s="29" t="n">
        <v>4693.91</v>
      </c>
      <c r="E652" s="29" t="n">
        <v>4717.79398</v>
      </c>
      <c r="F652" s="29" t="n">
        <v>4695.2428</v>
      </c>
      <c r="G652" s="29" t="n">
        <v>4518.59282</v>
      </c>
      <c r="H652" s="29" t="n">
        <v>4596.05595</v>
      </c>
      <c r="I652" s="29" t="n">
        <v>4755.40355</v>
      </c>
      <c r="J652" s="29" t="n">
        <v>4792.76972</v>
      </c>
      <c r="K652" s="29" t="n">
        <v>4769.97694</v>
      </c>
      <c r="L652" s="29" t="n">
        <v>4716.33597</v>
      </c>
      <c r="M652" s="29" t="n">
        <v>4718.85043</v>
      </c>
      <c r="N652" s="29" t="n">
        <v>4531.36057</v>
      </c>
      <c r="O652" s="29" t="n">
        <v>4556.93783</v>
      </c>
      <c r="Q652" s="29" t="n">
        <v>4680.15407</v>
      </c>
      <c r="R652" s="29" t="n">
        <v>4728.17174</v>
      </c>
      <c r="S652" s="29" t="n">
        <v>4703.98813</v>
      </c>
      <c r="V652" s="29" t="n">
        <v>4647.50888</v>
      </c>
      <c r="AB652" s="29" t="n">
        <v>4691.29291</v>
      </c>
      <c r="AC652" s="29" t="n">
        <v>4693.92208</v>
      </c>
      <c r="AD652" s="29" t="n">
        <v>0</v>
      </c>
    </row>
    <row r="653" ht="14.25" customHeight="1" s="28">
      <c r="A653" s="29" t="n">
        <v>1778193001</v>
      </c>
      <c r="B653" s="29" t="inlineStr">
        <is>
          <t>XAUUSD</t>
        </is>
      </c>
      <c r="C653" s="29" t="inlineStr">
        <is>
          <t>M15</t>
        </is>
      </c>
      <c r="D653" s="29" t="n">
        <v>4687.16</v>
      </c>
      <c r="E653" s="29" t="n">
        <v>4717.79398</v>
      </c>
      <c r="F653" s="29" t="n">
        <v>4695.2428</v>
      </c>
      <c r="G653" s="29" t="n">
        <v>4518.59282</v>
      </c>
      <c r="H653" s="29" t="n">
        <v>4596.05595</v>
      </c>
      <c r="I653" s="29" t="n">
        <v>4755.40355</v>
      </c>
      <c r="J653" s="29" t="n">
        <v>4792.76972</v>
      </c>
      <c r="K653" s="29" t="n">
        <v>4769.97694</v>
      </c>
      <c r="L653" s="29" t="n">
        <v>4716.33597</v>
      </c>
      <c r="M653" s="29" t="n">
        <v>4718.85043</v>
      </c>
      <c r="N653" s="29" t="n">
        <v>4531.36057</v>
      </c>
      <c r="O653" s="29" t="n">
        <v>4556.93783</v>
      </c>
      <c r="Q653" s="29" t="n">
        <v>4680.35652</v>
      </c>
      <c r="R653" s="29" t="n">
        <v>4728.37418</v>
      </c>
      <c r="S653" s="29" t="n">
        <v>4704.19057</v>
      </c>
      <c r="V653" s="29" t="n">
        <v>4647.71133</v>
      </c>
      <c r="AB653" s="29" t="n">
        <v>4690.10036</v>
      </c>
      <c r="AC653" s="29" t="n">
        <v>4692.01122</v>
      </c>
      <c r="AD653" s="29" t="n">
        <v>0</v>
      </c>
    </row>
    <row r="654" ht="14.25" customHeight="1" s="28">
      <c r="A654" s="29" t="n">
        <v>1778193901</v>
      </c>
      <c r="B654" s="29" t="inlineStr">
        <is>
          <t>XAUUSD</t>
        </is>
      </c>
      <c r="C654" s="29" t="inlineStr">
        <is>
          <t>M15</t>
        </is>
      </c>
      <c r="D654" s="29" t="n">
        <v>4686.04</v>
      </c>
      <c r="E654" s="29" t="n">
        <v>4717.79398</v>
      </c>
      <c r="F654" s="29" t="n">
        <v>4695.2428</v>
      </c>
      <c r="G654" s="29" t="n">
        <v>4518.59282</v>
      </c>
      <c r="H654" s="29" t="n">
        <v>4596.05595</v>
      </c>
      <c r="I654" s="29" t="n">
        <v>4755.40355</v>
      </c>
      <c r="J654" s="29" t="n">
        <v>4792.76972</v>
      </c>
      <c r="K654" s="29" t="n">
        <v>4769.97694</v>
      </c>
      <c r="L654" s="29" t="n">
        <v>4716.33597</v>
      </c>
      <c r="M654" s="29" t="n">
        <v>4718.85043</v>
      </c>
      <c r="N654" s="29" t="n">
        <v>4531.36057</v>
      </c>
      <c r="O654" s="29" t="n">
        <v>4556.93783</v>
      </c>
      <c r="Q654" s="29" t="n">
        <v>4680.55896</v>
      </c>
      <c r="R654" s="29" t="n">
        <v>4728.57663</v>
      </c>
      <c r="S654" s="29" t="n">
        <v>4704.39302</v>
      </c>
      <c r="V654" s="29" t="n">
        <v>4647.91377</v>
      </c>
      <c r="AB654" s="29" t="n">
        <v>4690.1708</v>
      </c>
      <c r="AC654" s="29" t="n">
        <v>4691.09101</v>
      </c>
      <c r="AD654" s="29" t="n">
        <v>0</v>
      </c>
    </row>
    <row r="655" ht="14.25" customHeight="1" s="28">
      <c r="A655" s="29" t="n">
        <v>1778194801</v>
      </c>
      <c r="B655" s="29" t="inlineStr">
        <is>
          <t>XAUUSD</t>
        </is>
      </c>
      <c r="C655" s="29" t="inlineStr">
        <is>
          <t>M15</t>
        </is>
      </c>
      <c r="D655" s="29" t="n">
        <v>4691.8</v>
      </c>
      <c r="E655" s="29" t="n">
        <v>4717.79398</v>
      </c>
      <c r="F655" s="29" t="n">
        <v>4695.2428</v>
      </c>
      <c r="G655" s="29" t="n">
        <v>4518.59282</v>
      </c>
      <c r="H655" s="29" t="n">
        <v>4596.05595</v>
      </c>
      <c r="I655" s="29" t="n">
        <v>4755.40355</v>
      </c>
      <c r="J655" s="29" t="n">
        <v>4792.76972</v>
      </c>
      <c r="K655" s="29" t="n">
        <v>4769.97694</v>
      </c>
      <c r="L655" s="29" t="n">
        <v>4716.33597</v>
      </c>
      <c r="M655" s="29" t="n">
        <v>4718.85043</v>
      </c>
      <c r="N655" s="29" t="n">
        <v>4531.36057</v>
      </c>
      <c r="O655" s="29" t="n">
        <v>4556.93783</v>
      </c>
      <c r="Q655" s="29" t="n">
        <v>4680.76141</v>
      </c>
      <c r="R655" s="29" t="n">
        <v>4728.77907</v>
      </c>
      <c r="S655" s="29" t="n">
        <v>4704.59546</v>
      </c>
      <c r="V655" s="29" t="n">
        <v>4648.11622</v>
      </c>
      <c r="AB655" s="29" t="n">
        <v>4691.44385</v>
      </c>
      <c r="AC655" s="29" t="n">
        <v>4691.26743</v>
      </c>
      <c r="AD655" s="29" t="n">
        <v>1</v>
      </c>
    </row>
    <row r="656" ht="14.25" customHeight="1" s="28">
      <c r="A656" s="29" t="n">
        <v>1778195701</v>
      </c>
      <c r="B656" s="29" t="inlineStr">
        <is>
          <t>XAUUSD</t>
        </is>
      </c>
      <c r="C656" s="29" t="inlineStr">
        <is>
          <t>M15</t>
        </is>
      </c>
      <c r="D656" s="29" t="n">
        <v>4696.57</v>
      </c>
      <c r="E656" s="29" t="n">
        <v>4717.79398</v>
      </c>
      <c r="F656" s="29" t="n">
        <v>4695.2428</v>
      </c>
      <c r="G656" s="29" t="n">
        <v>4518.59282</v>
      </c>
      <c r="H656" s="29" t="n">
        <v>4596.05595</v>
      </c>
      <c r="I656" s="29" t="n">
        <v>4755.40355</v>
      </c>
      <c r="J656" s="29" t="n">
        <v>4792.76972</v>
      </c>
      <c r="K656" s="29" t="n">
        <v>4769.97694</v>
      </c>
      <c r="L656" s="29" t="n">
        <v>4716.33597</v>
      </c>
      <c r="M656" s="29" t="n">
        <v>4718.85043</v>
      </c>
      <c r="N656" s="29" t="n">
        <v>4531.36057</v>
      </c>
      <c r="O656" s="29" t="n">
        <v>4556.93783</v>
      </c>
      <c r="Q656" s="29" t="n">
        <v>4680.96386</v>
      </c>
      <c r="R656" s="29" t="n">
        <v>4728.98152</v>
      </c>
      <c r="S656" s="29" t="n">
        <v>4704.79791</v>
      </c>
      <c r="V656" s="29" t="n">
        <v>4648.31866</v>
      </c>
      <c r="AB656" s="29" t="n">
        <v>4693.56752</v>
      </c>
      <c r="AC656" s="29" t="n">
        <v>4692.41748</v>
      </c>
      <c r="AD656" s="29" t="n">
        <v>0</v>
      </c>
    </row>
    <row r="657" ht="14.25" customHeight="1" s="28">
      <c r="A657" s="29" t="n">
        <v>1778196601</v>
      </c>
      <c r="B657" s="29" t="inlineStr">
        <is>
          <t>XAUUSD</t>
        </is>
      </c>
      <c r="C657" s="29" t="inlineStr">
        <is>
          <t>M15</t>
        </is>
      </c>
      <c r="D657" s="29" t="n">
        <v>4697.81</v>
      </c>
      <c r="E657" s="29" t="n">
        <v>4717.79398</v>
      </c>
      <c r="F657" s="29" t="n">
        <v>4695.2428</v>
      </c>
      <c r="G657" s="29" t="n">
        <v>4518.59282</v>
      </c>
      <c r="H657" s="29" t="n">
        <v>4596.05595</v>
      </c>
      <c r="I657" s="29" t="n">
        <v>4755.40355</v>
      </c>
      <c r="J657" s="29" t="n">
        <v>4792.76972</v>
      </c>
      <c r="K657" s="29" t="n">
        <v>4769.97694</v>
      </c>
      <c r="L657" s="29" t="n">
        <v>4716.33597</v>
      </c>
      <c r="M657" s="29" t="n">
        <v>4718.85043</v>
      </c>
      <c r="N657" s="29" t="n">
        <v>4531.36057</v>
      </c>
      <c r="O657" s="29" t="n">
        <v>4556.93783</v>
      </c>
      <c r="Q657" s="29" t="n">
        <v>4681.1663</v>
      </c>
      <c r="R657" s="29" t="n">
        <v>4729.18397</v>
      </c>
      <c r="S657" s="29" t="n">
        <v>4705.00035</v>
      </c>
      <c r="V657" s="29" t="n">
        <v>4648.52111</v>
      </c>
      <c r="AB657" s="29" t="n">
        <v>4696.10949</v>
      </c>
      <c r="AC657" s="29" t="n">
        <v>4694.26349</v>
      </c>
      <c r="AD657" s="29" t="n">
        <v>0</v>
      </c>
    </row>
    <row r="658" ht="14.25" customHeight="1" s="28">
      <c r="A658" s="29" t="n">
        <v>1778197501</v>
      </c>
      <c r="B658" s="29" t="inlineStr">
        <is>
          <t>XAUUSD</t>
        </is>
      </c>
      <c r="C658" s="29" t="inlineStr">
        <is>
          <t>M15</t>
        </is>
      </c>
      <c r="D658" s="29" t="n">
        <v>4704.54</v>
      </c>
      <c r="E658" s="29" t="n">
        <v>4717.79398</v>
      </c>
      <c r="F658" s="29" t="n">
        <v>4695.2428</v>
      </c>
      <c r="G658" s="29" t="n">
        <v>4518.59282</v>
      </c>
      <c r="H658" s="29" t="n">
        <v>4596.05595</v>
      </c>
      <c r="I658" s="29" t="n">
        <v>4755.40355</v>
      </c>
      <c r="J658" s="29" t="n">
        <v>4792.76972</v>
      </c>
      <c r="K658" s="29" t="n">
        <v>4769.97694</v>
      </c>
      <c r="L658" s="29" t="n">
        <v>4716.33597</v>
      </c>
      <c r="M658" s="29" t="n">
        <v>4718.85043</v>
      </c>
      <c r="N658" s="29" t="n">
        <v>4531.36057</v>
      </c>
      <c r="O658" s="29" t="n">
        <v>4556.93783</v>
      </c>
      <c r="Q658" s="29" t="n">
        <v>4681.36875</v>
      </c>
      <c r="R658" s="29" t="n">
        <v>4729.38641</v>
      </c>
      <c r="S658" s="29" t="n">
        <v>4705.2028</v>
      </c>
      <c r="V658" s="29" t="n">
        <v>4648.72356</v>
      </c>
      <c r="AB658" s="29" t="n">
        <v>4698.79044</v>
      </c>
      <c r="AC658" s="29" t="n">
        <v>4696.52696</v>
      </c>
      <c r="AD658" s="29" t="n">
        <v>0</v>
      </c>
    </row>
    <row r="659" ht="14.25" customHeight="1" s="28">
      <c r="A659" s="29" t="n">
        <v>1778198401</v>
      </c>
      <c r="B659" s="29" t="inlineStr">
        <is>
          <t>XAUUSD</t>
        </is>
      </c>
      <c r="C659" s="29" t="inlineStr">
        <is>
          <t>M15</t>
        </is>
      </c>
      <c r="D659" s="29" t="n">
        <v>4702.79</v>
      </c>
      <c r="E659" s="29" t="n">
        <v>4717.79398</v>
      </c>
      <c r="F659" s="29" t="n">
        <v>4695.2428</v>
      </c>
      <c r="G659" s="29" t="n">
        <v>4518.59282</v>
      </c>
      <c r="H659" s="29" t="n">
        <v>4596.05595</v>
      </c>
      <c r="I659" s="29" t="n">
        <v>4755.40355</v>
      </c>
      <c r="J659" s="29" t="n">
        <v>4792.76972</v>
      </c>
      <c r="K659" s="29" t="n">
        <v>4769.97694</v>
      </c>
      <c r="L659" s="29" t="n">
        <v>4716.33597</v>
      </c>
      <c r="M659" s="29" t="n">
        <v>4718.85043</v>
      </c>
      <c r="N659" s="29" t="n">
        <v>4531.36057</v>
      </c>
      <c r="O659" s="29" t="n">
        <v>4556.93783</v>
      </c>
      <c r="Q659" s="29" t="n">
        <v>4681.57119</v>
      </c>
      <c r="R659" s="29" t="n">
        <v>4729.58886</v>
      </c>
      <c r="S659" s="29" t="n">
        <v>4705.40525</v>
      </c>
      <c r="V659" s="29" t="n">
        <v>4648.926</v>
      </c>
      <c r="AB659" s="29" t="n">
        <v>4701.27387</v>
      </c>
      <c r="AC659" s="29" t="n">
        <v>4698.90042</v>
      </c>
      <c r="AD659" s="29" t="n">
        <v>0</v>
      </c>
    </row>
    <row r="660" ht="14.25" customHeight="1" s="28">
      <c r="A660" s="29" t="n">
        <v>1778199301</v>
      </c>
      <c r="B660" s="29" t="inlineStr">
        <is>
          <t>XAUUSD</t>
        </is>
      </c>
      <c r="C660" s="29" t="inlineStr">
        <is>
          <t>M15</t>
        </is>
      </c>
      <c r="D660" s="29" t="n">
        <v>4697.35</v>
      </c>
      <c r="E660" s="29" t="n">
        <v>4717.79398</v>
      </c>
      <c r="F660" s="29" t="n">
        <v>4695.2428</v>
      </c>
      <c r="G660" s="29" t="n">
        <v>4518.59282</v>
      </c>
      <c r="H660" s="29" t="n">
        <v>4596.05595</v>
      </c>
      <c r="I660" s="29" t="n">
        <v>4755.40355</v>
      </c>
      <c r="J660" s="29" t="n">
        <v>4792.76972</v>
      </c>
      <c r="K660" s="29" t="n">
        <v>4769.97694</v>
      </c>
      <c r="L660" s="29" t="n">
        <v>4716.33597</v>
      </c>
      <c r="M660" s="29" t="n">
        <v>4718.85043</v>
      </c>
      <c r="N660" s="29" t="n">
        <v>4531.36057</v>
      </c>
      <c r="O660" s="29" t="n">
        <v>4556.93783</v>
      </c>
      <c r="Q660" s="29" t="n">
        <v>4681.77364</v>
      </c>
      <c r="R660" s="29" t="n">
        <v>4729.7913</v>
      </c>
      <c r="S660" s="29" t="n">
        <v>4705.60769</v>
      </c>
      <c r="V660" s="29" t="n">
        <v>4649.12845</v>
      </c>
      <c r="AB660" s="29" t="n">
        <v>4703.53775</v>
      </c>
      <c r="AC660" s="29" t="n">
        <v>4701.21908</v>
      </c>
      <c r="AD660" s="29" t="n">
        <v>0</v>
      </c>
    </row>
    <row r="661" ht="14.25" customHeight="1" s="28">
      <c r="A661" s="29" t="n">
        <v>1778200201</v>
      </c>
      <c r="B661" s="29" t="inlineStr">
        <is>
          <t>XAUUSD</t>
        </is>
      </c>
      <c r="C661" s="29" t="inlineStr">
        <is>
          <t>M15</t>
        </is>
      </c>
      <c r="D661" s="29" t="n">
        <v>4705.16</v>
      </c>
      <c r="E661" s="29" t="n">
        <v>4717.79398</v>
      </c>
      <c r="F661" s="29" t="n">
        <v>4695.2428</v>
      </c>
      <c r="G661" s="29" t="n">
        <v>4518.59282</v>
      </c>
      <c r="H661" s="29" t="n">
        <v>4596.05595</v>
      </c>
      <c r="I661" s="29" t="n">
        <v>4755.40355</v>
      </c>
      <c r="J661" s="29" t="n">
        <v>4792.76972</v>
      </c>
      <c r="K661" s="29" t="n">
        <v>4769.97694</v>
      </c>
      <c r="L661" s="29" t="n">
        <v>4716.33597</v>
      </c>
      <c r="M661" s="29" t="n">
        <v>4718.85043</v>
      </c>
      <c r="N661" s="29" t="n">
        <v>4531.36057</v>
      </c>
      <c r="O661" s="29" t="n">
        <v>4556.93783</v>
      </c>
      <c r="Q661" s="29" t="n">
        <v>4681.97608</v>
      </c>
      <c r="R661" s="29" t="n">
        <v>4729.99375</v>
      </c>
      <c r="S661" s="29" t="n">
        <v>4705.81014</v>
      </c>
      <c r="V661" s="29" t="n">
        <v>4649.33089</v>
      </c>
      <c r="AB661" s="29" t="n">
        <v>4705.78577</v>
      </c>
      <c r="AC661" s="29" t="n">
        <v>4703.50243</v>
      </c>
      <c r="AD661" s="29" t="n">
        <v>0</v>
      </c>
    </row>
    <row r="662" ht="14.25" customHeight="1" s="28">
      <c r="A662" s="29" t="n">
        <v>1778201101</v>
      </c>
      <c r="B662" s="29" t="inlineStr">
        <is>
          <t>XAUUSD</t>
        </is>
      </c>
      <c r="C662" s="29" t="inlineStr">
        <is>
          <t>M15</t>
        </is>
      </c>
      <c r="D662" s="29" t="n">
        <v>4701.44</v>
      </c>
      <c r="E662" s="29" t="n">
        <v>4717.79398</v>
      </c>
      <c r="F662" s="29" t="n">
        <v>4695.2428</v>
      </c>
      <c r="G662" s="29" t="n">
        <v>4518.59282</v>
      </c>
      <c r="H662" s="29" t="n">
        <v>4596.05595</v>
      </c>
      <c r="I662" s="29" t="n">
        <v>4755.40355</v>
      </c>
      <c r="J662" s="29" t="n">
        <v>4792.76972</v>
      </c>
      <c r="K662" s="29" t="n">
        <v>4769.97694</v>
      </c>
      <c r="L662" s="29" t="n">
        <v>4716.33597</v>
      </c>
      <c r="M662" s="29" t="n">
        <v>4718.85043</v>
      </c>
      <c r="N662" s="29" t="n">
        <v>4531.36057</v>
      </c>
      <c r="O662" s="29" t="n">
        <v>4556.93783</v>
      </c>
      <c r="Q662" s="29" t="n">
        <v>4682.17853</v>
      </c>
      <c r="R662" s="29" t="n">
        <v>4730.19619</v>
      </c>
      <c r="S662" s="29" t="n">
        <v>4706.01258</v>
      </c>
      <c r="V662" s="29" t="n">
        <v>4649.53334</v>
      </c>
      <c r="AB662" s="29" t="n">
        <v>4707.92127</v>
      </c>
      <c r="AC662" s="29" t="n">
        <v>4705.71185</v>
      </c>
      <c r="AD662" s="29" t="n">
        <v>0</v>
      </c>
    </row>
    <row r="663" ht="14.25" customHeight="1" s="28">
      <c r="A663" s="29" t="n">
        <v>1778202001</v>
      </c>
      <c r="B663" s="29" t="inlineStr">
        <is>
          <t>XAUUSD</t>
        </is>
      </c>
      <c r="C663" s="29" t="inlineStr">
        <is>
          <t>M15</t>
        </is>
      </c>
      <c r="D663" s="29" t="n">
        <v>4714.05</v>
      </c>
      <c r="E663" s="29" t="n">
        <v>4717.79398</v>
      </c>
      <c r="F663" s="29" t="n">
        <v>4695.2428</v>
      </c>
      <c r="G663" s="29" t="n">
        <v>4518.59282</v>
      </c>
      <c r="H663" s="29" t="n">
        <v>4596.05595</v>
      </c>
      <c r="I663" s="29" t="n">
        <v>4755.40355</v>
      </c>
      <c r="J663" s="29" t="n">
        <v>4792.76972</v>
      </c>
      <c r="K663" s="29" t="n">
        <v>4769.97694</v>
      </c>
      <c r="L663" s="29" t="n">
        <v>4716.33597</v>
      </c>
      <c r="M663" s="29" t="n">
        <v>4718.85043</v>
      </c>
      <c r="N663" s="29" t="n">
        <v>4531.36057</v>
      </c>
      <c r="O663" s="29" t="n">
        <v>4556.93783</v>
      </c>
      <c r="Q663" s="29" t="n">
        <v>4682.38098</v>
      </c>
      <c r="R663" s="29" t="n">
        <v>4730.39864</v>
      </c>
      <c r="S663" s="29" t="n">
        <v>4706.21503</v>
      </c>
      <c r="V663" s="29" t="n">
        <v>4649.73578</v>
      </c>
      <c r="AB663" s="29" t="n">
        <v>4710.14391</v>
      </c>
      <c r="AC663" s="29" t="n">
        <v>4707.92788</v>
      </c>
      <c r="AD663" s="29" t="n">
        <v>0</v>
      </c>
    </row>
    <row r="664" ht="14.25" customHeight="1" s="28">
      <c r="A664" s="29" t="n">
        <v>1778202901</v>
      </c>
      <c r="B664" s="29" t="inlineStr">
        <is>
          <t>XAUUSD</t>
        </is>
      </c>
      <c r="C664" s="29" t="inlineStr">
        <is>
          <t>M15</t>
        </is>
      </c>
      <c r="D664" s="29" t="n">
        <v>4712.82</v>
      </c>
      <c r="E664" s="29" t="n">
        <v>4717.79398</v>
      </c>
      <c r="F664" s="29" t="n">
        <v>4695.2428</v>
      </c>
      <c r="G664" s="29" t="n">
        <v>4518.59282</v>
      </c>
      <c r="H664" s="29" t="n">
        <v>4596.05595</v>
      </c>
      <c r="I664" s="29" t="n">
        <v>4755.40355</v>
      </c>
      <c r="J664" s="29" t="n">
        <v>4792.76972</v>
      </c>
      <c r="K664" s="29" t="n">
        <v>4769.97694</v>
      </c>
      <c r="L664" s="29" t="n">
        <v>4716.33597</v>
      </c>
      <c r="M664" s="29" t="n">
        <v>4718.85043</v>
      </c>
      <c r="N664" s="29" t="n">
        <v>4531.36057</v>
      </c>
      <c r="O664" s="29" t="n">
        <v>4556.93783</v>
      </c>
      <c r="Q664" s="29" t="n">
        <v>4682.58342</v>
      </c>
      <c r="R664" s="29" t="n">
        <v>4730.60109</v>
      </c>
      <c r="S664" s="29" t="n">
        <v>4706.41747</v>
      </c>
      <c r="V664" s="29" t="n">
        <v>4649.93823</v>
      </c>
      <c r="AB664" s="29" t="n">
        <v>4712.2245</v>
      </c>
      <c r="AC664" s="29" t="n">
        <v>4710.07619</v>
      </c>
      <c r="AD664" s="29" t="n">
        <v>0</v>
      </c>
    </row>
    <row r="665" ht="14.25" customHeight="1" s="28">
      <c r="A665" s="29" t="n">
        <v>1778203801</v>
      </c>
      <c r="B665" s="29" t="inlineStr">
        <is>
          <t>XAUUSD</t>
        </is>
      </c>
      <c r="C665" s="29" t="inlineStr">
        <is>
          <t>M15</t>
        </is>
      </c>
      <c r="D665" s="29" t="n">
        <v>4711.08</v>
      </c>
      <c r="E665" s="29" t="n">
        <v>4717.79398</v>
      </c>
      <c r="F665" s="29" t="n">
        <v>4695.2428</v>
      </c>
      <c r="G665" s="29" t="n">
        <v>4518.59282</v>
      </c>
      <c r="H665" s="29" t="n">
        <v>4596.05595</v>
      </c>
      <c r="I665" s="29" t="n">
        <v>4755.40355</v>
      </c>
      <c r="J665" s="29" t="n">
        <v>4792.76972</v>
      </c>
      <c r="K665" s="29" t="n">
        <v>4769.97694</v>
      </c>
      <c r="L665" s="29" t="n">
        <v>4716.33597</v>
      </c>
      <c r="M665" s="29" t="n">
        <v>4718.85043</v>
      </c>
      <c r="N665" s="29" t="n">
        <v>4531.36057</v>
      </c>
      <c r="O665" s="29" t="n">
        <v>4556.93783</v>
      </c>
      <c r="Q665" s="29" t="n">
        <v>4682.78587</v>
      </c>
      <c r="R665" s="29" t="n">
        <v>4730.80353</v>
      </c>
      <c r="S665" s="29" t="n">
        <v>4706.61992</v>
      </c>
      <c r="V665" s="29" t="n">
        <v>4650.14068</v>
      </c>
      <c r="AB665" s="29" t="n">
        <v>4714.2608</v>
      </c>
      <c r="AC665" s="29" t="n">
        <v>4712.1685</v>
      </c>
      <c r="AD665" s="29" t="n">
        <v>0</v>
      </c>
    </row>
    <row r="666" ht="14.25" customHeight="1" s="28">
      <c r="A666" s="29" t="n">
        <v>1778204701</v>
      </c>
      <c r="B666" s="29" t="inlineStr">
        <is>
          <t>XAUUSD</t>
        </is>
      </c>
      <c r="C666" s="29" t="inlineStr">
        <is>
          <t>M15</t>
        </is>
      </c>
      <c r="D666" s="29" t="n">
        <v>4722.98</v>
      </c>
      <c r="E666" s="29" t="n">
        <v>4717.79398</v>
      </c>
      <c r="F666" s="29" t="n">
        <v>4695.2428</v>
      </c>
      <c r="G666" s="29" t="n">
        <v>4518.59282</v>
      </c>
      <c r="H666" s="29" t="n">
        <v>4596.05595</v>
      </c>
      <c r="I666" s="29" t="n">
        <v>4755.40355</v>
      </c>
      <c r="J666" s="29" t="n">
        <v>4792.76972</v>
      </c>
      <c r="K666" s="29" t="n">
        <v>4769.97694</v>
      </c>
      <c r="L666" s="29" t="n">
        <v>4716.33597</v>
      </c>
      <c r="M666" s="29" t="n">
        <v>4718.85043</v>
      </c>
      <c r="N666" s="29" t="n">
        <v>4531.36057</v>
      </c>
      <c r="O666" s="29" t="n">
        <v>4556.93783</v>
      </c>
      <c r="Q666" s="29" t="n">
        <v>4682.98831</v>
      </c>
      <c r="R666" s="29" t="n">
        <v>4731.00598</v>
      </c>
      <c r="S666" s="29" t="n">
        <v>4706.82237</v>
      </c>
      <c r="V666" s="29" t="n">
        <v>4650.34312</v>
      </c>
      <c r="AB666" s="29" t="n">
        <v>4716.30551</v>
      </c>
      <c r="AC666" s="29" t="n">
        <v>4714.23701</v>
      </c>
      <c r="AD666" s="29" t="n">
        <v>0</v>
      </c>
    </row>
    <row r="667" ht="14.25" customHeight="1" s="28">
      <c r="A667" s="29" t="n">
        <v>1778205601</v>
      </c>
      <c r="B667" s="29" t="inlineStr">
        <is>
          <t>XAUUSD</t>
        </is>
      </c>
      <c r="C667" s="29" t="inlineStr">
        <is>
          <t>M15</t>
        </is>
      </c>
      <c r="D667" s="29" t="n">
        <v>4723.99</v>
      </c>
      <c r="E667" s="29" t="n">
        <v>4717.79398</v>
      </c>
      <c r="F667" s="29" t="n">
        <v>4695.2428</v>
      </c>
      <c r="G667" s="29" t="n">
        <v>4518.59282</v>
      </c>
      <c r="H667" s="29" t="n">
        <v>4596.05595</v>
      </c>
      <c r="I667" s="29" t="n">
        <v>4755.40355</v>
      </c>
      <c r="J667" s="29" t="n">
        <v>4792.76972</v>
      </c>
      <c r="K667" s="29" t="n">
        <v>4769.97694</v>
      </c>
      <c r="L667" s="29" t="n">
        <v>4716.33597</v>
      </c>
      <c r="M667" s="29" t="n">
        <v>4718.85043</v>
      </c>
      <c r="N667" s="29" t="n">
        <v>4531.36057</v>
      </c>
      <c r="O667" s="29" t="n">
        <v>4556.93783</v>
      </c>
      <c r="Q667" s="29" t="n">
        <v>4683.19076</v>
      </c>
      <c r="R667" s="29" t="n">
        <v>4731.20842</v>
      </c>
      <c r="S667" s="29" t="n">
        <v>4707.02481</v>
      </c>
      <c r="V667" s="29" t="n">
        <v>4650.54557</v>
      </c>
      <c r="AB667" s="29" t="n">
        <v>4718.00235</v>
      </c>
      <c r="AC667" s="29" t="n">
        <v>4716.11968</v>
      </c>
      <c r="AD667" s="29" t="n">
        <v>0</v>
      </c>
    </row>
    <row r="668" ht="14.25" customHeight="1" s="28">
      <c r="A668" s="29" t="n">
        <v>1778206501</v>
      </c>
      <c r="B668" s="29" t="inlineStr">
        <is>
          <t>XAUUSD</t>
        </is>
      </c>
      <c r="C668" s="29" t="inlineStr">
        <is>
          <t>M15</t>
        </is>
      </c>
      <c r="D668" s="29" t="n">
        <v>4721.39</v>
      </c>
      <c r="E668" s="29" t="n">
        <v>4717.79398</v>
      </c>
      <c r="F668" s="29" t="n">
        <v>4695.2428</v>
      </c>
      <c r="G668" s="29" t="n">
        <v>4518.59282</v>
      </c>
      <c r="H668" s="29" t="n">
        <v>4596.05595</v>
      </c>
      <c r="I668" s="29" t="n">
        <v>4755.40355</v>
      </c>
      <c r="J668" s="29" t="n">
        <v>4792.76972</v>
      </c>
      <c r="K668" s="29" t="n">
        <v>4769.97694</v>
      </c>
      <c r="L668" s="29" t="n">
        <v>4716.33597</v>
      </c>
      <c r="M668" s="29" t="n">
        <v>4718.85043</v>
      </c>
      <c r="N668" s="29" t="n">
        <v>4531.36057</v>
      </c>
      <c r="O668" s="29" t="n">
        <v>4556.93783</v>
      </c>
      <c r="Q668" s="29" t="n">
        <v>4683.3932</v>
      </c>
      <c r="R668" s="29" t="n">
        <v>4731.41087</v>
      </c>
      <c r="S668" s="29" t="n">
        <v>4707.22726</v>
      </c>
      <c r="V668" s="29" t="n">
        <v>4650.74801</v>
      </c>
      <c r="AB668" s="29" t="n">
        <v>4719.23844</v>
      </c>
      <c r="AC668" s="29" t="n">
        <v>4717.67906</v>
      </c>
      <c r="AD668" s="29" t="n">
        <v>0</v>
      </c>
    </row>
    <row r="669" ht="14.25" customHeight="1" s="28">
      <c r="A669" s="29" t="n">
        <v>1778207401</v>
      </c>
      <c r="B669" s="29" t="inlineStr">
        <is>
          <t>XAUUSD</t>
        </is>
      </c>
      <c r="C669" s="29" t="inlineStr">
        <is>
          <t>M15</t>
        </is>
      </c>
      <c r="D669" s="29" t="n">
        <v>4710.27</v>
      </c>
      <c r="E669" s="29" t="n">
        <v>4717.79398</v>
      </c>
      <c r="F669" s="29" t="n">
        <v>4695.2428</v>
      </c>
      <c r="G669" s="29" t="n">
        <v>4518.59282</v>
      </c>
      <c r="H669" s="29" t="n">
        <v>4596.05595</v>
      </c>
      <c r="I669" s="29" t="n">
        <v>4755.40355</v>
      </c>
      <c r="J669" s="29" t="n">
        <v>4792.76972</v>
      </c>
      <c r="K669" s="29" t="n">
        <v>4769.97694</v>
      </c>
      <c r="L669" s="29" t="n">
        <v>4716.33597</v>
      </c>
      <c r="M669" s="29" t="n">
        <v>4718.85043</v>
      </c>
      <c r="N669" s="29" t="n">
        <v>4531.36057</v>
      </c>
      <c r="O669" s="29" t="n">
        <v>4556.93783</v>
      </c>
      <c r="Q669" s="29" t="n">
        <v>4683.59565</v>
      </c>
      <c r="R669" s="29" t="n">
        <v>4731.61331</v>
      </c>
      <c r="S669" s="29" t="n">
        <v>4707.4297</v>
      </c>
      <c r="V669" s="29" t="n">
        <v>4650.95046</v>
      </c>
      <c r="AB669" s="29" t="n">
        <v>4719.97289</v>
      </c>
      <c r="AC669" s="29" t="n">
        <v>4718.82598</v>
      </c>
      <c r="AD669" s="29" t="n">
        <v>0</v>
      </c>
    </row>
    <row r="670" ht="14.25" customHeight="1" s="28">
      <c r="A670" s="29" t="n">
        <v>1778208301</v>
      </c>
      <c r="B670" s="29" t="inlineStr">
        <is>
          <t>XAUUSD</t>
        </is>
      </c>
      <c r="C670" s="29" t="inlineStr">
        <is>
          <t>M15</t>
        </is>
      </c>
      <c r="D670" s="29" t="n">
        <v>4713.68</v>
      </c>
      <c r="E670" s="29" t="n">
        <v>4717.79398</v>
      </c>
      <c r="F670" s="29" t="n">
        <v>4695.2428</v>
      </c>
      <c r="G670" s="29" t="n">
        <v>4518.59282</v>
      </c>
      <c r="H670" s="29" t="n">
        <v>4596.05595</v>
      </c>
      <c r="I670" s="29" t="n">
        <v>4755.40355</v>
      </c>
      <c r="J670" s="29" t="n">
        <v>4792.76972</v>
      </c>
      <c r="K670" s="29" t="n">
        <v>4769.97694</v>
      </c>
      <c r="L670" s="29" t="n">
        <v>4716.33597</v>
      </c>
      <c r="M670" s="29" t="n">
        <v>4718.85043</v>
      </c>
      <c r="N670" s="29" t="n">
        <v>4531.36057</v>
      </c>
      <c r="O670" s="29" t="n">
        <v>4556.93783</v>
      </c>
      <c r="Q670" s="29" t="n">
        <v>4683.7981</v>
      </c>
      <c r="R670" s="29" t="n">
        <v>4731.81576</v>
      </c>
      <c r="S670" s="29" t="n">
        <v>4707.63215</v>
      </c>
      <c r="V670" s="29" t="n">
        <v>4651.1529</v>
      </c>
      <c r="AB670" s="29" t="n">
        <v>4720.41189</v>
      </c>
      <c r="AC670" s="29" t="n">
        <v>4719.61893</v>
      </c>
      <c r="AD670" s="29" t="n">
        <v>0</v>
      </c>
    </row>
    <row r="671" ht="14.25" customHeight="1" s="28">
      <c r="A671" s="29" t="n">
        <v>1778209201</v>
      </c>
      <c r="B671" s="29" t="inlineStr">
        <is>
          <t>XAUUSD</t>
        </is>
      </c>
      <c r="C671" s="29" t="inlineStr">
        <is>
          <t>M15</t>
        </is>
      </c>
      <c r="D671" s="29" t="n">
        <v>4720.15</v>
      </c>
      <c r="E671" s="29" t="n">
        <v>4717.79398</v>
      </c>
      <c r="F671" s="29" t="n">
        <v>4695.2428</v>
      </c>
      <c r="G671" s="29" t="n">
        <v>4518.59282</v>
      </c>
      <c r="H671" s="29" t="n">
        <v>4596.05595</v>
      </c>
      <c r="I671" s="29" t="n">
        <v>4755.40355</v>
      </c>
      <c r="J671" s="29" t="n">
        <v>4792.76972</v>
      </c>
      <c r="K671" s="29" t="n">
        <v>4769.97694</v>
      </c>
      <c r="L671" s="29" t="n">
        <v>4716.33597</v>
      </c>
      <c r="M671" s="29" t="n">
        <v>4718.85043</v>
      </c>
      <c r="N671" s="29" t="n">
        <v>4531.36057</v>
      </c>
      <c r="O671" s="29" t="n">
        <v>4556.93783</v>
      </c>
      <c r="Q671" s="29" t="n">
        <v>4684.00054</v>
      </c>
      <c r="R671" s="29" t="n">
        <v>4732.01821</v>
      </c>
      <c r="S671" s="29" t="n">
        <v>4707.83459</v>
      </c>
      <c r="V671" s="29" t="n">
        <v>4651.35535</v>
      </c>
      <c r="AB671" s="29" t="n">
        <v>4720.37242</v>
      </c>
      <c r="AC671" s="29" t="n">
        <v>4719.99567</v>
      </c>
      <c r="AD671" s="29" t="n">
        <v>0</v>
      </c>
    </row>
    <row r="672" ht="14.25" customHeight="1" s="28">
      <c r="A672" s="29" t="n">
        <v>1778210101</v>
      </c>
      <c r="B672" s="29" t="inlineStr">
        <is>
          <t>XAUUSD</t>
        </is>
      </c>
      <c r="C672" s="29" t="inlineStr">
        <is>
          <t>M15</t>
        </is>
      </c>
      <c r="D672" s="29" t="n">
        <v>4720.44</v>
      </c>
      <c r="E672" s="29" t="n">
        <v>4717.79398</v>
      </c>
      <c r="F672" s="29" t="n">
        <v>4695.2428</v>
      </c>
      <c r="G672" s="29" t="n">
        <v>4518.59282</v>
      </c>
      <c r="H672" s="29" t="n">
        <v>4596.05595</v>
      </c>
      <c r="I672" s="29" t="n">
        <v>4755.40355</v>
      </c>
      <c r="J672" s="29" t="n">
        <v>4792.76972</v>
      </c>
      <c r="K672" s="29" t="n">
        <v>4769.97694</v>
      </c>
      <c r="L672" s="29" t="n">
        <v>4716.33597</v>
      </c>
      <c r="M672" s="29" t="n">
        <v>4718.85043</v>
      </c>
      <c r="N672" s="29" t="n">
        <v>4531.36057</v>
      </c>
      <c r="O672" s="29" t="n">
        <v>4556.93783</v>
      </c>
      <c r="Q672" s="29" t="n">
        <v>4684.20299</v>
      </c>
      <c r="R672" s="29" t="n">
        <v>4732.22065</v>
      </c>
      <c r="S672" s="29" t="n">
        <v>4708.03704</v>
      </c>
      <c r="V672" s="29" t="n">
        <v>4651.5578</v>
      </c>
      <c r="AB672" s="29" t="n">
        <v>4719.66898</v>
      </c>
      <c r="AC672" s="29" t="n">
        <v>4719.83233</v>
      </c>
      <c r="AD672" s="29" t="n">
        <v>1</v>
      </c>
    </row>
    <row r="673" ht="14.25" customHeight="1" s="28">
      <c r="A673" s="29" t="n">
        <v>1778211001</v>
      </c>
      <c r="B673" s="29" t="inlineStr">
        <is>
          <t>XAUUSD</t>
        </is>
      </c>
      <c r="C673" s="29" t="inlineStr">
        <is>
          <t>M15</t>
        </is>
      </c>
      <c r="D673" s="29" t="n">
        <v>4724.99</v>
      </c>
      <c r="E673" s="29" t="n">
        <v>4717.79398</v>
      </c>
      <c r="F673" s="29" t="n">
        <v>4695.2428</v>
      </c>
      <c r="G673" s="29" t="n">
        <v>4518.59282</v>
      </c>
      <c r="H673" s="29" t="n">
        <v>4596.05595</v>
      </c>
      <c r="I673" s="29" t="n">
        <v>4755.40355</v>
      </c>
      <c r="J673" s="29" t="n">
        <v>4792.76972</v>
      </c>
      <c r="K673" s="29" t="n">
        <v>4769.97694</v>
      </c>
      <c r="L673" s="29" t="n">
        <v>4716.33597</v>
      </c>
      <c r="M673" s="29" t="n">
        <v>4718.85043</v>
      </c>
      <c r="N673" s="29" t="n">
        <v>4531.36057</v>
      </c>
      <c r="O673" s="29" t="n">
        <v>4556.93783</v>
      </c>
      <c r="Q673" s="29" t="n">
        <v>4684.40543</v>
      </c>
      <c r="R673" s="29" t="n">
        <v>4732.4231</v>
      </c>
      <c r="S673" s="29" t="n">
        <v>4708.23949</v>
      </c>
      <c r="V673" s="29" t="n">
        <v>4651.76024</v>
      </c>
      <c r="AB673" s="29" t="n">
        <v>4718.40707</v>
      </c>
      <c r="AC673" s="29" t="n">
        <v>4719.1197</v>
      </c>
      <c r="AD673" s="29" t="n">
        <v>0</v>
      </c>
    </row>
    <row r="674" ht="14.25" customHeight="1" s="28">
      <c r="A674" s="29" t="n">
        <v>1778211901</v>
      </c>
      <c r="B674" s="29" t="inlineStr">
        <is>
          <t>XAUUSD</t>
        </is>
      </c>
      <c r="C674" s="29" t="inlineStr">
        <is>
          <t>M15</t>
        </is>
      </c>
      <c r="D674" s="29" t="n">
        <v>4719.62</v>
      </c>
      <c r="E674" s="29" t="n">
        <v>4717.79398</v>
      </c>
      <c r="F674" s="29" t="n">
        <v>4695.2428</v>
      </c>
      <c r="G674" s="29" t="n">
        <v>4518.59282</v>
      </c>
      <c r="H674" s="29" t="n">
        <v>4596.05595</v>
      </c>
      <c r="I674" s="29" t="n">
        <v>4755.40355</v>
      </c>
      <c r="J674" s="29" t="n">
        <v>4792.76972</v>
      </c>
      <c r="K674" s="29" t="n">
        <v>4769.97694</v>
      </c>
      <c r="L674" s="29" t="n">
        <v>4716.33597</v>
      </c>
      <c r="M674" s="29" t="n">
        <v>4718.85043</v>
      </c>
      <c r="N674" s="29" t="n">
        <v>4531.36057</v>
      </c>
      <c r="O674" s="29" t="n">
        <v>4556.93783</v>
      </c>
      <c r="Q674" s="29" t="n">
        <v>4684.60788</v>
      </c>
      <c r="R674" s="29" t="n">
        <v>4732.62554</v>
      </c>
      <c r="S674" s="29" t="n">
        <v>4708.44193</v>
      </c>
      <c r="V674" s="29" t="n">
        <v>4651.96269</v>
      </c>
      <c r="AB674" s="29" t="n">
        <v>4716.71752</v>
      </c>
      <c r="AC674" s="29" t="n">
        <v>4717.91861</v>
      </c>
      <c r="AD674" s="29" t="n">
        <v>0</v>
      </c>
    </row>
    <row r="675" ht="14.25" customHeight="1" s="28">
      <c r="A675" s="29" t="n">
        <v>1778212801</v>
      </c>
      <c r="B675" s="29" t="inlineStr">
        <is>
          <t>XAUUSD</t>
        </is>
      </c>
      <c r="C675" s="29" t="inlineStr">
        <is>
          <t>M15</t>
        </is>
      </c>
      <c r="D675" s="29" t="n">
        <v>4715.08</v>
      </c>
      <c r="E675" s="29" t="n">
        <v>4717.79398</v>
      </c>
      <c r="F675" s="29" t="n">
        <v>4695.2428</v>
      </c>
      <c r="G675" s="29" t="n">
        <v>4518.59282</v>
      </c>
      <c r="H675" s="29" t="n">
        <v>4596.05595</v>
      </c>
      <c r="I675" s="29" t="n">
        <v>4755.40355</v>
      </c>
      <c r="J675" s="29" t="n">
        <v>4792.76972</v>
      </c>
      <c r="K675" s="29" t="n">
        <v>4769.97694</v>
      </c>
      <c r="L675" s="29" t="n">
        <v>4716.33597</v>
      </c>
      <c r="M675" s="29" t="n">
        <v>4718.85043</v>
      </c>
      <c r="N675" s="29" t="n">
        <v>4531.36057</v>
      </c>
      <c r="O675" s="29" t="n">
        <v>4556.93783</v>
      </c>
      <c r="Q675" s="29" t="n">
        <v>4684.81032</v>
      </c>
      <c r="R675" s="29" t="n">
        <v>4732.82799</v>
      </c>
      <c r="S675" s="29" t="n">
        <v>4708.64438</v>
      </c>
      <c r="V675" s="29" t="n">
        <v>4652.16513</v>
      </c>
      <c r="AB675" s="29" t="n">
        <v>4715.13049</v>
      </c>
      <c r="AC675" s="29" t="n">
        <v>4716.52455</v>
      </c>
      <c r="AD675" s="29" t="n">
        <v>0</v>
      </c>
    </row>
    <row r="676" ht="14.25" customHeight="1" s="28">
      <c r="A676" s="29" t="n">
        <v>1778213701</v>
      </c>
      <c r="B676" s="29" t="inlineStr">
        <is>
          <t>XAUUSD</t>
        </is>
      </c>
      <c r="C676" s="29" t="inlineStr">
        <is>
          <t>M15</t>
        </is>
      </c>
      <c r="D676" s="29" t="n">
        <v>4717.4</v>
      </c>
      <c r="E676" s="29" t="n">
        <v>4717.79398</v>
      </c>
      <c r="F676" s="29" t="n">
        <v>4695.2428</v>
      </c>
      <c r="G676" s="29" t="n">
        <v>4518.59282</v>
      </c>
      <c r="H676" s="29" t="n">
        <v>4596.05595</v>
      </c>
      <c r="I676" s="29" t="n">
        <v>4755.40355</v>
      </c>
      <c r="J676" s="29" t="n">
        <v>4792.76972</v>
      </c>
      <c r="K676" s="29" t="n">
        <v>4769.97694</v>
      </c>
      <c r="L676" s="29" t="n">
        <v>4716.33597</v>
      </c>
      <c r="M676" s="29" t="n">
        <v>4718.85043</v>
      </c>
      <c r="N676" s="29" t="n">
        <v>4531.36057</v>
      </c>
      <c r="O676" s="29" t="n">
        <v>4556.93783</v>
      </c>
      <c r="Q676" s="29" t="n">
        <v>4685.01277</v>
      </c>
      <c r="R676" s="29" t="n">
        <v>4733.03043</v>
      </c>
      <c r="S676" s="29" t="n">
        <v>4708.84682</v>
      </c>
      <c r="V676" s="29" t="n">
        <v>4652.36758</v>
      </c>
      <c r="AB676" s="29" t="n">
        <v>4714.16723</v>
      </c>
      <c r="AC676" s="29" t="n">
        <v>4715.34589</v>
      </c>
      <c r="AD676" s="29" t="n">
        <v>0</v>
      </c>
    </row>
    <row r="677" ht="14.25" customHeight="1" s="28">
      <c r="A677" s="29" t="n">
        <v>1778214601</v>
      </c>
      <c r="B677" s="29" t="inlineStr">
        <is>
          <t>XAUUSD</t>
        </is>
      </c>
      <c r="C677" s="29" t="inlineStr">
        <is>
          <t>M15</t>
        </is>
      </c>
      <c r="D677" s="29" t="n">
        <v>4712.14</v>
      </c>
      <c r="E677" s="29" t="n">
        <v>4717.79398</v>
      </c>
      <c r="F677" s="29" t="n">
        <v>4695.2428</v>
      </c>
      <c r="G677" s="29" t="n">
        <v>4518.59282</v>
      </c>
      <c r="H677" s="29" t="n">
        <v>4596.05595</v>
      </c>
      <c r="I677" s="29" t="n">
        <v>4755.40355</v>
      </c>
      <c r="J677" s="29" t="n">
        <v>4792.76972</v>
      </c>
      <c r="K677" s="29" t="n">
        <v>4769.97694</v>
      </c>
      <c r="L677" s="29" t="n">
        <v>4716.33597</v>
      </c>
      <c r="M677" s="29" t="n">
        <v>4718.85043</v>
      </c>
      <c r="N677" s="29" t="n">
        <v>4531.36057</v>
      </c>
      <c r="O677" s="29" t="n">
        <v>4556.93783</v>
      </c>
      <c r="Q677" s="29" t="n">
        <v>4685.21522</v>
      </c>
      <c r="R677" s="29" t="n">
        <v>4733.23288</v>
      </c>
      <c r="S677" s="29" t="n">
        <v>4709.04927</v>
      </c>
      <c r="V677" s="29" t="n">
        <v>4652.57002</v>
      </c>
      <c r="AB677" s="29" t="n">
        <v>4714.09067</v>
      </c>
      <c r="AC677" s="29" t="n">
        <v>4714.71828</v>
      </c>
      <c r="AD677" s="29" t="n">
        <v>0</v>
      </c>
    </row>
    <row r="678" ht="14.25" customHeight="1" s="28">
      <c r="A678" s="29" t="n">
        <v>1778215501</v>
      </c>
      <c r="B678" s="29" t="inlineStr">
        <is>
          <t>XAUUSD</t>
        </is>
      </c>
      <c r="C678" s="29" t="inlineStr">
        <is>
          <t>M15</t>
        </is>
      </c>
      <c r="D678" s="29" t="n">
        <v>4711.09</v>
      </c>
      <c r="E678" s="29" t="n">
        <v>4717.79398</v>
      </c>
      <c r="F678" s="29" t="n">
        <v>4695.2428</v>
      </c>
      <c r="G678" s="29" t="n">
        <v>4518.59282</v>
      </c>
      <c r="H678" s="29" t="n">
        <v>4596.05595</v>
      </c>
      <c r="I678" s="29" t="n">
        <v>4755.40355</v>
      </c>
      <c r="J678" s="29" t="n">
        <v>4792.76972</v>
      </c>
      <c r="K678" s="29" t="n">
        <v>4769.97694</v>
      </c>
      <c r="L678" s="29" t="n">
        <v>4716.33597</v>
      </c>
      <c r="M678" s="29" t="n">
        <v>4718.85043</v>
      </c>
      <c r="N678" s="29" t="n">
        <v>4531.36057</v>
      </c>
      <c r="O678" s="29" t="n">
        <v>4556.93783</v>
      </c>
      <c r="Q678" s="29" t="n">
        <v>4685.41766</v>
      </c>
      <c r="R678" s="29" t="n">
        <v>4733.43533</v>
      </c>
      <c r="S678" s="29" t="n">
        <v>4709.25171</v>
      </c>
      <c r="V678" s="29" t="n">
        <v>4652.77247</v>
      </c>
      <c r="AB678" s="29" t="n">
        <v>4715.17825</v>
      </c>
      <c r="AC678" s="29" t="n">
        <v>4714.94826</v>
      </c>
      <c r="AD678" s="29" t="n">
        <v>1</v>
      </c>
    </row>
    <row r="679" ht="14.25" customHeight="1" s="28">
      <c r="A679" s="29" t="n">
        <v>1778216401</v>
      </c>
      <c r="B679" s="29" t="inlineStr">
        <is>
          <t>XAUUSD</t>
        </is>
      </c>
      <c r="C679" s="29" t="inlineStr">
        <is>
          <t>M15</t>
        </is>
      </c>
      <c r="D679" s="29" t="n">
        <v>4712.09</v>
      </c>
      <c r="E679" s="29" t="n">
        <v>4717.79398</v>
      </c>
      <c r="F679" s="29" t="n">
        <v>4695.2428</v>
      </c>
      <c r="G679" s="29" t="n">
        <v>4518.59282</v>
      </c>
      <c r="H679" s="29" t="n">
        <v>4596.05595</v>
      </c>
      <c r="I679" s="29" t="n">
        <v>4755.40355</v>
      </c>
      <c r="J679" s="29" t="n">
        <v>4792.76972</v>
      </c>
      <c r="K679" s="29" t="n">
        <v>4769.97694</v>
      </c>
      <c r="L679" s="29" t="n">
        <v>4716.33597</v>
      </c>
      <c r="M679" s="29" t="n">
        <v>4718.85043</v>
      </c>
      <c r="N679" s="29" t="n">
        <v>4531.36057</v>
      </c>
      <c r="O679" s="29" t="n">
        <v>4556.93783</v>
      </c>
      <c r="Q679" s="29" t="n">
        <v>4685.62011</v>
      </c>
      <c r="R679" s="29" t="n">
        <v>4733.63777</v>
      </c>
      <c r="S679" s="29" t="n">
        <v>4709.45416</v>
      </c>
      <c r="V679" s="29" t="n">
        <v>4652.97492</v>
      </c>
      <c r="AB679" s="29" t="n">
        <v>4717.33359</v>
      </c>
      <c r="AC679" s="29" t="n">
        <v>4716.14093</v>
      </c>
      <c r="AD679" s="29" t="n">
        <v>0</v>
      </c>
    </row>
    <row r="680" ht="14.25" customHeight="1" s="28">
      <c r="A680" s="29" t="n">
        <v>1778217301</v>
      </c>
      <c r="B680" s="29" t="inlineStr">
        <is>
          <t>XAUUSD</t>
        </is>
      </c>
      <c r="C680" s="29" t="inlineStr">
        <is>
          <t>M15</t>
        </is>
      </c>
      <c r="D680" s="29" t="n">
        <v>4719.37</v>
      </c>
      <c r="E680" s="29" t="n">
        <v>4717.79398</v>
      </c>
      <c r="F680" s="29" t="n">
        <v>4695.2428</v>
      </c>
      <c r="G680" s="29" t="n">
        <v>4518.59282</v>
      </c>
      <c r="H680" s="29" t="n">
        <v>4596.05595</v>
      </c>
      <c r="I680" s="29" t="n">
        <v>4755.40355</v>
      </c>
      <c r="J680" s="29" t="n">
        <v>4792.76972</v>
      </c>
      <c r="K680" s="29" t="n">
        <v>4769.97694</v>
      </c>
      <c r="L680" s="29" t="n">
        <v>4716.33597</v>
      </c>
      <c r="M680" s="29" t="n">
        <v>4718.85043</v>
      </c>
      <c r="N680" s="29" t="n">
        <v>4531.36057</v>
      </c>
      <c r="O680" s="29" t="n">
        <v>4556.93783</v>
      </c>
      <c r="Q680" s="29" t="n">
        <v>4685.82255</v>
      </c>
      <c r="R680" s="29" t="n">
        <v>4733.84022</v>
      </c>
      <c r="S680" s="29" t="n">
        <v>4709.65661</v>
      </c>
      <c r="V680" s="29" t="n">
        <v>4653.17736</v>
      </c>
      <c r="AB680" s="29" t="n">
        <v>4720.18176</v>
      </c>
      <c r="AC680" s="29" t="n">
        <v>4718.16134</v>
      </c>
      <c r="AD680" s="29" t="n">
        <v>0</v>
      </c>
    </row>
    <row r="681" ht="14.25" customHeight="1" s="28">
      <c r="A681" s="29" t="n">
        <v>1778218201</v>
      </c>
      <c r="B681" s="29" t="inlineStr">
        <is>
          <t>XAUUSD</t>
        </is>
      </c>
      <c r="C681" s="29" t="inlineStr">
        <is>
          <t>M15</t>
        </is>
      </c>
      <c r="D681" s="29" t="n">
        <v>4724.62</v>
      </c>
      <c r="E681" s="29" t="n">
        <v>4717.79398</v>
      </c>
      <c r="F681" s="29" t="n">
        <v>4695.2428</v>
      </c>
      <c r="G681" s="29" t="n">
        <v>4518.59282</v>
      </c>
      <c r="H681" s="29" t="n">
        <v>4596.05595</v>
      </c>
      <c r="I681" s="29" t="n">
        <v>4755.40355</v>
      </c>
      <c r="J681" s="29" t="n">
        <v>4792.76972</v>
      </c>
      <c r="K681" s="29" t="n">
        <v>4769.97694</v>
      </c>
      <c r="L681" s="29" t="n">
        <v>4716.33597</v>
      </c>
      <c r="M681" s="29" t="n">
        <v>4718.85043</v>
      </c>
      <c r="N681" s="29" t="n">
        <v>4531.36057</v>
      </c>
      <c r="O681" s="29" t="n">
        <v>4556.93783</v>
      </c>
      <c r="Q681" s="29" t="n">
        <v>4686.025</v>
      </c>
      <c r="R681" s="29" t="n">
        <v>4734.04266</v>
      </c>
      <c r="S681" s="29" t="n">
        <v>4709.85905</v>
      </c>
      <c r="V681" s="29" t="n">
        <v>4653.37981</v>
      </c>
      <c r="AB681" s="29" t="n">
        <v>4723.06238</v>
      </c>
      <c r="AC681" s="29" t="n">
        <v>4720.61186</v>
      </c>
      <c r="AD681" s="29" t="n">
        <v>0</v>
      </c>
    </row>
    <row r="682" ht="14.25" customHeight="1" s="28">
      <c r="A682" s="29" t="n">
        <v>1778219101</v>
      </c>
      <c r="B682" s="29" t="inlineStr">
        <is>
          <t>XAUUSD</t>
        </is>
      </c>
      <c r="C682" s="29" t="inlineStr">
        <is>
          <t>M15</t>
        </is>
      </c>
      <c r="D682" s="29" t="n">
        <v>4727.43</v>
      </c>
      <c r="E682" s="29" t="n">
        <v>4717.79398</v>
      </c>
      <c r="F682" s="29" t="n">
        <v>4695.2428</v>
      </c>
      <c r="G682" s="29" t="n">
        <v>4518.59282</v>
      </c>
      <c r="H682" s="29" t="n">
        <v>4596.05595</v>
      </c>
      <c r="I682" s="29" t="n">
        <v>4755.40355</v>
      </c>
      <c r="J682" s="29" t="n">
        <v>4792.76972</v>
      </c>
      <c r="K682" s="29" t="n">
        <v>4769.97694</v>
      </c>
      <c r="L682" s="29" t="n">
        <v>4716.33597</v>
      </c>
      <c r="M682" s="29" t="n">
        <v>4718.85043</v>
      </c>
      <c r="N682" s="29" t="n">
        <v>4531.36057</v>
      </c>
      <c r="O682" s="29" t="n">
        <v>4556.93783</v>
      </c>
      <c r="Q682" s="29" t="n">
        <v>4686.22744</v>
      </c>
      <c r="R682" s="29" t="n">
        <v>4734.24511</v>
      </c>
      <c r="S682" s="29" t="n">
        <v>4710.0615</v>
      </c>
      <c r="V682" s="29" t="n">
        <v>4653.58225</v>
      </c>
      <c r="AB682" s="29" t="n">
        <v>4725.30783</v>
      </c>
      <c r="AC682" s="29" t="n">
        <v>4722.95985</v>
      </c>
      <c r="AD682" s="29" t="n">
        <v>0</v>
      </c>
    </row>
    <row r="683" ht="14.25" customHeight="1" s="28">
      <c r="A683" s="29" t="n">
        <v>1778220001</v>
      </c>
      <c r="B683" s="29" t="inlineStr">
        <is>
          <t>XAUUSD</t>
        </is>
      </c>
      <c r="C683" s="29" t="inlineStr">
        <is>
          <t>M15</t>
        </is>
      </c>
      <c r="D683" s="29" t="n">
        <v>4723.03</v>
      </c>
      <c r="E683" s="29" t="n">
        <v>4717.79398</v>
      </c>
      <c r="F683" s="29" t="n">
        <v>4695.2428</v>
      </c>
      <c r="G683" s="29" t="n">
        <v>4518.59282</v>
      </c>
      <c r="H683" s="29" t="n">
        <v>4596.05595</v>
      </c>
      <c r="I683" s="29" t="n">
        <v>4755.40355</v>
      </c>
      <c r="J683" s="29" t="n">
        <v>4792.76972</v>
      </c>
      <c r="K683" s="29" t="n">
        <v>4769.97694</v>
      </c>
      <c r="L683" s="29" t="n">
        <v>4716.33597</v>
      </c>
      <c r="M683" s="29" t="n">
        <v>4718.85043</v>
      </c>
      <c r="N683" s="29" t="n">
        <v>4531.36057</v>
      </c>
      <c r="O683" s="29" t="n">
        <v>4556.93783</v>
      </c>
      <c r="Q683" s="29" t="n">
        <v>4686.42989</v>
      </c>
      <c r="R683" s="29" t="n">
        <v>4734.44755</v>
      </c>
      <c r="S683" s="29" t="n">
        <v>4710.26394</v>
      </c>
      <c r="V683" s="29" t="n">
        <v>4653.7847</v>
      </c>
      <c r="AB683" s="29" t="n">
        <v>4726.39851</v>
      </c>
      <c r="AC683" s="29" t="n">
        <v>4724.67918</v>
      </c>
      <c r="AD683" s="29" t="n">
        <v>0</v>
      </c>
    </row>
    <row r="684" ht="14.25" customHeight="1" s="28">
      <c r="A684" s="29" t="n">
        <v>1778220901</v>
      </c>
      <c r="B684" s="29" t="inlineStr">
        <is>
          <t>XAUUSD</t>
        </is>
      </c>
      <c r="C684" s="29" t="inlineStr">
        <is>
          <t>M15</t>
        </is>
      </c>
      <c r="D684" s="29" t="n">
        <v>4733.47</v>
      </c>
      <c r="E684" s="29" t="n">
        <v>4717.79398</v>
      </c>
      <c r="F684" s="29" t="n">
        <v>4695.2428</v>
      </c>
      <c r="G684" s="29" t="n">
        <v>4518.59282</v>
      </c>
      <c r="H684" s="29" t="n">
        <v>4596.05595</v>
      </c>
      <c r="I684" s="29" t="n">
        <v>4755.40355</v>
      </c>
      <c r="J684" s="29" t="n">
        <v>4792.76972</v>
      </c>
      <c r="K684" s="29" t="n">
        <v>4769.97694</v>
      </c>
      <c r="L684" s="29" t="n">
        <v>4716.33597</v>
      </c>
      <c r="M684" s="29" t="n">
        <v>4718.85043</v>
      </c>
      <c r="N684" s="29" t="n">
        <v>4531.36057</v>
      </c>
      <c r="O684" s="29" t="n">
        <v>4556.93783</v>
      </c>
      <c r="Q684" s="29" t="n">
        <v>4686.63234</v>
      </c>
      <c r="R684" s="29" t="n">
        <v>4734.65</v>
      </c>
      <c r="S684" s="29" t="n">
        <v>4710.46639</v>
      </c>
      <c r="V684" s="29" t="n">
        <v>4653.98714</v>
      </c>
      <c r="Z684" s="29" t="n">
        <v>4734.65</v>
      </c>
      <c r="AB684" s="29" t="n">
        <v>4726.21783</v>
      </c>
      <c r="AC684" s="29" t="n">
        <v>4725.4485</v>
      </c>
      <c r="AD684" s="29" t="n">
        <v>0</v>
      </c>
    </row>
    <row r="685" ht="14.25" customHeight="1" s="28">
      <c r="A685" s="29" t="n">
        <v>1778221801</v>
      </c>
      <c r="B685" s="29" t="inlineStr">
        <is>
          <t>XAUUSD</t>
        </is>
      </c>
      <c r="C685" s="29" t="inlineStr">
        <is>
          <t>M15</t>
        </is>
      </c>
      <c r="D685" s="29" t="n">
        <v>4728.52</v>
      </c>
      <c r="E685" s="29" t="n">
        <v>4717.79398</v>
      </c>
      <c r="F685" s="29" t="n">
        <v>4695.2428</v>
      </c>
      <c r="G685" s="29" t="n">
        <v>4518.59282</v>
      </c>
      <c r="H685" s="29" t="n">
        <v>4596.05595</v>
      </c>
      <c r="I685" s="29" t="n">
        <v>4755.40355</v>
      </c>
      <c r="J685" s="29" t="n">
        <v>4792.76972</v>
      </c>
      <c r="K685" s="29" t="n">
        <v>4769.97694</v>
      </c>
      <c r="L685" s="29" t="n">
        <v>4716.33597</v>
      </c>
      <c r="M685" s="29" t="n">
        <v>4718.85043</v>
      </c>
      <c r="N685" s="29" t="n">
        <v>4531.36057</v>
      </c>
      <c r="O685" s="29" t="n">
        <v>4556.93783</v>
      </c>
      <c r="Q685" s="29" t="n">
        <v>4686.83478</v>
      </c>
      <c r="R685" s="29" t="n">
        <v>4734.85245</v>
      </c>
      <c r="S685" s="29" t="n">
        <v>4710.66883</v>
      </c>
      <c r="V685" s="29" t="n">
        <v>4654.18959</v>
      </c>
      <c r="AB685" s="29" t="n">
        <v>4724.48288</v>
      </c>
      <c r="AC685" s="29" t="n">
        <v>4724.96569</v>
      </c>
      <c r="AD685" s="29" t="n">
        <v>1</v>
      </c>
    </row>
    <row r="686" ht="14.25" customHeight="1" s="28">
      <c r="A686" s="29" t="n">
        <v>1778222701</v>
      </c>
      <c r="B686" s="29" t="inlineStr">
        <is>
          <t>XAUUSD</t>
        </is>
      </c>
      <c r="C686" s="29" t="inlineStr">
        <is>
          <t>M15</t>
        </is>
      </c>
      <c r="D686" s="29" t="n">
        <v>4725.67</v>
      </c>
      <c r="E686" s="29" t="n">
        <v>4717.79398</v>
      </c>
      <c r="F686" s="29" t="n">
        <v>4695.2428</v>
      </c>
      <c r="G686" s="29" t="n">
        <v>4518.59282</v>
      </c>
      <c r="H686" s="29" t="n">
        <v>4596.05595</v>
      </c>
      <c r="I686" s="29" t="n">
        <v>4755.40355</v>
      </c>
      <c r="J686" s="29" t="n">
        <v>4792.76972</v>
      </c>
      <c r="K686" s="29" t="n">
        <v>4769.97694</v>
      </c>
      <c r="L686" s="29" t="n">
        <v>4716.33597</v>
      </c>
      <c r="M686" s="29" t="n">
        <v>4718.85043</v>
      </c>
      <c r="N686" s="29" t="n">
        <v>4531.36057</v>
      </c>
      <c r="O686" s="29" t="n">
        <v>4556.93783</v>
      </c>
      <c r="Q686" s="29" t="n">
        <v>4687.03723</v>
      </c>
      <c r="R686" s="29" t="n">
        <v>4735.05489</v>
      </c>
      <c r="S686" s="29" t="n">
        <v>4710.87128</v>
      </c>
      <c r="V686" s="29" t="n">
        <v>4654.39204</v>
      </c>
      <c r="AB686" s="29" t="n">
        <v>4721.61567</v>
      </c>
      <c r="AC686" s="29" t="n">
        <v>4723.29068</v>
      </c>
      <c r="AD686" s="29" t="n">
        <v>0</v>
      </c>
    </row>
    <row r="687" ht="14.25" customHeight="1" s="28">
      <c r="A687" s="29" t="n">
        <v>1778223601</v>
      </c>
      <c r="B687" s="29" t="inlineStr">
        <is>
          <t>XAUUSD</t>
        </is>
      </c>
      <c r="C687" s="29" t="inlineStr">
        <is>
          <t>M15</t>
        </is>
      </c>
      <c r="D687" s="29" t="n">
        <v>4715.31</v>
      </c>
      <c r="E687" s="29" t="n">
        <v>4717.79398</v>
      </c>
      <c r="F687" s="29" t="n">
        <v>4695.2428</v>
      </c>
      <c r="G687" s="29" t="n">
        <v>4518.59282</v>
      </c>
      <c r="H687" s="29" t="n">
        <v>4596.05595</v>
      </c>
      <c r="I687" s="29" t="n">
        <v>4755.40355</v>
      </c>
      <c r="J687" s="29" t="n">
        <v>4792.76972</v>
      </c>
      <c r="K687" s="29" t="n">
        <v>4769.97694</v>
      </c>
      <c r="L687" s="29" t="n">
        <v>4716.33597</v>
      </c>
      <c r="M687" s="29" t="n">
        <v>4718.85043</v>
      </c>
      <c r="N687" s="29" t="n">
        <v>4531.36057</v>
      </c>
      <c r="O687" s="29" t="n">
        <v>4556.93783</v>
      </c>
      <c r="Q687" s="29" t="n">
        <v>4687.23967</v>
      </c>
      <c r="R687" s="29" t="n">
        <v>4735.25734</v>
      </c>
      <c r="S687" s="29" t="n">
        <v>4711.07372</v>
      </c>
      <c r="V687" s="29" t="n">
        <v>4654.59448</v>
      </c>
      <c r="AB687" s="29" t="n">
        <v>4718.15728</v>
      </c>
      <c r="AC687" s="29" t="n">
        <v>4720.72398</v>
      </c>
      <c r="AD687" s="29" t="n">
        <v>0</v>
      </c>
    </row>
    <row r="688" ht="14.25" customHeight="1" s="28">
      <c r="A688" s="29" t="n">
        <v>1778224501</v>
      </c>
      <c r="B688" s="29" t="inlineStr">
        <is>
          <t>XAUUSD</t>
        </is>
      </c>
      <c r="C688" s="29" t="inlineStr">
        <is>
          <t>M15</t>
        </is>
      </c>
      <c r="D688" s="29" t="n">
        <v>4706.67</v>
      </c>
      <c r="E688" s="29" t="n">
        <v>4717.79398</v>
      </c>
      <c r="F688" s="29" t="n">
        <v>4695.2428</v>
      </c>
      <c r="G688" s="29" t="n">
        <v>4518.59282</v>
      </c>
      <c r="H688" s="29" t="n">
        <v>4596.05595</v>
      </c>
      <c r="I688" s="29" t="n">
        <v>4755.40355</v>
      </c>
      <c r="J688" s="29" t="n">
        <v>4792.76972</v>
      </c>
      <c r="K688" s="29" t="n">
        <v>4769.97694</v>
      </c>
      <c r="L688" s="29" t="n">
        <v>4716.33597</v>
      </c>
      <c r="M688" s="29" t="n">
        <v>4718.85043</v>
      </c>
      <c r="N688" s="29" t="n">
        <v>4531.36057</v>
      </c>
      <c r="O688" s="29" t="n">
        <v>4556.93783</v>
      </c>
      <c r="Q688" s="29" t="n">
        <v>4687.44212</v>
      </c>
      <c r="R688" s="29" t="n">
        <v>4735.45978</v>
      </c>
      <c r="S688" s="29" t="n">
        <v>4711.27617</v>
      </c>
      <c r="V688" s="29" t="n">
        <v>4654.79693</v>
      </c>
      <c r="AA688" s="29" t="n">
        <v>4696.83</v>
      </c>
      <c r="AB688" s="29" t="n">
        <v>4714.88799</v>
      </c>
      <c r="AC688" s="29" t="n">
        <v>4717.80598</v>
      </c>
      <c r="AD688" s="29" t="n">
        <v>0</v>
      </c>
    </row>
    <row r="689" ht="14.25" customHeight="1" s="28">
      <c r="A689" s="29" t="n">
        <v>1778225401</v>
      </c>
      <c r="B689" s="29" t="inlineStr">
        <is>
          <t>XAUUSD</t>
        </is>
      </c>
      <c r="C689" s="29" t="inlineStr">
        <is>
          <t>M15</t>
        </is>
      </c>
      <c r="D689" s="29" t="n">
        <v>4708.14</v>
      </c>
      <c r="E689" s="29" t="n">
        <v>4717.79398</v>
      </c>
      <c r="F689" s="29" t="n">
        <v>4695.2428</v>
      </c>
      <c r="G689" s="29" t="n">
        <v>4518.59282</v>
      </c>
      <c r="H689" s="29" t="n">
        <v>4596.05595</v>
      </c>
      <c r="I689" s="29" t="n">
        <v>4755.40355</v>
      </c>
      <c r="J689" s="29" t="n">
        <v>4792.76972</v>
      </c>
      <c r="K689" s="29" t="n">
        <v>4769.97694</v>
      </c>
      <c r="L689" s="29" t="n">
        <v>4716.33597</v>
      </c>
      <c r="M689" s="29" t="n">
        <v>4718.85043</v>
      </c>
      <c r="N689" s="29" t="n">
        <v>4531.36057</v>
      </c>
      <c r="O689" s="29" t="n">
        <v>4556.93783</v>
      </c>
      <c r="Q689" s="29" t="n">
        <v>4687.64456</v>
      </c>
      <c r="R689" s="29" t="n">
        <v>4735.66223</v>
      </c>
      <c r="S689" s="29" t="n">
        <v>4711.47862</v>
      </c>
      <c r="V689" s="29" t="n">
        <v>4654.99937</v>
      </c>
      <c r="AB689" s="29" t="n">
        <v>4712.46577</v>
      </c>
      <c r="AC689" s="29" t="n">
        <v>4715.13588</v>
      </c>
      <c r="AD689" s="29" t="n">
        <v>0</v>
      </c>
    </row>
    <row r="690" ht="14.25" customHeight="1" s="28">
      <c r="A690" s="29" t="n">
        <v>1778226301</v>
      </c>
      <c r="B690" s="29" t="inlineStr">
        <is>
          <t>XAUUSD</t>
        </is>
      </c>
      <c r="C690" s="29" t="inlineStr">
        <is>
          <t>M15</t>
        </is>
      </c>
      <c r="D690" s="29" t="n">
        <v>4707.87</v>
      </c>
      <c r="E690" s="29" t="n">
        <v>4717.79398</v>
      </c>
      <c r="F690" s="29" t="n">
        <v>4695.2428</v>
      </c>
      <c r="G690" s="29" t="n">
        <v>4518.59282</v>
      </c>
      <c r="H690" s="29" t="n">
        <v>4596.05595</v>
      </c>
      <c r="I690" s="29" t="n">
        <v>4755.40355</v>
      </c>
      <c r="J690" s="29" t="n">
        <v>4792.76972</v>
      </c>
      <c r="K690" s="29" t="n">
        <v>4769.97694</v>
      </c>
      <c r="L690" s="29" t="n">
        <v>4716.33597</v>
      </c>
      <c r="M690" s="29" t="n">
        <v>4718.85043</v>
      </c>
      <c r="N690" s="29" t="n">
        <v>4531.36057</v>
      </c>
      <c r="O690" s="29" t="n">
        <v>4556.93783</v>
      </c>
      <c r="Q690" s="29" t="n">
        <v>4687.84701</v>
      </c>
      <c r="R690" s="29" t="n">
        <v>4735.86467</v>
      </c>
      <c r="S690" s="29" t="n">
        <v>4711.68106</v>
      </c>
      <c r="V690" s="29" t="n">
        <v>4655.20182</v>
      </c>
      <c r="AB690" s="29" t="n">
        <v>4711.1019</v>
      </c>
      <c r="AC690" s="29" t="n">
        <v>4713.11889</v>
      </c>
      <c r="AD690" s="29" t="n">
        <v>0</v>
      </c>
    </row>
    <row r="691" ht="14.25" customHeight="1" s="28">
      <c r="A691" s="29" t="n">
        <v>1778227201</v>
      </c>
      <c r="B691" s="29" t="inlineStr">
        <is>
          <t>XAUUSD</t>
        </is>
      </c>
      <c r="C691" s="29" t="inlineStr">
        <is>
          <t>M15</t>
        </is>
      </c>
      <c r="D691" s="29" t="n">
        <v>4711.45</v>
      </c>
      <c r="E691" s="29" t="n">
        <v>4717.79398</v>
      </c>
      <c r="F691" s="29" t="n">
        <v>4695.2428</v>
      </c>
      <c r="G691" s="29" t="n">
        <v>4518.59282</v>
      </c>
      <c r="H691" s="29" t="n">
        <v>4596.05595</v>
      </c>
      <c r="I691" s="29" t="n">
        <v>4755.40355</v>
      </c>
      <c r="J691" s="29" t="n">
        <v>4792.76972</v>
      </c>
      <c r="K691" s="29" t="n">
        <v>4769.97694</v>
      </c>
      <c r="L691" s="29" t="n">
        <v>4716.33597</v>
      </c>
      <c r="M691" s="29" t="n">
        <v>4718.85043</v>
      </c>
      <c r="N691" s="29" t="n">
        <v>4531.36057</v>
      </c>
      <c r="O691" s="29" t="n">
        <v>4556.93783</v>
      </c>
      <c r="Q691" s="29" t="n">
        <v>4688.04946</v>
      </c>
      <c r="R691" s="29" t="n">
        <v>4736.06712</v>
      </c>
      <c r="S691" s="29" t="n">
        <v>4711.88351</v>
      </c>
      <c r="V691" s="29" t="n">
        <v>4655.40426</v>
      </c>
      <c r="AB691" s="29" t="n">
        <v>4710.83004</v>
      </c>
      <c r="AC691" s="29" t="n">
        <v>4711.97447</v>
      </c>
      <c r="AD691" s="29" t="n">
        <v>0</v>
      </c>
    </row>
    <row r="692" ht="14.25" customHeight="1" s="28">
      <c r="A692" s="29" t="n">
        <v>1778228101</v>
      </c>
      <c r="B692" s="29" t="inlineStr">
        <is>
          <t>XAUUSD</t>
        </is>
      </c>
      <c r="C692" s="29" t="inlineStr">
        <is>
          <t>M15</t>
        </is>
      </c>
      <c r="D692" s="29" t="n">
        <v>4716.82</v>
      </c>
      <c r="E692" s="29" t="n">
        <v>4717.79398</v>
      </c>
      <c r="F692" s="29" t="n">
        <v>4695.2428</v>
      </c>
      <c r="G692" s="29" t="n">
        <v>4518.59282</v>
      </c>
      <c r="H692" s="29" t="n">
        <v>4596.05595</v>
      </c>
      <c r="I692" s="29" t="n">
        <v>4755.40355</v>
      </c>
      <c r="J692" s="29" t="n">
        <v>4792.76972</v>
      </c>
      <c r="K692" s="29" t="n">
        <v>4769.97694</v>
      </c>
      <c r="L692" s="29" t="n">
        <v>4716.33597</v>
      </c>
      <c r="M692" s="29" t="n">
        <v>4718.85043</v>
      </c>
      <c r="N692" s="29" t="n">
        <v>4531.36057</v>
      </c>
      <c r="O692" s="29" t="n">
        <v>4556.93783</v>
      </c>
      <c r="Q692" s="29" t="n">
        <v>4688.2519</v>
      </c>
      <c r="R692" s="29" t="n">
        <v>4736.26957</v>
      </c>
      <c r="S692" s="29" t="n">
        <v>4712.08595</v>
      </c>
      <c r="V692" s="29" t="n">
        <v>4655.60671</v>
      </c>
      <c r="AB692" s="29" t="n">
        <v>4711.41569</v>
      </c>
      <c r="AC692" s="29" t="n">
        <v>4711.69508</v>
      </c>
      <c r="AD692" s="29" t="n">
        <v>0</v>
      </c>
    </row>
    <row r="693" ht="14.25" customHeight="1" s="28">
      <c r="A693" s="29" t="n">
        <v>1778229001</v>
      </c>
      <c r="B693" s="29" t="inlineStr">
        <is>
          <t>XAUUSD</t>
        </is>
      </c>
      <c r="C693" s="29" t="inlineStr">
        <is>
          <t>M15</t>
        </is>
      </c>
      <c r="D693" s="29" t="n">
        <v>4716.85</v>
      </c>
      <c r="E693" s="29" t="n">
        <v>4717.79398</v>
      </c>
      <c r="F693" s="29" t="n">
        <v>4695.2428</v>
      </c>
      <c r="G693" s="29" t="n">
        <v>4518.59282</v>
      </c>
      <c r="H693" s="29" t="n">
        <v>4596.05595</v>
      </c>
      <c r="I693" s="29" t="n">
        <v>4755.40355</v>
      </c>
      <c r="J693" s="29" t="n">
        <v>4792.76972</v>
      </c>
      <c r="K693" s="29" t="n">
        <v>4769.97694</v>
      </c>
      <c r="L693" s="29" t="n">
        <v>4716.33597</v>
      </c>
      <c r="M693" s="29" t="n">
        <v>4718.85043</v>
      </c>
      <c r="N693" s="29" t="n">
        <v>4531.36057</v>
      </c>
      <c r="O693" s="29" t="n">
        <v>4556.93783</v>
      </c>
      <c r="Q693" s="29" t="n">
        <v>4688.45435</v>
      </c>
      <c r="R693" s="29" t="n">
        <v>4736.47201</v>
      </c>
      <c r="S693" s="29" t="n">
        <v>4712.2884</v>
      </c>
      <c r="V693" s="29" t="n">
        <v>4655.80916</v>
      </c>
      <c r="AB693" s="29" t="n">
        <v>4712.49391</v>
      </c>
      <c r="AC693" s="29" t="n">
        <v>4712.09449</v>
      </c>
      <c r="AD693" s="29" t="n">
        <v>1</v>
      </c>
    </row>
    <row r="694" ht="14.25" customHeight="1" s="28">
      <c r="A694" s="29" t="n">
        <v>1778229901</v>
      </c>
      <c r="B694" s="29" t="inlineStr">
        <is>
          <t>XAUUSD</t>
        </is>
      </c>
      <c r="C694" s="29" t="inlineStr">
        <is>
          <t>M15</t>
        </is>
      </c>
      <c r="D694" s="29" t="n">
        <v>4715.7</v>
      </c>
      <c r="E694" s="29" t="n">
        <v>4717.79398</v>
      </c>
      <c r="F694" s="29" t="n">
        <v>4695.2428</v>
      </c>
      <c r="G694" s="29" t="n">
        <v>4518.59282</v>
      </c>
      <c r="H694" s="29" t="n">
        <v>4596.05595</v>
      </c>
      <c r="I694" s="29" t="n">
        <v>4755.40355</v>
      </c>
      <c r="J694" s="29" t="n">
        <v>4792.76972</v>
      </c>
      <c r="K694" s="29" t="n">
        <v>4769.97694</v>
      </c>
      <c r="L694" s="29" t="n">
        <v>4716.33597</v>
      </c>
      <c r="M694" s="29" t="n">
        <v>4718.85043</v>
      </c>
      <c r="N694" s="29" t="n">
        <v>4531.36057</v>
      </c>
      <c r="O694" s="29" t="n">
        <v>4556.93783</v>
      </c>
      <c r="Q694" s="29" t="n">
        <v>4688.65679</v>
      </c>
      <c r="R694" s="29" t="n">
        <v>4736.67446</v>
      </c>
      <c r="S694" s="29" t="n">
        <v>4712.49084</v>
      </c>
      <c r="V694" s="29" t="n">
        <v>4656.0116</v>
      </c>
      <c r="AB694" s="29" t="n">
        <v>4713.81556</v>
      </c>
      <c r="AC694" s="29" t="n">
        <v>4712.95503</v>
      </c>
      <c r="AD694" s="29" t="n">
        <v>0</v>
      </c>
    </row>
    <row r="695" ht="14.25" customHeight="1" s="28">
      <c r="A695" s="29" t="n">
        <v>1778230801</v>
      </c>
      <c r="B695" s="29" t="inlineStr">
        <is>
          <t>XAUUSD</t>
        </is>
      </c>
      <c r="C695" s="29" t="inlineStr">
        <is>
          <t>M15</t>
        </is>
      </c>
      <c r="D695" s="29" t="n">
        <v>4718.38</v>
      </c>
      <c r="E695" s="29" t="n">
        <v>4717.79398</v>
      </c>
      <c r="F695" s="29" t="n">
        <v>4695.2428</v>
      </c>
      <c r="G695" s="29" t="n">
        <v>4518.59282</v>
      </c>
      <c r="H695" s="29" t="n">
        <v>4596.05595</v>
      </c>
      <c r="I695" s="29" t="n">
        <v>4755.40355</v>
      </c>
      <c r="J695" s="29" t="n">
        <v>4792.76972</v>
      </c>
      <c r="K695" s="29" t="n">
        <v>4769.97694</v>
      </c>
      <c r="L695" s="29" t="n">
        <v>4716.33597</v>
      </c>
      <c r="M695" s="29" t="n">
        <v>4718.85043</v>
      </c>
      <c r="N695" s="29" t="n">
        <v>4531.36057</v>
      </c>
      <c r="O695" s="29" t="n">
        <v>4556.93783</v>
      </c>
      <c r="Q695" s="29" t="n">
        <v>4688.85924</v>
      </c>
      <c r="R695" s="29" t="n">
        <v>4736.8769</v>
      </c>
      <c r="S695" s="29" t="n">
        <v>4712.69329</v>
      </c>
      <c r="V695" s="29" t="n">
        <v>4656.21405</v>
      </c>
      <c r="AB695" s="29" t="n">
        <v>4715.24143</v>
      </c>
      <c r="AC695" s="29" t="n">
        <v>4714.09823</v>
      </c>
      <c r="AD695" s="29" t="n">
        <v>0</v>
      </c>
    </row>
    <row r="696" ht="14.25" customHeight="1" s="28">
      <c r="A696" s="29" t="n">
        <v>1778231701</v>
      </c>
      <c r="B696" s="29" t="inlineStr">
        <is>
          <t>XAUUSD</t>
        </is>
      </c>
      <c r="C696" s="29" t="inlineStr">
        <is>
          <t>M15</t>
        </is>
      </c>
      <c r="D696" s="29" t="n">
        <v>4717.81</v>
      </c>
      <c r="E696" s="29" t="n">
        <v>4717.79398</v>
      </c>
      <c r="F696" s="29" t="n">
        <v>4695.2428</v>
      </c>
      <c r="G696" s="29" t="n">
        <v>4518.59282</v>
      </c>
      <c r="H696" s="29" t="n">
        <v>4596.05595</v>
      </c>
      <c r="I696" s="29" t="n">
        <v>4755.40355</v>
      </c>
      <c r="J696" s="29" t="n">
        <v>4792.76972</v>
      </c>
      <c r="K696" s="29" t="n">
        <v>4769.97694</v>
      </c>
      <c r="L696" s="29" t="n">
        <v>4716.33597</v>
      </c>
      <c r="M696" s="29" t="n">
        <v>4718.85043</v>
      </c>
      <c r="N696" s="29" t="n">
        <v>4531.36057</v>
      </c>
      <c r="O696" s="29" t="n">
        <v>4556.93783</v>
      </c>
      <c r="Q696" s="29" t="n">
        <v>4689.06168</v>
      </c>
      <c r="R696" s="29" t="n">
        <v>4737.07935</v>
      </c>
      <c r="S696" s="29" t="n">
        <v>4712.89574</v>
      </c>
      <c r="V696" s="29" t="n">
        <v>4656.41649</v>
      </c>
      <c r="AB696" s="29" t="n">
        <v>4716.61363</v>
      </c>
      <c r="AC696" s="29" t="n">
        <v>4715.35593</v>
      </c>
      <c r="AD696" s="29" t="n">
        <v>0</v>
      </c>
    </row>
    <row r="697" ht="14.25" customHeight="1" s="28">
      <c r="A697" s="29" t="n">
        <v>1778232601</v>
      </c>
      <c r="B697" s="29" t="inlineStr">
        <is>
          <t>XAUUSD</t>
        </is>
      </c>
      <c r="C697" s="29" t="inlineStr">
        <is>
          <t>M15</t>
        </is>
      </c>
      <c r="D697" s="29" t="n">
        <v>4713.35</v>
      </c>
      <c r="E697" s="29" t="n">
        <v>4717.79398</v>
      </c>
      <c r="F697" s="29" t="n">
        <v>4695.2428</v>
      </c>
      <c r="G697" s="29" t="n">
        <v>4518.59282</v>
      </c>
      <c r="H697" s="29" t="n">
        <v>4596.05595</v>
      </c>
      <c r="I697" s="29" t="n">
        <v>4755.40355</v>
      </c>
      <c r="J697" s="29" t="n">
        <v>4792.76972</v>
      </c>
      <c r="K697" s="29" t="n">
        <v>4769.97694</v>
      </c>
      <c r="L697" s="29" t="n">
        <v>4716.33597</v>
      </c>
      <c r="M697" s="29" t="n">
        <v>4718.85043</v>
      </c>
      <c r="N697" s="29" t="n">
        <v>4531.36057</v>
      </c>
      <c r="O697" s="29" t="n">
        <v>4556.93783</v>
      </c>
      <c r="Q697" s="29" t="n">
        <v>4689.26413</v>
      </c>
      <c r="R697" s="29" t="n">
        <v>4737.28179</v>
      </c>
      <c r="S697" s="29" t="n">
        <v>4713.09818</v>
      </c>
      <c r="V697" s="29" t="n">
        <v>4656.61894</v>
      </c>
      <c r="AB697" s="29" t="n">
        <v>4717.88492</v>
      </c>
      <c r="AC697" s="29" t="n">
        <v>4716.62042</v>
      </c>
      <c r="AD697" s="29" t="n">
        <v>0</v>
      </c>
    </row>
    <row r="698" ht="14.25" customHeight="1" s="28">
      <c r="A698" s="29" t="n">
        <v>1778233501</v>
      </c>
      <c r="B698" s="29" t="inlineStr">
        <is>
          <t>XAUUSD</t>
        </is>
      </c>
      <c r="C698" s="29" t="inlineStr">
        <is>
          <t>M15</t>
        </is>
      </c>
      <c r="D698" s="29" t="n">
        <v>4711.79</v>
      </c>
      <c r="E698" s="29" t="n">
        <v>4717.79398</v>
      </c>
      <c r="F698" s="29" t="n">
        <v>4695.2428</v>
      </c>
      <c r="G698" s="29" t="n">
        <v>4518.59282</v>
      </c>
      <c r="H698" s="29" t="n">
        <v>4596.05595</v>
      </c>
      <c r="I698" s="29" t="n">
        <v>4755.40355</v>
      </c>
      <c r="J698" s="29" t="n">
        <v>4792.76972</v>
      </c>
      <c r="K698" s="29" t="n">
        <v>4769.97694</v>
      </c>
      <c r="L698" s="29" t="n">
        <v>4716.33597</v>
      </c>
      <c r="M698" s="29" t="n">
        <v>4718.85043</v>
      </c>
      <c r="N698" s="29" t="n">
        <v>4531.36057</v>
      </c>
      <c r="O698" s="29" t="n">
        <v>4556.93783</v>
      </c>
      <c r="Q698" s="29" t="n">
        <v>4689.46658</v>
      </c>
      <c r="R698" s="29" t="n">
        <v>4737.48424</v>
      </c>
      <c r="S698" s="29" t="n">
        <v>4713.30063</v>
      </c>
      <c r="V698" s="29" t="n">
        <v>4656.82138</v>
      </c>
      <c r="AB698" s="29" t="n">
        <v>4719.13515</v>
      </c>
      <c r="AC698" s="29" t="n">
        <v>4717.87778</v>
      </c>
      <c r="AD698" s="29" t="n">
        <v>0</v>
      </c>
    </row>
    <row r="699" ht="14.25" customHeight="1" s="28">
      <c r="A699" s="29" t="n">
        <v>1778234401</v>
      </c>
      <c r="B699" s="29" t="inlineStr">
        <is>
          <t>XAUUSD</t>
        </is>
      </c>
      <c r="C699" s="29" t="inlineStr">
        <is>
          <t>M15</t>
        </is>
      </c>
      <c r="D699" s="29" t="n">
        <v>4718.94</v>
      </c>
      <c r="E699" s="29" t="n">
        <v>4717.79398</v>
      </c>
      <c r="F699" s="29" t="n">
        <v>4695.2428</v>
      </c>
      <c r="G699" s="29" t="n">
        <v>4518.59282</v>
      </c>
      <c r="H699" s="29" t="n">
        <v>4596.05595</v>
      </c>
      <c r="I699" s="29" t="n">
        <v>4755.40355</v>
      </c>
      <c r="J699" s="29" t="n">
        <v>4792.76972</v>
      </c>
      <c r="K699" s="29" t="n">
        <v>4769.97694</v>
      </c>
      <c r="L699" s="29" t="n">
        <v>4716.33597</v>
      </c>
      <c r="M699" s="29" t="n">
        <v>4718.85043</v>
      </c>
      <c r="N699" s="29" t="n">
        <v>4531.36057</v>
      </c>
      <c r="O699" s="29" t="n">
        <v>4556.93783</v>
      </c>
      <c r="Q699" s="29" t="n">
        <v>4689.66902</v>
      </c>
      <c r="R699" s="29" t="n">
        <v>4737.68669</v>
      </c>
      <c r="S699" s="29" t="n">
        <v>4713.50307</v>
      </c>
      <c r="V699" s="29" t="n">
        <v>4657.02383</v>
      </c>
      <c r="AB699" s="29" t="n">
        <v>4720.32692</v>
      </c>
      <c r="AC699" s="29" t="n">
        <v>4719.10235</v>
      </c>
      <c r="AD699" s="29" t="n">
        <v>0</v>
      </c>
    </row>
    <row r="700" ht="14.25" customHeight="1" s="28">
      <c r="A700" s="29" t="n">
        <v>1778235301</v>
      </c>
      <c r="B700" s="29" t="inlineStr">
        <is>
          <t>XAUUSD</t>
        </is>
      </c>
      <c r="C700" s="29" t="inlineStr">
        <is>
          <t>M15</t>
        </is>
      </c>
      <c r="D700" s="29" t="n">
        <v>4720.38</v>
      </c>
      <c r="E700" s="29" t="n">
        <v>4717.79398</v>
      </c>
      <c r="F700" s="29" t="n">
        <v>4695.2428</v>
      </c>
      <c r="G700" s="29" t="n">
        <v>4518.59282</v>
      </c>
      <c r="H700" s="29" t="n">
        <v>4596.05595</v>
      </c>
      <c r="I700" s="29" t="n">
        <v>4755.40355</v>
      </c>
      <c r="J700" s="29" t="n">
        <v>4792.76972</v>
      </c>
      <c r="K700" s="29" t="n">
        <v>4769.97694</v>
      </c>
      <c r="L700" s="29" t="n">
        <v>4716.33597</v>
      </c>
      <c r="M700" s="29" t="n">
        <v>4718.85043</v>
      </c>
      <c r="N700" s="29" t="n">
        <v>4531.36057</v>
      </c>
      <c r="O700" s="29" t="n">
        <v>4556.93783</v>
      </c>
      <c r="Q700" s="29" t="n">
        <v>4689.87147</v>
      </c>
      <c r="R700" s="29" t="n">
        <v>4737.88913</v>
      </c>
      <c r="S700" s="29" t="n">
        <v>4713.70552</v>
      </c>
      <c r="V700" s="29" t="n">
        <v>4657.22628</v>
      </c>
      <c r="AB700" s="29" t="n">
        <v>4721.1592</v>
      </c>
      <c r="AC700" s="29" t="n">
        <v>4720.13077</v>
      </c>
      <c r="AD700" s="29" t="n">
        <v>0</v>
      </c>
    </row>
    <row r="701" ht="14.25" customHeight="1" s="28">
      <c r="A701" s="29" t="n">
        <v>1778236201</v>
      </c>
      <c r="B701" s="29" t="inlineStr">
        <is>
          <t>XAUUSD</t>
        </is>
      </c>
      <c r="C701" s="29" t="inlineStr">
        <is>
          <t>M15</t>
        </is>
      </c>
      <c r="D701" s="29" t="n">
        <v>4724.48</v>
      </c>
      <c r="E701" s="29" t="n">
        <v>4717.79398</v>
      </c>
      <c r="F701" s="29" t="n">
        <v>4695.2428</v>
      </c>
      <c r="G701" s="29" t="n">
        <v>4518.59282</v>
      </c>
      <c r="H701" s="29" t="n">
        <v>4596.05595</v>
      </c>
      <c r="I701" s="29" t="n">
        <v>4755.40355</v>
      </c>
      <c r="J701" s="29" t="n">
        <v>4792.76972</v>
      </c>
      <c r="K701" s="29" t="n">
        <v>4769.97694</v>
      </c>
      <c r="L701" s="29" t="n">
        <v>4716.33597</v>
      </c>
      <c r="M701" s="29" t="n">
        <v>4718.85043</v>
      </c>
      <c r="N701" s="29" t="n">
        <v>4531.36057</v>
      </c>
      <c r="O701" s="29" t="n">
        <v>4556.93783</v>
      </c>
      <c r="Q701" s="29" t="n">
        <v>4690.07391</v>
      </c>
      <c r="R701" s="29" t="n">
        <v>4738.09158</v>
      </c>
      <c r="S701" s="29" t="n">
        <v>4713.90796</v>
      </c>
      <c r="V701" s="29" t="n">
        <v>4657.42872</v>
      </c>
      <c r="AB701" s="29" t="n">
        <v>4721.45058</v>
      </c>
      <c r="AC701" s="29" t="n">
        <v>4720.79068</v>
      </c>
      <c r="AD701" s="29" t="n">
        <v>0</v>
      </c>
    </row>
    <row r="702" ht="14.25" customHeight="1" s="28">
      <c r="A702" s="29" t="n">
        <v>1778237101</v>
      </c>
      <c r="B702" s="29" t="inlineStr">
        <is>
          <t>XAUUSD</t>
        </is>
      </c>
      <c r="C702" s="29" t="inlineStr">
        <is>
          <t>M15</t>
        </is>
      </c>
      <c r="D702" s="29" t="n">
        <v>4719.94</v>
      </c>
      <c r="E702" s="29" t="n">
        <v>4717.79398</v>
      </c>
      <c r="F702" s="29" t="n">
        <v>4695.2428</v>
      </c>
      <c r="G702" s="29" t="n">
        <v>4518.59282</v>
      </c>
      <c r="H702" s="29" t="n">
        <v>4596.05595</v>
      </c>
      <c r="I702" s="29" t="n">
        <v>4755.40355</v>
      </c>
      <c r="J702" s="29" t="n">
        <v>4792.76972</v>
      </c>
      <c r="K702" s="29" t="n">
        <v>4769.97694</v>
      </c>
      <c r="L702" s="29" t="n">
        <v>4716.33597</v>
      </c>
      <c r="M702" s="29" t="n">
        <v>4718.85043</v>
      </c>
      <c r="N702" s="29" t="n">
        <v>4531.36057</v>
      </c>
      <c r="O702" s="29" t="n">
        <v>4556.93783</v>
      </c>
      <c r="Q702" s="29" t="n">
        <v>4690.27636</v>
      </c>
      <c r="R702" s="29" t="n">
        <v>4738.29402</v>
      </c>
      <c r="S702" s="29" t="n">
        <v>4714.11041</v>
      </c>
      <c r="V702" s="29" t="n">
        <v>4657.63117</v>
      </c>
      <c r="AB702" s="29" t="n">
        <v>4720.99011</v>
      </c>
      <c r="AC702" s="29" t="n">
        <v>4720.89039</v>
      </c>
      <c r="AD702" s="29" t="n">
        <v>0</v>
      </c>
    </row>
    <row r="703" ht="14.25" customHeight="1" s="28">
      <c r="A703" s="29" t="n">
        <v>1778238001</v>
      </c>
      <c r="B703" s="29" t="inlineStr">
        <is>
          <t>XAUUSD</t>
        </is>
      </c>
      <c r="C703" s="29" t="inlineStr">
        <is>
          <t>M15</t>
        </is>
      </c>
      <c r="D703" s="29" t="n">
        <v>4722.05</v>
      </c>
      <c r="E703" s="29" t="n">
        <v>4717.79398</v>
      </c>
      <c r="F703" s="29" t="n">
        <v>4695.2428</v>
      </c>
      <c r="G703" s="29" t="n">
        <v>4518.59282</v>
      </c>
      <c r="H703" s="29" t="n">
        <v>4596.05595</v>
      </c>
      <c r="I703" s="29" t="n">
        <v>4755.40355</v>
      </c>
      <c r="J703" s="29" t="n">
        <v>4792.76972</v>
      </c>
      <c r="K703" s="29" t="n">
        <v>4769.97694</v>
      </c>
      <c r="L703" s="29" t="n">
        <v>4716.33597</v>
      </c>
      <c r="M703" s="29" t="n">
        <v>4718.85043</v>
      </c>
      <c r="N703" s="29" t="n">
        <v>4531.36057</v>
      </c>
      <c r="O703" s="29" t="n">
        <v>4556.93783</v>
      </c>
      <c r="Q703" s="29" t="n">
        <v>4690.4788</v>
      </c>
      <c r="R703" s="29" t="n">
        <v>4738.49647</v>
      </c>
      <c r="S703" s="29" t="n">
        <v>4714.31286</v>
      </c>
      <c r="V703" s="29" t="n">
        <v>4657.83361</v>
      </c>
      <c r="AB703" s="29" t="n">
        <v>4719.94675</v>
      </c>
      <c r="AC703" s="29" t="n">
        <v>4720.41857</v>
      </c>
      <c r="AD703" s="29" t="n">
        <v>1</v>
      </c>
    </row>
    <row r="704" ht="14.25" customHeight="1" s="28">
      <c r="A704" s="29" t="n">
        <v>1778238901</v>
      </c>
      <c r="B704" s="29" t="inlineStr">
        <is>
          <t>XAUUSD</t>
        </is>
      </c>
      <c r="C704" s="29" t="inlineStr">
        <is>
          <t>M15</t>
        </is>
      </c>
      <c r="D704" s="29" t="n">
        <v>4724.08</v>
      </c>
      <c r="E704" s="29" t="n">
        <v>4717.79398</v>
      </c>
      <c r="F704" s="29" t="n">
        <v>4695.2428</v>
      </c>
      <c r="G704" s="29" t="n">
        <v>4518.59282</v>
      </c>
      <c r="H704" s="29" t="n">
        <v>4596.05595</v>
      </c>
      <c r="I704" s="29" t="n">
        <v>4755.40355</v>
      </c>
      <c r="J704" s="29" t="n">
        <v>4792.76972</v>
      </c>
      <c r="K704" s="29" t="n">
        <v>4769.97694</v>
      </c>
      <c r="L704" s="29" t="n">
        <v>4716.33597</v>
      </c>
      <c r="M704" s="29" t="n">
        <v>4718.85043</v>
      </c>
      <c r="N704" s="29" t="n">
        <v>4531.36057</v>
      </c>
      <c r="O704" s="29" t="n">
        <v>4556.93783</v>
      </c>
      <c r="Q704" s="29" t="n">
        <v>4690.68125</v>
      </c>
      <c r="R704" s="29" t="n">
        <v>4738.69891</v>
      </c>
      <c r="S704" s="29" t="n">
        <v>4714.5153</v>
      </c>
      <c r="V704" s="29" t="n">
        <v>4658.03606</v>
      </c>
      <c r="AB704" s="29" t="n">
        <v>4718.44709</v>
      </c>
      <c r="AC704" s="29" t="n">
        <v>4719.43283</v>
      </c>
      <c r="AD704" s="29" t="n">
        <v>0</v>
      </c>
    </row>
    <row r="705" ht="14.25" customHeight="1" s="28">
      <c r="A705" s="29" t="n">
        <v>1778239801</v>
      </c>
      <c r="B705" s="29" t="inlineStr">
        <is>
          <t>XAUUSD</t>
        </is>
      </c>
      <c r="C705" s="29" t="inlineStr">
        <is>
          <t>M15</t>
        </is>
      </c>
      <c r="D705" s="29" t="n">
        <v>4721.18</v>
      </c>
      <c r="E705" s="29" t="n">
        <v>4717.79398</v>
      </c>
      <c r="F705" s="29" t="n">
        <v>4695.2428</v>
      </c>
      <c r="G705" s="29" t="n">
        <v>4518.59282</v>
      </c>
      <c r="H705" s="29" t="n">
        <v>4596.05595</v>
      </c>
      <c r="I705" s="29" t="n">
        <v>4755.40355</v>
      </c>
      <c r="J705" s="29" t="n">
        <v>4792.76972</v>
      </c>
      <c r="K705" s="29" t="n">
        <v>4769.97694</v>
      </c>
      <c r="L705" s="29" t="n">
        <v>4716.33597</v>
      </c>
      <c r="M705" s="29" t="n">
        <v>4718.85043</v>
      </c>
      <c r="N705" s="29" t="n">
        <v>4531.36057</v>
      </c>
      <c r="O705" s="29" t="n">
        <v>4556.93783</v>
      </c>
      <c r="Q705" s="29" t="n">
        <v>4690.8837</v>
      </c>
      <c r="R705" s="29" t="n">
        <v>4738.90136</v>
      </c>
      <c r="S705" s="29" t="n">
        <v>4714.71775</v>
      </c>
      <c r="V705" s="29" t="n">
        <v>4658.2385</v>
      </c>
      <c r="AB705" s="29" t="n">
        <v>4716.79128</v>
      </c>
      <c r="AC705" s="29" t="n">
        <v>4718.11206</v>
      </c>
      <c r="AD705" s="29" t="n">
        <v>0</v>
      </c>
    </row>
    <row r="706" ht="14.25" customHeight="1" s="28">
      <c r="A706" s="29" t="n">
        <v>1778240701</v>
      </c>
      <c r="B706" s="29" t="inlineStr">
        <is>
          <t>XAUUSD</t>
        </is>
      </c>
      <c r="C706" s="29" t="inlineStr">
        <is>
          <t>M15</t>
        </is>
      </c>
      <c r="D706" s="29" t="n">
        <v>4717.8</v>
      </c>
      <c r="E706" s="29" t="n">
        <v>4717.79398</v>
      </c>
      <c r="F706" s="29" t="n">
        <v>4695.2428</v>
      </c>
      <c r="G706" s="29" t="n">
        <v>4518.59282</v>
      </c>
      <c r="H706" s="29" t="n">
        <v>4596.05595</v>
      </c>
      <c r="I706" s="29" t="n">
        <v>4755.40355</v>
      </c>
      <c r="J706" s="29" t="n">
        <v>4792.76972</v>
      </c>
      <c r="K706" s="29" t="n">
        <v>4769.97694</v>
      </c>
      <c r="L706" s="29" t="n">
        <v>4716.33597</v>
      </c>
      <c r="M706" s="29" t="n">
        <v>4718.85043</v>
      </c>
      <c r="N706" s="29" t="n">
        <v>4531.36057</v>
      </c>
      <c r="O706" s="29" t="n">
        <v>4556.93783</v>
      </c>
      <c r="Q706" s="29" t="n">
        <v>4691.08614</v>
      </c>
      <c r="R706" s="29" t="n">
        <v>4739.10381</v>
      </c>
      <c r="S706" s="29" t="n">
        <v>4714.92019</v>
      </c>
      <c r="V706" s="29" t="n">
        <v>4658.44095</v>
      </c>
      <c r="AB706" s="29" t="n">
        <v>4715.51766</v>
      </c>
      <c r="AC706" s="29" t="n">
        <v>4716.81486</v>
      </c>
      <c r="AD706" s="29" t="n">
        <v>0</v>
      </c>
    </row>
    <row r="707" ht="14.25" customHeight="1" s="28">
      <c r="A707" s="29" t="n">
        <v>1778241601</v>
      </c>
      <c r="B707" s="29" t="inlineStr">
        <is>
          <t>XAUUSD</t>
        </is>
      </c>
      <c r="C707" s="29" t="inlineStr">
        <is>
          <t>M15</t>
        </is>
      </c>
      <c r="D707" s="29" t="n">
        <v>4704.7</v>
      </c>
      <c r="E707" s="29" t="n">
        <v>4717.79398</v>
      </c>
      <c r="F707" s="29" t="n">
        <v>4695.2428</v>
      </c>
      <c r="G707" s="29" t="n">
        <v>4518.59282</v>
      </c>
      <c r="H707" s="29" t="n">
        <v>4596.05595</v>
      </c>
      <c r="I707" s="29" t="n">
        <v>4755.40355</v>
      </c>
      <c r="J707" s="29" t="n">
        <v>4792.76972</v>
      </c>
      <c r="K707" s="29" t="n">
        <v>4769.97694</v>
      </c>
      <c r="L707" s="29" t="n">
        <v>4716.33597</v>
      </c>
      <c r="M707" s="29" t="n">
        <v>4718.85043</v>
      </c>
      <c r="N707" s="29" t="n">
        <v>4531.36057</v>
      </c>
      <c r="O707" s="29" t="n">
        <v>4556.93783</v>
      </c>
      <c r="Q707" s="29" t="n">
        <v>4691.28859</v>
      </c>
      <c r="R707" s="29" t="n">
        <v>4739.30625</v>
      </c>
      <c r="S707" s="29" t="n">
        <v>4715.12264</v>
      </c>
      <c r="V707" s="29" t="n">
        <v>4658.6434</v>
      </c>
      <c r="AB707" s="29" t="n">
        <v>4715.17665</v>
      </c>
      <c r="AC707" s="29" t="n">
        <v>4715.99575</v>
      </c>
      <c r="AD707" s="29" t="n">
        <v>0</v>
      </c>
    </row>
    <row r="708" ht="14.25" customHeight="1" s="28">
      <c r="A708" s="29" t="n">
        <v>1778242501</v>
      </c>
      <c r="B708" s="29" t="inlineStr">
        <is>
          <t>XAUUSD</t>
        </is>
      </c>
      <c r="C708" s="29" t="inlineStr">
        <is>
          <t>M15</t>
        </is>
      </c>
      <c r="D708" s="29" t="n">
        <v>4710.4</v>
      </c>
      <c r="E708" s="29" t="n">
        <v>4717.79398</v>
      </c>
      <c r="F708" s="29" t="n">
        <v>4695.2428</v>
      </c>
      <c r="G708" s="29" t="n">
        <v>4518.59282</v>
      </c>
      <c r="H708" s="29" t="n">
        <v>4596.05595</v>
      </c>
      <c r="I708" s="29" t="n">
        <v>4755.40355</v>
      </c>
      <c r="J708" s="29" t="n">
        <v>4792.76972</v>
      </c>
      <c r="K708" s="29" t="n">
        <v>4769.97694</v>
      </c>
      <c r="L708" s="29" t="n">
        <v>4716.33597</v>
      </c>
      <c r="M708" s="29" t="n">
        <v>4718.85043</v>
      </c>
      <c r="N708" s="29" t="n">
        <v>4531.36057</v>
      </c>
      <c r="O708" s="29" t="n">
        <v>4556.93783</v>
      </c>
      <c r="Q708" s="29" t="n">
        <v>4691.49103</v>
      </c>
      <c r="R708" s="29" t="n">
        <v>4739.5087</v>
      </c>
      <c r="S708" s="29" t="n">
        <v>4715.32508</v>
      </c>
      <c r="V708" s="29" t="n">
        <v>4658.84584</v>
      </c>
      <c r="AB708" s="29" t="n">
        <v>4716.45207</v>
      </c>
      <c r="AC708" s="29" t="n">
        <v>4716.22391</v>
      </c>
      <c r="AD708" s="29" t="n">
        <v>1</v>
      </c>
    </row>
    <row r="709" ht="14.25" customHeight="1" s="28">
      <c r="A709" s="29" t="n">
        <v>1778243401</v>
      </c>
      <c r="B709" s="29" t="inlineStr">
        <is>
          <t>XAUUSD</t>
        </is>
      </c>
      <c r="C709" s="29" t="inlineStr">
        <is>
          <t>M15</t>
        </is>
      </c>
      <c r="D709" s="29" t="n">
        <v>4723.84</v>
      </c>
      <c r="E709" s="29" t="n">
        <v>4717.79398</v>
      </c>
      <c r="F709" s="29" t="n">
        <v>4695.2428</v>
      </c>
      <c r="G709" s="29" t="n">
        <v>4518.59282</v>
      </c>
      <c r="H709" s="29" t="n">
        <v>4596.05595</v>
      </c>
      <c r="I709" s="29" t="n">
        <v>4755.40355</v>
      </c>
      <c r="J709" s="29" t="n">
        <v>4792.76972</v>
      </c>
      <c r="K709" s="29" t="n">
        <v>4769.97694</v>
      </c>
      <c r="L709" s="29" t="n">
        <v>4716.33597</v>
      </c>
      <c r="M709" s="29" t="n">
        <v>4718.85043</v>
      </c>
      <c r="N709" s="29" t="n">
        <v>4531.36057</v>
      </c>
      <c r="O709" s="29" t="n">
        <v>4556.93783</v>
      </c>
      <c r="Q709" s="29" t="n">
        <v>4691.69348</v>
      </c>
      <c r="R709" s="29" t="n">
        <v>4739.71114</v>
      </c>
      <c r="S709" s="29" t="n">
        <v>4715.52753</v>
      </c>
      <c r="V709" s="29" t="n">
        <v>4659.04829</v>
      </c>
      <c r="AB709" s="29" t="n">
        <v>4719.2227</v>
      </c>
      <c r="AC709" s="29" t="n">
        <v>4717.7233</v>
      </c>
      <c r="AD709" s="29" t="n">
        <v>0</v>
      </c>
    </row>
    <row r="710" ht="14.25" customHeight="1" s="28">
      <c r="A710" s="29" t="n">
        <v>1778244301</v>
      </c>
      <c r="B710" s="29" t="inlineStr">
        <is>
          <t>XAUUSD</t>
        </is>
      </c>
      <c r="C710" s="29" t="inlineStr">
        <is>
          <t>M15</t>
        </is>
      </c>
      <c r="D710" s="29" t="n">
        <v>4724.41</v>
      </c>
      <c r="E710" s="29" t="n">
        <v>4717.79398</v>
      </c>
      <c r="F710" s="29" t="n">
        <v>4695.2428</v>
      </c>
      <c r="G710" s="29" t="n">
        <v>4518.59282</v>
      </c>
      <c r="H710" s="29" t="n">
        <v>4596.05595</v>
      </c>
      <c r="I710" s="29" t="n">
        <v>4755.40355</v>
      </c>
      <c r="J710" s="29" t="n">
        <v>4792.76972</v>
      </c>
      <c r="K710" s="29" t="n">
        <v>4769.97694</v>
      </c>
      <c r="L710" s="29" t="n">
        <v>4716.33597</v>
      </c>
      <c r="M710" s="29" t="n">
        <v>4718.85043</v>
      </c>
      <c r="N710" s="29" t="n">
        <v>4531.36057</v>
      </c>
      <c r="O710" s="29" t="n">
        <v>4556.93783</v>
      </c>
      <c r="Q710" s="29" t="n">
        <v>4691.89592</v>
      </c>
      <c r="R710" s="29" t="n">
        <v>4739.91359</v>
      </c>
      <c r="S710" s="29" t="n">
        <v>4715.72998</v>
      </c>
      <c r="V710" s="29" t="n">
        <v>4659.25073</v>
      </c>
      <c r="AB710" s="29" t="n">
        <v>4722.8416</v>
      </c>
      <c r="AC710" s="29" t="n">
        <v>4720.28245</v>
      </c>
      <c r="AD710" s="29" t="n">
        <v>0</v>
      </c>
    </row>
    <row r="711" ht="14.25" customHeight="1" s="28">
      <c r="A711" s="29" t="n">
        <v>1778245201</v>
      </c>
      <c r="B711" s="29" t="inlineStr">
        <is>
          <t>XAUUSD</t>
        </is>
      </c>
      <c r="C711" s="29" t="inlineStr">
        <is>
          <t>M15</t>
        </is>
      </c>
      <c r="D711" s="29" t="n">
        <v>4720.41</v>
      </c>
      <c r="E711" s="29" t="n">
        <v>4717.79398</v>
      </c>
      <c r="F711" s="29" t="n">
        <v>4695.2428</v>
      </c>
      <c r="G711" s="29" t="n">
        <v>4518.59282</v>
      </c>
      <c r="H711" s="29" t="n">
        <v>4596.05595</v>
      </c>
      <c r="I711" s="29" t="n">
        <v>4755.40355</v>
      </c>
      <c r="J711" s="29" t="n">
        <v>4792.76972</v>
      </c>
      <c r="K711" s="29" t="n">
        <v>4769.97694</v>
      </c>
      <c r="L711" s="29" t="n">
        <v>4716.33597</v>
      </c>
      <c r="M711" s="29" t="n">
        <v>4718.85043</v>
      </c>
      <c r="N711" s="29" t="n">
        <v>4531.36057</v>
      </c>
      <c r="O711" s="29" t="n">
        <v>4556.93783</v>
      </c>
      <c r="Q711" s="29" t="n">
        <v>4692.09837</v>
      </c>
      <c r="R711" s="29" t="n">
        <v>4740.11603</v>
      </c>
      <c r="S711" s="29" t="n">
        <v>4715.93242</v>
      </c>
      <c r="V711" s="29" t="n">
        <v>4659.45318</v>
      </c>
      <c r="AB711" s="29" t="n">
        <v>4726.75717</v>
      </c>
      <c r="AC711" s="29" t="n">
        <v>4723.51981</v>
      </c>
      <c r="AD711" s="29" t="n">
        <v>0</v>
      </c>
    </row>
    <row r="712" ht="14.25" customHeight="1" s="28">
      <c r="A712" s="29" t="n">
        <v>1778246101</v>
      </c>
      <c r="B712" s="29" t="inlineStr">
        <is>
          <t>XAUUSD</t>
        </is>
      </c>
      <c r="C712" s="29" t="inlineStr">
        <is>
          <t>M15</t>
        </is>
      </c>
      <c r="D712" s="29" t="n">
        <v>4727.11</v>
      </c>
      <c r="E712" s="29" t="n">
        <v>4717.79398</v>
      </c>
      <c r="F712" s="29" t="n">
        <v>4695.2428</v>
      </c>
      <c r="G712" s="29" t="n">
        <v>4518.59282</v>
      </c>
      <c r="H712" s="29" t="n">
        <v>4596.05595</v>
      </c>
      <c r="I712" s="29" t="n">
        <v>4755.40355</v>
      </c>
      <c r="J712" s="29" t="n">
        <v>4792.76972</v>
      </c>
      <c r="K712" s="29" t="n">
        <v>4769.97694</v>
      </c>
      <c r="L712" s="29" t="n">
        <v>4716.33597</v>
      </c>
      <c r="M712" s="29" t="n">
        <v>4718.85043</v>
      </c>
      <c r="N712" s="29" t="n">
        <v>4531.36057</v>
      </c>
      <c r="O712" s="29" t="n">
        <v>4556.93783</v>
      </c>
      <c r="Q712" s="29" t="n">
        <v>4692.30082</v>
      </c>
      <c r="R712" s="29" t="n">
        <v>4740.31848</v>
      </c>
      <c r="S712" s="29" t="n">
        <v>4716.13487</v>
      </c>
      <c r="V712" s="29" t="n">
        <v>4659.65562</v>
      </c>
      <c r="AB712" s="29" t="n">
        <v>4730.40107</v>
      </c>
      <c r="AC712" s="29" t="n">
        <v>4726.96044</v>
      </c>
      <c r="AD712" s="29" t="n">
        <v>0</v>
      </c>
    </row>
    <row r="713" ht="14.25" customHeight="1" s="28">
      <c r="A713" s="29" t="n">
        <v>1778247001</v>
      </c>
      <c r="B713" s="29" t="inlineStr">
        <is>
          <t>XAUUSD</t>
        </is>
      </c>
      <c r="C713" s="29" t="inlineStr">
        <is>
          <t>M15</t>
        </is>
      </c>
      <c r="D713" s="29" t="n">
        <v>4738.02</v>
      </c>
      <c r="E713" s="29" t="n">
        <v>4717.79398</v>
      </c>
      <c r="F713" s="29" t="n">
        <v>4695.2428</v>
      </c>
      <c r="G713" s="29" t="n">
        <v>4518.59282</v>
      </c>
      <c r="H713" s="29" t="n">
        <v>4596.05595</v>
      </c>
      <c r="I713" s="29" t="n">
        <v>4755.40355</v>
      </c>
      <c r="J713" s="29" t="n">
        <v>4792.76972</v>
      </c>
      <c r="K713" s="29" t="n">
        <v>4769.97694</v>
      </c>
      <c r="L713" s="29" t="n">
        <v>4716.33597</v>
      </c>
      <c r="M713" s="29" t="n">
        <v>4718.85043</v>
      </c>
      <c r="N713" s="29" t="n">
        <v>4531.36057</v>
      </c>
      <c r="O713" s="29" t="n">
        <v>4556.93783</v>
      </c>
      <c r="Q713" s="29" t="n">
        <v>4692.50326</v>
      </c>
      <c r="R713" s="29" t="n">
        <v>4740.52093</v>
      </c>
      <c r="S713" s="29" t="n">
        <v>4716.33731</v>
      </c>
      <c r="V713" s="29" t="n">
        <v>4659.85807</v>
      </c>
      <c r="AB713" s="29" t="n">
        <v>4732.89323</v>
      </c>
      <c r="AC713" s="29" t="n">
        <v>4729.92684</v>
      </c>
      <c r="AD713" s="29" t="n">
        <v>0</v>
      </c>
    </row>
    <row r="714" ht="14.25" customHeight="1" s="28">
      <c r="A714" s="29" t="n">
        <v>1778247901</v>
      </c>
      <c r="B714" s="29" t="inlineStr">
        <is>
          <t>XAUUSD</t>
        </is>
      </c>
      <c r="C714" s="29" t="inlineStr">
        <is>
          <t>M15</t>
        </is>
      </c>
      <c r="D714" s="29" t="n">
        <v>4747.9</v>
      </c>
      <c r="E714" s="29" t="n">
        <v>4717.79398</v>
      </c>
      <c r="F714" s="29" t="n">
        <v>4695.2428</v>
      </c>
      <c r="G714" s="29" t="n">
        <v>4518.59282</v>
      </c>
      <c r="H714" s="29" t="n">
        <v>4596.05595</v>
      </c>
      <c r="I714" s="29" t="n">
        <v>4755.40355</v>
      </c>
      <c r="J714" s="29" t="n">
        <v>4792.76972</v>
      </c>
      <c r="K714" s="29" t="n">
        <v>4769.97694</v>
      </c>
      <c r="L714" s="29" t="n">
        <v>4716.33597</v>
      </c>
      <c r="M714" s="29" t="n">
        <v>4718.85043</v>
      </c>
      <c r="N714" s="29" t="n">
        <v>4531.36057</v>
      </c>
      <c r="O714" s="29" t="n">
        <v>4556.93783</v>
      </c>
      <c r="Q714" s="29" t="n">
        <v>4692.70571</v>
      </c>
      <c r="R714" s="29" t="n">
        <v>4740.72337</v>
      </c>
      <c r="S714" s="29" t="n">
        <v>4716.53976</v>
      </c>
      <c r="V714" s="29" t="n">
        <v>4660.06051</v>
      </c>
      <c r="AB714" s="29" t="n">
        <v>4733.28462</v>
      </c>
      <c r="AC714" s="29" t="n">
        <v>4731.60573</v>
      </c>
      <c r="AD714" s="29" t="n">
        <v>0</v>
      </c>
    </row>
    <row r="715" ht="14.25" customHeight="1" s="28">
      <c r="A715" s="29" t="n">
        <v>1778248801</v>
      </c>
      <c r="B715" s="29" t="inlineStr">
        <is>
          <t>XAUUSD</t>
        </is>
      </c>
      <c r="C715" s="29" t="inlineStr">
        <is>
          <t>M15</t>
        </is>
      </c>
      <c r="D715" s="29" t="n">
        <v>4731.78</v>
      </c>
      <c r="E715" s="29" t="n">
        <v>4717.79398</v>
      </c>
      <c r="F715" s="29" t="n">
        <v>4695.2428</v>
      </c>
      <c r="G715" s="29" t="n">
        <v>4518.59282</v>
      </c>
      <c r="H715" s="29" t="n">
        <v>4596.05595</v>
      </c>
      <c r="I715" s="29" t="n">
        <v>4755.40355</v>
      </c>
      <c r="J715" s="29" t="n">
        <v>4792.76972</v>
      </c>
      <c r="K715" s="29" t="n">
        <v>4769.97694</v>
      </c>
      <c r="L715" s="29" t="n">
        <v>4716.33597</v>
      </c>
      <c r="M715" s="29" t="n">
        <v>4718.85043</v>
      </c>
      <c r="N715" s="29" t="n">
        <v>4531.36057</v>
      </c>
      <c r="O715" s="29" t="n">
        <v>4556.93783</v>
      </c>
      <c r="Q715" s="29" t="n">
        <v>4692.90815</v>
      </c>
      <c r="R715" s="29" t="n">
        <v>4740.92582</v>
      </c>
      <c r="S715" s="29" t="n">
        <v>4716.7422</v>
      </c>
      <c r="V715" s="29" t="n">
        <v>4660.26296</v>
      </c>
      <c r="Z715" s="29" t="n">
        <v>4749.22</v>
      </c>
      <c r="AB715" s="29" t="n">
        <v>4731.53002</v>
      </c>
      <c r="AC715" s="29" t="n">
        <v>4731.56787</v>
      </c>
      <c r="AD715" s="29" t="n">
        <v>1</v>
      </c>
    </row>
    <row r="716" ht="14.25" customHeight="1" s="28">
      <c r="A716" s="29" t="n">
        <v>1778249701</v>
      </c>
      <c r="B716" s="29" t="inlineStr">
        <is>
          <t>XAUUSD</t>
        </is>
      </c>
      <c r="C716" s="29" t="inlineStr">
        <is>
          <t>M15</t>
        </is>
      </c>
      <c r="D716" s="29" t="n">
        <v>4719.14</v>
      </c>
      <c r="E716" s="29" t="n">
        <v>4717.79398</v>
      </c>
      <c r="F716" s="29" t="n">
        <v>4695.2428</v>
      </c>
      <c r="G716" s="29" t="n">
        <v>4518.59282</v>
      </c>
      <c r="H716" s="29" t="n">
        <v>4596.05595</v>
      </c>
      <c r="I716" s="29" t="n">
        <v>4755.40355</v>
      </c>
      <c r="J716" s="29" t="n">
        <v>4792.76972</v>
      </c>
      <c r="K716" s="29" t="n">
        <v>4769.97694</v>
      </c>
      <c r="L716" s="29" t="n">
        <v>4716.33597</v>
      </c>
      <c r="M716" s="29" t="n">
        <v>4718.85043</v>
      </c>
      <c r="N716" s="29" t="n">
        <v>4531.36057</v>
      </c>
      <c r="O716" s="29" t="n">
        <v>4556.93783</v>
      </c>
      <c r="Q716" s="29" t="n">
        <v>4693.1106</v>
      </c>
      <c r="R716" s="29" t="n">
        <v>4741.12826</v>
      </c>
      <c r="S716" s="29" t="n">
        <v>4716.94465</v>
      </c>
      <c r="V716" s="29" t="n">
        <v>4660.46541</v>
      </c>
      <c r="AB716" s="29" t="n">
        <v>4727.98654</v>
      </c>
      <c r="AC716" s="29" t="n">
        <v>4729.77721</v>
      </c>
      <c r="AD716" s="29" t="n">
        <v>0</v>
      </c>
    </row>
    <row r="717" ht="14.25" customHeight="1" s="28">
      <c r="A717" s="29" t="n">
        <v>1778250601</v>
      </c>
      <c r="B717" s="29" t="inlineStr">
        <is>
          <t>XAUUSD</t>
        </is>
      </c>
      <c r="C717" s="29" t="inlineStr">
        <is>
          <t>M15</t>
        </is>
      </c>
      <c r="D717" s="29" t="n">
        <v>4722.71</v>
      </c>
      <c r="E717" s="29" t="n">
        <v>4717.79398</v>
      </c>
      <c r="F717" s="29" t="n">
        <v>4695.2428</v>
      </c>
      <c r="G717" s="29" t="n">
        <v>4518.59282</v>
      </c>
      <c r="H717" s="29" t="n">
        <v>4596.05595</v>
      </c>
      <c r="I717" s="29" t="n">
        <v>4755.40355</v>
      </c>
      <c r="J717" s="29" t="n">
        <v>4792.76972</v>
      </c>
      <c r="K717" s="29" t="n">
        <v>4769.97694</v>
      </c>
      <c r="L717" s="29" t="n">
        <v>4716.33597</v>
      </c>
      <c r="M717" s="29" t="n">
        <v>4718.85043</v>
      </c>
      <c r="N717" s="29" t="n">
        <v>4531.36057</v>
      </c>
      <c r="O717" s="29" t="n">
        <v>4556.93783</v>
      </c>
      <c r="Q717" s="29" t="n">
        <v>4693.31304</v>
      </c>
      <c r="R717" s="29" t="n">
        <v>4741.33071</v>
      </c>
      <c r="S717" s="29" t="n">
        <v>4717.1471</v>
      </c>
      <c r="V717" s="29" t="n">
        <v>4660.66785</v>
      </c>
      <c r="AB717" s="29" t="n">
        <v>4723.30198</v>
      </c>
      <c r="AC717" s="29" t="n">
        <v>4726.53959</v>
      </c>
      <c r="AD717" s="29" t="n">
        <v>0</v>
      </c>
    </row>
    <row r="718" ht="14.25" customHeight="1" s="28">
      <c r="A718" s="29" t="n">
        <v>1778251501</v>
      </c>
      <c r="B718" s="29" t="inlineStr">
        <is>
          <t>XAUUSD</t>
        </is>
      </c>
      <c r="C718" s="29" t="inlineStr">
        <is>
          <t>M15</t>
        </is>
      </c>
      <c r="D718" s="29" t="n">
        <v>4716.02</v>
      </c>
      <c r="E718" s="29" t="n">
        <v>4717.79398</v>
      </c>
      <c r="F718" s="29" t="n">
        <v>4695.2428</v>
      </c>
      <c r="G718" s="29" t="n">
        <v>4518.59282</v>
      </c>
      <c r="H718" s="29" t="n">
        <v>4596.05595</v>
      </c>
      <c r="I718" s="29" t="n">
        <v>4755.40355</v>
      </c>
      <c r="J718" s="29" t="n">
        <v>4792.76972</v>
      </c>
      <c r="K718" s="29" t="n">
        <v>4769.97694</v>
      </c>
      <c r="L718" s="29" t="n">
        <v>4716.33597</v>
      </c>
      <c r="M718" s="29" t="n">
        <v>4718.85043</v>
      </c>
      <c r="N718" s="29" t="n">
        <v>4531.36057</v>
      </c>
      <c r="O718" s="29" t="n">
        <v>4556.93783</v>
      </c>
      <c r="Q718" s="29" t="n">
        <v>4693.51549</v>
      </c>
      <c r="R718" s="29" t="n">
        <v>4741.53315</v>
      </c>
      <c r="S718" s="29" t="n">
        <v>4717.34954</v>
      </c>
      <c r="V718" s="29" t="n">
        <v>4660.8703</v>
      </c>
      <c r="AB718" s="29" t="n">
        <v>4718.10758</v>
      </c>
      <c r="AC718" s="29" t="n">
        <v>4722.32358</v>
      </c>
      <c r="AD718" s="29" t="n">
        <v>0</v>
      </c>
    </row>
    <row r="719" ht="14.25" customHeight="1" s="28">
      <c r="A719" s="29" t="n">
        <v>1778252401</v>
      </c>
      <c r="B719" s="29" t="inlineStr">
        <is>
          <t>XAUUSD</t>
        </is>
      </c>
      <c r="C719" s="29" t="inlineStr">
        <is>
          <t>M15</t>
        </is>
      </c>
      <c r="D719" s="29" t="n">
        <v>4707.62</v>
      </c>
      <c r="E719" s="29" t="n">
        <v>4717.79398</v>
      </c>
      <c r="F719" s="29" t="n">
        <v>4695.2428</v>
      </c>
      <c r="G719" s="29" t="n">
        <v>4518.59282</v>
      </c>
      <c r="H719" s="29" t="n">
        <v>4596.05595</v>
      </c>
      <c r="I719" s="29" t="n">
        <v>4755.40355</v>
      </c>
      <c r="J719" s="29" t="n">
        <v>4792.76972</v>
      </c>
      <c r="K719" s="29" t="n">
        <v>4769.97694</v>
      </c>
      <c r="L719" s="29" t="n">
        <v>4716.33597</v>
      </c>
      <c r="M719" s="29" t="n">
        <v>4718.85043</v>
      </c>
      <c r="N719" s="29" t="n">
        <v>4531.36057</v>
      </c>
      <c r="O719" s="29" t="n">
        <v>4556.93783</v>
      </c>
      <c r="Q719" s="29" t="n">
        <v>4693.71794</v>
      </c>
      <c r="R719" s="29" t="n">
        <v>4741.7356</v>
      </c>
      <c r="S719" s="29" t="n">
        <v>4717.55199</v>
      </c>
      <c r="V719" s="29" t="n">
        <v>4661.07274</v>
      </c>
      <c r="AB719" s="29" t="n">
        <v>4713.26887</v>
      </c>
      <c r="AC719" s="29" t="n">
        <v>4717.79623</v>
      </c>
      <c r="AD719" s="29" t="n">
        <v>0</v>
      </c>
    </row>
    <row r="720" ht="14.25" customHeight="1" s="28">
      <c r="A720" s="29" t="n">
        <v>1778253301</v>
      </c>
      <c r="B720" s="29" t="inlineStr">
        <is>
          <t>XAUUSD</t>
        </is>
      </c>
      <c r="C720" s="29" t="inlineStr">
        <is>
          <t>M15</t>
        </is>
      </c>
      <c r="D720" s="29" t="n">
        <v>4713.43</v>
      </c>
      <c r="E720" s="29" t="n">
        <v>4717.79398</v>
      </c>
      <c r="F720" s="29" t="n">
        <v>4695.2428</v>
      </c>
      <c r="G720" s="29" t="n">
        <v>4518.59282</v>
      </c>
      <c r="H720" s="29" t="n">
        <v>4596.05595</v>
      </c>
      <c r="I720" s="29" t="n">
        <v>4755.40355</v>
      </c>
      <c r="J720" s="29" t="n">
        <v>4792.76972</v>
      </c>
      <c r="K720" s="29" t="n">
        <v>4769.97694</v>
      </c>
      <c r="L720" s="29" t="n">
        <v>4716.33597</v>
      </c>
      <c r="M720" s="29" t="n">
        <v>4718.85043</v>
      </c>
      <c r="N720" s="29" t="n">
        <v>4531.36057</v>
      </c>
      <c r="O720" s="29" t="n">
        <v>4556.93783</v>
      </c>
      <c r="Q720" s="29" t="n">
        <v>4693.92038</v>
      </c>
      <c r="R720" s="29" t="n">
        <v>4741.93805</v>
      </c>
      <c r="S720" s="29" t="n">
        <v>4717.75443</v>
      </c>
      <c r="V720" s="29" t="n">
        <v>4661.27519</v>
      </c>
      <c r="AB720" s="29" t="n">
        <v>4709.59027</v>
      </c>
      <c r="AC720" s="29" t="n">
        <v>4713.69325</v>
      </c>
      <c r="AD720" s="29" t="n">
        <v>0</v>
      </c>
    </row>
    <row r="721" ht="14.25" customHeight="1" s="28">
      <c r="A721" s="29" t="n">
        <v>1778254201</v>
      </c>
      <c r="B721" s="29" t="inlineStr">
        <is>
          <t>XAUUSD</t>
        </is>
      </c>
      <c r="C721" s="29" t="inlineStr">
        <is>
          <t>M15</t>
        </is>
      </c>
      <c r="D721" s="29" t="n">
        <v>4705.96</v>
      </c>
      <c r="E721" s="29" t="n">
        <v>4717.79398</v>
      </c>
      <c r="F721" s="29" t="n">
        <v>4695.2428</v>
      </c>
      <c r="G721" s="29" t="n">
        <v>4518.59282</v>
      </c>
      <c r="H721" s="29" t="n">
        <v>4596.05595</v>
      </c>
      <c r="I721" s="29" t="n">
        <v>4755.40355</v>
      </c>
      <c r="J721" s="29" t="n">
        <v>4792.76972</v>
      </c>
      <c r="K721" s="29" t="n">
        <v>4769.97694</v>
      </c>
      <c r="L721" s="29" t="n">
        <v>4716.33597</v>
      </c>
      <c r="M721" s="29" t="n">
        <v>4718.85043</v>
      </c>
      <c r="N721" s="29" t="n">
        <v>4531.36057</v>
      </c>
      <c r="O721" s="29" t="n">
        <v>4556.93783</v>
      </c>
      <c r="Q721" s="29" t="n">
        <v>4694.12283</v>
      </c>
      <c r="R721" s="29" t="n">
        <v>4742.14049</v>
      </c>
      <c r="S721" s="29" t="n">
        <v>4717.95688</v>
      </c>
      <c r="V721" s="29" t="n">
        <v>4661.47763</v>
      </c>
      <c r="AB721" s="29" t="n">
        <v>4707.41937</v>
      </c>
      <c r="AC721" s="29" t="n">
        <v>4710.55631</v>
      </c>
      <c r="AD721" s="29" t="n">
        <v>0</v>
      </c>
    </row>
    <row r="722" ht="14.25" customHeight="1" s="28">
      <c r="A722" s="29" t="n">
        <v>1778255101</v>
      </c>
      <c r="B722" s="29" t="inlineStr">
        <is>
          <t>XAUUSD</t>
        </is>
      </c>
      <c r="C722" s="29" t="inlineStr">
        <is>
          <t>M15</t>
        </is>
      </c>
      <c r="D722" s="29" t="n">
        <v>4707.13</v>
      </c>
      <c r="E722" s="29" t="n">
        <v>4717.79398</v>
      </c>
      <c r="F722" s="29" t="n">
        <v>4695.2428</v>
      </c>
      <c r="G722" s="29" t="n">
        <v>4518.59282</v>
      </c>
      <c r="H722" s="29" t="n">
        <v>4596.05595</v>
      </c>
      <c r="I722" s="29" t="n">
        <v>4755.40355</v>
      </c>
      <c r="J722" s="29" t="n">
        <v>4792.76972</v>
      </c>
      <c r="K722" s="29" t="n">
        <v>4769.97694</v>
      </c>
      <c r="L722" s="29" t="n">
        <v>4716.33597</v>
      </c>
      <c r="M722" s="29" t="n">
        <v>4718.85043</v>
      </c>
      <c r="N722" s="29" t="n">
        <v>4531.36057</v>
      </c>
      <c r="O722" s="29" t="n">
        <v>4556.93783</v>
      </c>
      <c r="Q722" s="29" t="n">
        <v>4694.32527</v>
      </c>
      <c r="R722" s="29" t="n">
        <v>4742.34294</v>
      </c>
      <c r="S722" s="29" t="n">
        <v>4718.15932</v>
      </c>
      <c r="V722" s="29" t="n">
        <v>4661.68008</v>
      </c>
      <c r="AA722" s="29" t="n">
        <v>4702</v>
      </c>
      <c r="AB722" s="29" t="n">
        <v>4707.03888</v>
      </c>
      <c r="AC722" s="29" t="n">
        <v>4708.7976</v>
      </c>
      <c r="AD722" s="29" t="n">
        <v>0</v>
      </c>
    </row>
    <row r="723" ht="14.25" customHeight="1" s="28">
      <c r="A723" s="29" t="n">
        <v>1778256001</v>
      </c>
      <c r="B723" s="29" t="inlineStr">
        <is>
          <t>XAUUSD</t>
        </is>
      </c>
      <c r="C723" s="29" t="inlineStr">
        <is>
          <t>M15</t>
        </is>
      </c>
      <c r="D723" s="29" t="n">
        <v>4711.49</v>
      </c>
      <c r="E723" s="29" t="n">
        <v>4717.79398</v>
      </c>
      <c r="F723" s="29" t="n">
        <v>4695.2428</v>
      </c>
      <c r="G723" s="29" t="n">
        <v>4518.59282</v>
      </c>
      <c r="H723" s="29" t="n">
        <v>4596.05595</v>
      </c>
      <c r="I723" s="29" t="n">
        <v>4755.40355</v>
      </c>
      <c r="J723" s="29" t="n">
        <v>4792.76972</v>
      </c>
      <c r="K723" s="29" t="n">
        <v>4769.97694</v>
      </c>
      <c r="L723" s="29" t="n">
        <v>4716.33597</v>
      </c>
      <c r="M723" s="29" t="n">
        <v>4718.85043</v>
      </c>
      <c r="N723" s="29" t="n">
        <v>4531.36057</v>
      </c>
      <c r="O723" s="29" t="n">
        <v>4556.93783</v>
      </c>
      <c r="Q723" s="29" t="n">
        <v>4694.52772</v>
      </c>
      <c r="R723" s="29" t="n">
        <v>4742.54538</v>
      </c>
      <c r="S723" s="29" t="n">
        <v>4718.36177</v>
      </c>
      <c r="V723" s="29" t="n">
        <v>4661.88253</v>
      </c>
      <c r="AB723" s="29" t="n">
        <v>4708.26589</v>
      </c>
      <c r="AC723" s="29" t="n">
        <v>4708.53174</v>
      </c>
      <c r="AD723" s="29" t="n">
        <v>0</v>
      </c>
    </row>
    <row r="724" ht="14.25" customHeight="1" s="28">
      <c r="A724" s="29" t="n">
        <v>1778256901</v>
      </c>
      <c r="B724" s="29" t="inlineStr">
        <is>
          <t>XAUUSD</t>
        </is>
      </c>
      <c r="C724" s="29" t="inlineStr">
        <is>
          <t>M15</t>
        </is>
      </c>
      <c r="D724" s="29" t="n">
        <v>4717.67</v>
      </c>
      <c r="E724" s="29" t="n">
        <v>4717.79398</v>
      </c>
      <c r="F724" s="29" t="n">
        <v>4695.2428</v>
      </c>
      <c r="G724" s="29" t="n">
        <v>4518.59282</v>
      </c>
      <c r="H724" s="29" t="n">
        <v>4596.05595</v>
      </c>
      <c r="I724" s="29" t="n">
        <v>4755.40355</v>
      </c>
      <c r="J724" s="29" t="n">
        <v>4792.76972</v>
      </c>
      <c r="K724" s="29" t="n">
        <v>4769.97694</v>
      </c>
      <c r="L724" s="29" t="n">
        <v>4716.33597</v>
      </c>
      <c r="M724" s="29" t="n">
        <v>4718.85043</v>
      </c>
      <c r="N724" s="29" t="n">
        <v>4531.36057</v>
      </c>
      <c r="O724" s="29" t="n">
        <v>4556.93783</v>
      </c>
      <c r="Q724" s="29" t="n">
        <v>4694.73016</v>
      </c>
      <c r="R724" s="29" t="n">
        <v>4742.74783</v>
      </c>
      <c r="S724" s="29" t="n">
        <v>4718.56422</v>
      </c>
      <c r="V724" s="29" t="n">
        <v>4662.08497</v>
      </c>
      <c r="AB724" s="29" t="n">
        <v>4710.6159</v>
      </c>
      <c r="AC724" s="29" t="n">
        <v>4709.57382</v>
      </c>
      <c r="AD724" s="29" t="n">
        <v>1</v>
      </c>
    </row>
    <row r="725" ht="14.25" customHeight="1" s="28">
      <c r="A725" s="29" t="n">
        <v>1778257801</v>
      </c>
      <c r="B725" s="29" t="inlineStr">
        <is>
          <t>XAUUSD</t>
        </is>
      </c>
      <c r="C725" s="29" t="inlineStr">
        <is>
          <t>M15</t>
        </is>
      </c>
      <c r="D725" s="29" t="n">
        <v>4713.4</v>
      </c>
      <c r="E725" s="29" t="n">
        <v>4717.79398</v>
      </c>
      <c r="F725" s="29" t="n">
        <v>4695.2428</v>
      </c>
      <c r="G725" s="29" t="n">
        <v>4518.59282</v>
      </c>
      <c r="H725" s="29" t="n">
        <v>4596.05595</v>
      </c>
      <c r="I725" s="29" t="n">
        <v>4755.40355</v>
      </c>
      <c r="J725" s="29" t="n">
        <v>4792.76972</v>
      </c>
      <c r="K725" s="29" t="n">
        <v>4769.97694</v>
      </c>
      <c r="L725" s="29" t="n">
        <v>4716.33597</v>
      </c>
      <c r="M725" s="29" t="n">
        <v>4718.85043</v>
      </c>
      <c r="N725" s="29" t="n">
        <v>4531.36057</v>
      </c>
      <c r="O725" s="29" t="n">
        <v>4556.93783</v>
      </c>
      <c r="Q725" s="29" t="n">
        <v>4694.93261</v>
      </c>
      <c r="R725" s="29" t="n">
        <v>4742.95027</v>
      </c>
      <c r="S725" s="29" t="n">
        <v>4718.76666</v>
      </c>
      <c r="V725" s="29" t="n">
        <v>4662.28742</v>
      </c>
      <c r="AB725" s="29" t="n">
        <v>4713.4344</v>
      </c>
      <c r="AC725" s="29" t="n">
        <v>4711.50411</v>
      </c>
      <c r="AD725" s="29" t="n">
        <v>0</v>
      </c>
    </row>
    <row r="726" ht="14.25" customHeight="1" s="28">
      <c r="A726" s="29" t="n">
        <v>1778258701</v>
      </c>
      <c r="B726" s="29" t="inlineStr">
        <is>
          <t>XAUUSD</t>
        </is>
      </c>
      <c r="C726" s="29" t="inlineStr">
        <is>
          <t>M15</t>
        </is>
      </c>
      <c r="D726" s="29" t="n">
        <v>4712.52</v>
      </c>
      <c r="E726" s="29" t="n">
        <v>4717.79398</v>
      </c>
      <c r="F726" s="29" t="n">
        <v>4695.2428</v>
      </c>
      <c r="G726" s="29" t="n">
        <v>4518.59282</v>
      </c>
      <c r="H726" s="29" t="n">
        <v>4596.05595</v>
      </c>
      <c r="I726" s="29" t="n">
        <v>4755.40355</v>
      </c>
      <c r="J726" s="29" t="n">
        <v>4792.76972</v>
      </c>
      <c r="K726" s="29" t="n">
        <v>4769.97694</v>
      </c>
      <c r="L726" s="29" t="n">
        <v>4716.33597</v>
      </c>
      <c r="M726" s="29" t="n">
        <v>4718.85043</v>
      </c>
      <c r="N726" s="29" t="n">
        <v>4531.36057</v>
      </c>
      <c r="O726" s="29" t="n">
        <v>4556.93783</v>
      </c>
      <c r="Q726" s="29" t="n">
        <v>4695.13505</v>
      </c>
      <c r="R726" s="29" t="n">
        <v>4743.15272</v>
      </c>
      <c r="S726" s="29" t="n">
        <v>4718.96911</v>
      </c>
      <c r="V726" s="29" t="n">
        <v>4662.48986</v>
      </c>
      <c r="AB726" s="29" t="n">
        <v>4716.30644</v>
      </c>
      <c r="AC726" s="29" t="n">
        <v>4713.90528</v>
      </c>
      <c r="AD726" s="29" t="n">
        <v>0</v>
      </c>
    </row>
    <row r="727" ht="14.25" customHeight="1" s="28">
      <c r="A727" s="29" t="n">
        <v>1778259601</v>
      </c>
      <c r="B727" s="29" t="inlineStr">
        <is>
          <t>XAUUSD</t>
        </is>
      </c>
      <c r="C727" s="29" t="inlineStr">
        <is>
          <t>M15</t>
        </is>
      </c>
      <c r="D727" s="29" t="n">
        <v>4715.4</v>
      </c>
      <c r="E727" s="29" t="n">
        <v>4717.79398</v>
      </c>
      <c r="F727" s="29" t="n">
        <v>4695.2428</v>
      </c>
      <c r="G727" s="29" t="n">
        <v>4518.59282</v>
      </c>
      <c r="H727" s="29" t="n">
        <v>4596.05595</v>
      </c>
      <c r="I727" s="29" t="n">
        <v>4755.40355</v>
      </c>
      <c r="J727" s="29" t="n">
        <v>4792.76972</v>
      </c>
      <c r="K727" s="29" t="n">
        <v>4769.97694</v>
      </c>
      <c r="L727" s="29" t="n">
        <v>4716.33597</v>
      </c>
      <c r="M727" s="29" t="n">
        <v>4718.85043</v>
      </c>
      <c r="N727" s="29" t="n">
        <v>4531.36057</v>
      </c>
      <c r="O727" s="29" t="n">
        <v>4556.93783</v>
      </c>
      <c r="Q727" s="29" t="n">
        <v>4695.3375</v>
      </c>
      <c r="R727" s="29" t="n">
        <v>4743.35516</v>
      </c>
      <c r="S727" s="29" t="n">
        <v>4719.17155</v>
      </c>
      <c r="V727" s="29" t="n">
        <v>4662.69231</v>
      </c>
      <c r="AB727" s="29" t="n">
        <v>4718.88709</v>
      </c>
      <c r="AC727" s="29" t="n">
        <v>4716.39618</v>
      </c>
      <c r="AD727" s="29" t="n">
        <v>0</v>
      </c>
    </row>
    <row r="728" ht="14.25" customHeight="1" s="28">
      <c r="A728" s="29" t="n">
        <v>1778260501</v>
      </c>
      <c r="B728" s="29" t="inlineStr">
        <is>
          <t>XAUUSD</t>
        </is>
      </c>
      <c r="C728" s="29" t="inlineStr">
        <is>
          <t>M15</t>
        </is>
      </c>
      <c r="D728" s="29" t="n">
        <v>4720.64</v>
      </c>
      <c r="E728" s="29" t="n">
        <v>4717.79398</v>
      </c>
      <c r="F728" s="29" t="n">
        <v>4695.2428</v>
      </c>
      <c r="G728" s="29" t="n">
        <v>4518.59282</v>
      </c>
      <c r="H728" s="29" t="n">
        <v>4596.05595</v>
      </c>
      <c r="I728" s="29" t="n">
        <v>4755.40355</v>
      </c>
      <c r="J728" s="29" t="n">
        <v>4792.76972</v>
      </c>
      <c r="K728" s="29" t="n">
        <v>4769.97694</v>
      </c>
      <c r="L728" s="29" t="n">
        <v>4716.33597</v>
      </c>
      <c r="M728" s="29" t="n">
        <v>4718.85043</v>
      </c>
      <c r="N728" s="29" t="n">
        <v>4531.36057</v>
      </c>
      <c r="O728" s="29" t="n">
        <v>4556.93783</v>
      </c>
      <c r="Q728" s="29" t="n">
        <v>4695.53995</v>
      </c>
      <c r="R728" s="29" t="n">
        <v>4743.55761</v>
      </c>
      <c r="S728" s="29" t="n">
        <v>4719.374</v>
      </c>
      <c r="V728" s="29" t="n">
        <v>4662.89475</v>
      </c>
      <c r="AB728" s="29" t="n">
        <v>4720.92814</v>
      </c>
      <c r="AC728" s="29" t="n">
        <v>4718.66216</v>
      </c>
      <c r="AD728" s="29" t="n">
        <v>0</v>
      </c>
    </row>
    <row r="729" ht="14.25" customHeight="1" s="28">
      <c r="A729" s="29" t="n">
        <v>1778261401</v>
      </c>
      <c r="B729" s="29" t="inlineStr">
        <is>
          <t>XAUUSD</t>
        </is>
      </c>
      <c r="C729" s="29" t="inlineStr">
        <is>
          <t>M15</t>
        </is>
      </c>
      <c r="D729" s="29" t="n">
        <v>4720.74</v>
      </c>
      <c r="E729" s="29" t="n">
        <v>4717.79398</v>
      </c>
      <c r="F729" s="29" t="n">
        <v>4695.2428</v>
      </c>
      <c r="G729" s="29" t="n">
        <v>4518.59282</v>
      </c>
      <c r="H729" s="29" t="n">
        <v>4596.05595</v>
      </c>
      <c r="I729" s="29" t="n">
        <v>4755.40355</v>
      </c>
      <c r="J729" s="29" t="n">
        <v>4792.76972</v>
      </c>
      <c r="K729" s="29" t="n">
        <v>4769.97694</v>
      </c>
      <c r="L729" s="29" t="n">
        <v>4716.33597</v>
      </c>
      <c r="M729" s="29" t="n">
        <v>4718.85043</v>
      </c>
      <c r="N729" s="29" t="n">
        <v>4531.36057</v>
      </c>
      <c r="O729" s="29" t="n">
        <v>4556.93783</v>
      </c>
      <c r="Q729" s="29" t="n">
        <v>4695.74239</v>
      </c>
      <c r="R729" s="29" t="n">
        <v>4743.76006</v>
      </c>
      <c r="S729" s="29" t="n">
        <v>4719.57644</v>
      </c>
      <c r="V729" s="29" t="n">
        <v>4663.0972</v>
      </c>
      <c r="AB729" s="29" t="n">
        <v>4722.28771</v>
      </c>
      <c r="AC729" s="29" t="n">
        <v>4720.47493</v>
      </c>
      <c r="AD729" s="29" t="n">
        <v>0</v>
      </c>
    </row>
    <row r="730" ht="14.25" customHeight="1" s="28">
      <c r="A730" s="29" t="n">
        <v>1778262301</v>
      </c>
      <c r="B730" s="29" t="inlineStr">
        <is>
          <t>XAUUSD</t>
        </is>
      </c>
      <c r="C730" s="29" t="inlineStr">
        <is>
          <t>M15</t>
        </is>
      </c>
      <c r="D730" s="29" t="n">
        <v>4720.99</v>
      </c>
      <c r="E730" s="29" t="n">
        <v>4717.79398</v>
      </c>
      <c r="F730" s="29" t="n">
        <v>4695.2428</v>
      </c>
      <c r="G730" s="29" t="n">
        <v>4518.59282</v>
      </c>
      <c r="H730" s="29" t="n">
        <v>4596.05595</v>
      </c>
      <c r="I730" s="29" t="n">
        <v>4755.40355</v>
      </c>
      <c r="J730" s="29" t="n">
        <v>4792.76972</v>
      </c>
      <c r="K730" s="29" t="n">
        <v>4769.97694</v>
      </c>
      <c r="L730" s="29" t="n">
        <v>4716.33597</v>
      </c>
      <c r="M730" s="29" t="n">
        <v>4718.85043</v>
      </c>
      <c r="N730" s="29" t="n">
        <v>4531.36057</v>
      </c>
      <c r="O730" s="29" t="n">
        <v>4556.93783</v>
      </c>
      <c r="Q730" s="29" t="n">
        <v>4695.94484</v>
      </c>
      <c r="R730" s="29" t="n">
        <v>4743.9625</v>
      </c>
      <c r="S730" s="29" t="n">
        <v>4719.77889</v>
      </c>
      <c r="V730" s="29" t="n">
        <v>4663.29965</v>
      </c>
      <c r="AB730" s="29" t="n">
        <v>4723.08185</v>
      </c>
      <c r="AC730" s="29" t="n">
        <v>4721.77839</v>
      </c>
      <c r="AD730" s="29" t="n">
        <v>0</v>
      </c>
    </row>
    <row r="731" ht="14.25" customHeight="1" s="28">
      <c r="A731" s="29" t="n">
        <v>1778263201</v>
      </c>
      <c r="B731" s="29" t="inlineStr">
        <is>
          <t>XAUUSD</t>
        </is>
      </c>
      <c r="C731" s="29" t="inlineStr">
        <is>
          <t>M15</t>
        </is>
      </c>
      <c r="D731" s="29" t="n">
        <v>4727.48</v>
      </c>
      <c r="E731" s="29" t="n">
        <v>4717.79398</v>
      </c>
      <c r="F731" s="29" t="n">
        <v>4695.2428</v>
      </c>
      <c r="G731" s="29" t="n">
        <v>4518.59282</v>
      </c>
      <c r="H731" s="29" t="n">
        <v>4596.05595</v>
      </c>
      <c r="I731" s="29" t="n">
        <v>4755.40355</v>
      </c>
      <c r="J731" s="29" t="n">
        <v>4792.76972</v>
      </c>
      <c r="K731" s="29" t="n">
        <v>4769.97694</v>
      </c>
      <c r="L731" s="29" t="n">
        <v>4716.33597</v>
      </c>
      <c r="M731" s="29" t="n">
        <v>4718.85043</v>
      </c>
      <c r="N731" s="29" t="n">
        <v>4531.36057</v>
      </c>
      <c r="O731" s="29" t="n">
        <v>4556.93783</v>
      </c>
      <c r="Q731" s="29" t="n">
        <v>4696.14728</v>
      </c>
      <c r="R731" s="29" t="n">
        <v>4744.16495</v>
      </c>
      <c r="S731" s="29" t="n">
        <v>4719.98134</v>
      </c>
      <c r="V731" s="29" t="n">
        <v>4663.50209</v>
      </c>
      <c r="AB731" s="29" t="n">
        <v>4723.53611</v>
      </c>
      <c r="AC731" s="29" t="n">
        <v>4722.65725</v>
      </c>
      <c r="AD731" s="29" t="n">
        <v>0</v>
      </c>
    </row>
    <row r="732" ht="14.25" customHeight="1" s="28">
      <c r="A732" s="29" t="n">
        <v>1778264101</v>
      </c>
      <c r="B732" s="29" t="inlineStr">
        <is>
          <t>XAUUSD</t>
        </is>
      </c>
      <c r="C732" s="29" t="inlineStr">
        <is>
          <t>M15</t>
        </is>
      </c>
      <c r="D732" s="29" t="n">
        <v>4725.66</v>
      </c>
      <c r="E732" s="29" t="n">
        <v>4717.79398</v>
      </c>
      <c r="F732" s="29" t="n">
        <v>4695.2428</v>
      </c>
      <c r="G732" s="29" t="n">
        <v>4518.59282</v>
      </c>
      <c r="H732" s="29" t="n">
        <v>4596.05595</v>
      </c>
      <c r="I732" s="29" t="n">
        <v>4755.40355</v>
      </c>
      <c r="J732" s="29" t="n">
        <v>4792.76972</v>
      </c>
      <c r="K732" s="29" t="n">
        <v>4769.97694</v>
      </c>
      <c r="L732" s="29" t="n">
        <v>4716.33597</v>
      </c>
      <c r="M732" s="29" t="n">
        <v>4718.85043</v>
      </c>
      <c r="N732" s="29" t="n">
        <v>4531.36057</v>
      </c>
      <c r="O732" s="29" t="n">
        <v>4556.93783</v>
      </c>
      <c r="Q732" s="29" t="n">
        <v>4696.34973</v>
      </c>
      <c r="R732" s="29" t="n">
        <v>4744.36739</v>
      </c>
      <c r="S732" s="29" t="n">
        <v>4720.18378</v>
      </c>
      <c r="V732" s="29" t="n">
        <v>4663.70454</v>
      </c>
      <c r="AB732" s="29" t="n">
        <v>4723.64417</v>
      </c>
      <c r="AC732" s="29" t="n">
        <v>4723.15071</v>
      </c>
      <c r="AD732" s="29" t="n">
        <v>0</v>
      </c>
    </row>
    <row r="733" ht="14.25" customHeight="1" s="28">
      <c r="A733" s="29" t="n">
        <v>1778265001</v>
      </c>
      <c r="B733" s="29" t="inlineStr">
        <is>
          <t>XAUUSD</t>
        </is>
      </c>
      <c r="C733" s="29" t="inlineStr">
        <is>
          <t>M15</t>
        </is>
      </c>
      <c r="D733" s="29" t="n">
        <v>4724.59</v>
      </c>
      <c r="E733" s="29" t="n">
        <v>4717.79398</v>
      </c>
      <c r="F733" s="29" t="n">
        <v>4695.2428</v>
      </c>
      <c r="G733" s="29" t="n">
        <v>4518.59282</v>
      </c>
      <c r="H733" s="29" t="n">
        <v>4596.05595</v>
      </c>
      <c r="I733" s="29" t="n">
        <v>4755.40355</v>
      </c>
      <c r="J733" s="29" t="n">
        <v>4792.76972</v>
      </c>
      <c r="K733" s="29" t="n">
        <v>4769.97694</v>
      </c>
      <c r="L733" s="29" t="n">
        <v>4716.33597</v>
      </c>
      <c r="M733" s="29" t="n">
        <v>4718.85043</v>
      </c>
      <c r="N733" s="29" t="n">
        <v>4531.36057</v>
      </c>
      <c r="O733" s="29" t="n">
        <v>4556.93783</v>
      </c>
      <c r="Q733" s="29" t="n">
        <v>4696.55217</v>
      </c>
      <c r="R733" s="29" t="n">
        <v>4744.56984</v>
      </c>
      <c r="S733" s="29" t="n">
        <v>4720.38623</v>
      </c>
      <c r="V733" s="29" t="n">
        <v>4663.90698</v>
      </c>
      <c r="AB733" s="29" t="n">
        <v>4723.65644</v>
      </c>
      <c r="AC733" s="29" t="n">
        <v>4723.40357</v>
      </c>
      <c r="AD733" s="29" t="n">
        <v>0</v>
      </c>
    </row>
    <row r="734" ht="14.25" customHeight="1" s="28">
      <c r="A734" s="29" t="n">
        <v>1778265901</v>
      </c>
      <c r="B734" s="29" t="inlineStr">
        <is>
          <t>XAUUSD</t>
        </is>
      </c>
      <c r="C734" s="29" t="inlineStr">
        <is>
          <t>M15</t>
        </is>
      </c>
      <c r="D734" s="29" t="n">
        <v>4721.83</v>
      </c>
      <c r="E734" s="29" t="n">
        <v>4717.79398</v>
      </c>
      <c r="F734" s="29" t="n">
        <v>4695.2428</v>
      </c>
      <c r="G734" s="29" t="n">
        <v>4518.59282</v>
      </c>
      <c r="H734" s="29" t="n">
        <v>4596.05595</v>
      </c>
      <c r="I734" s="29" t="n">
        <v>4755.40355</v>
      </c>
      <c r="J734" s="29" t="n">
        <v>4792.76972</v>
      </c>
      <c r="K734" s="29" t="n">
        <v>4769.97694</v>
      </c>
      <c r="L734" s="29" t="n">
        <v>4716.33597</v>
      </c>
      <c r="M734" s="29" t="n">
        <v>4718.85043</v>
      </c>
      <c r="N734" s="29" t="n">
        <v>4531.36057</v>
      </c>
      <c r="O734" s="29" t="n">
        <v>4556.93783</v>
      </c>
      <c r="Q734" s="29" t="n">
        <v>4696.75462</v>
      </c>
      <c r="R734" s="29" t="n">
        <v>4744.77228</v>
      </c>
      <c r="S734" s="29" t="n">
        <v>4720.58867</v>
      </c>
      <c r="V734" s="29" t="n">
        <v>4664.10943</v>
      </c>
      <c r="AB734" s="29" t="n">
        <v>4723.68437</v>
      </c>
      <c r="AC734" s="29" t="n">
        <v>4723.54397</v>
      </c>
      <c r="AD734" s="29" t="n">
        <v>0</v>
      </c>
    </row>
    <row r="735" ht="14.25" customHeight="1" s="28">
      <c r="A735" s="29" t="n">
        <v>1778266801</v>
      </c>
      <c r="B735" s="29" t="inlineStr">
        <is>
          <t>XAUUSD</t>
        </is>
      </c>
      <c r="C735" s="29" t="inlineStr">
        <is>
          <t>M15</t>
        </is>
      </c>
      <c r="D735" s="29" t="n">
        <v>4723.57</v>
      </c>
      <c r="E735" s="29" t="n">
        <v>4717.79398</v>
      </c>
      <c r="F735" s="29" t="n">
        <v>4695.2428</v>
      </c>
      <c r="G735" s="29" t="n">
        <v>4518.59282</v>
      </c>
      <c r="H735" s="29" t="n">
        <v>4596.05595</v>
      </c>
      <c r="I735" s="29" t="n">
        <v>4755.40355</v>
      </c>
      <c r="J735" s="29" t="n">
        <v>4792.76972</v>
      </c>
      <c r="K735" s="29" t="n">
        <v>4769.97694</v>
      </c>
      <c r="L735" s="29" t="n">
        <v>4716.33597</v>
      </c>
      <c r="M735" s="29" t="n">
        <v>4718.85043</v>
      </c>
      <c r="N735" s="29" t="n">
        <v>4531.36057</v>
      </c>
      <c r="O735" s="29" t="n">
        <v>4556.93783</v>
      </c>
      <c r="Q735" s="29" t="n">
        <v>4696.95707</v>
      </c>
      <c r="R735" s="29" t="n">
        <v>4744.97473</v>
      </c>
      <c r="S735" s="29" t="n">
        <v>4720.79112</v>
      </c>
      <c r="V735" s="29" t="n">
        <v>4664.31187</v>
      </c>
      <c r="AB735" s="29" t="n">
        <v>4723.8076</v>
      </c>
      <c r="AC735" s="29" t="n">
        <v>4723.67579</v>
      </c>
      <c r="AD735" s="29" t="n">
        <v>0</v>
      </c>
    </row>
    <row r="736" ht="14.25" customHeight="1" s="28">
      <c r="A736" s="29" t="n">
        <v>1778267701</v>
      </c>
      <c r="B736" s="29" t="inlineStr">
        <is>
          <t>XAUUSD</t>
        </is>
      </c>
      <c r="C736" s="29" t="inlineStr">
        <is>
          <t>M15</t>
        </is>
      </c>
      <c r="D736" s="29" t="n">
        <v>4723.71</v>
      </c>
      <c r="E736" s="29" t="n">
        <v>4717.79398</v>
      </c>
      <c r="F736" s="29" t="n">
        <v>4695.2428</v>
      </c>
      <c r="G736" s="29" t="n">
        <v>4518.59282</v>
      </c>
      <c r="H736" s="29" t="n">
        <v>4596.05595</v>
      </c>
      <c r="I736" s="29" t="n">
        <v>4755.40355</v>
      </c>
      <c r="J736" s="29" t="n">
        <v>4792.76972</v>
      </c>
      <c r="K736" s="29" t="n">
        <v>4769.97694</v>
      </c>
      <c r="L736" s="29" t="n">
        <v>4716.33597</v>
      </c>
      <c r="M736" s="29" t="n">
        <v>4718.85043</v>
      </c>
      <c r="N736" s="29" t="n">
        <v>4531.36057</v>
      </c>
      <c r="O736" s="29" t="n">
        <v>4556.93783</v>
      </c>
      <c r="Q736" s="29" t="n">
        <v>4697.15951</v>
      </c>
      <c r="R736" s="29" t="n">
        <v>4745.17718</v>
      </c>
      <c r="S736" s="29" t="n">
        <v>4720.99356</v>
      </c>
      <c r="V736" s="29" t="n">
        <v>4664.51432</v>
      </c>
      <c r="AB736" s="29" t="n">
        <v>4723.81813</v>
      </c>
      <c r="AC736" s="29" t="n">
        <v>4723.74696</v>
      </c>
      <c r="AD736" s="29" t="n">
        <v>0</v>
      </c>
    </row>
    <row r="737" ht="14.25" customHeight="1" s="28">
      <c r="A737" s="29" t="n">
        <v>1778268601</v>
      </c>
      <c r="B737" s="29" t="inlineStr">
        <is>
          <t>XAUUSD</t>
        </is>
      </c>
      <c r="C737" s="29" t="inlineStr">
        <is>
          <t>M15</t>
        </is>
      </c>
      <c r="D737" s="29" t="n">
        <v>4725.3</v>
      </c>
      <c r="E737" s="29" t="n">
        <v>4717.79398</v>
      </c>
      <c r="F737" s="29" t="n">
        <v>4695.2428</v>
      </c>
      <c r="G737" s="29" t="n">
        <v>4518.59282</v>
      </c>
      <c r="H737" s="29" t="n">
        <v>4596.05595</v>
      </c>
      <c r="I737" s="29" t="n">
        <v>4755.40355</v>
      </c>
      <c r="J737" s="29" t="n">
        <v>4792.76972</v>
      </c>
      <c r="K737" s="29" t="n">
        <v>4769.97694</v>
      </c>
      <c r="L737" s="29" t="n">
        <v>4716.33597</v>
      </c>
      <c r="M737" s="29" t="n">
        <v>4718.85043</v>
      </c>
      <c r="N737" s="29" t="n">
        <v>4531.36057</v>
      </c>
      <c r="O737" s="29" t="n">
        <v>4556.93783</v>
      </c>
      <c r="Q737" s="29" t="n">
        <v>4697.36196</v>
      </c>
      <c r="R737" s="29" t="n">
        <v>4745.37962</v>
      </c>
      <c r="S737" s="29" t="n">
        <v>4721.19601</v>
      </c>
      <c r="V737" s="29" t="n">
        <v>4664.71677</v>
      </c>
      <c r="AB737" s="29" t="n">
        <v>4723.51311</v>
      </c>
      <c r="AC737" s="29" t="n">
        <v>4723.63003</v>
      </c>
      <c r="AD737" s="29" t="n">
        <v>1</v>
      </c>
    </row>
    <row r="738" ht="14.25" customHeight="1" s="28">
      <c r="A738" s="29" t="n">
        <v>1778269501</v>
      </c>
      <c r="B738" s="29" t="inlineStr">
        <is>
          <t>XAUUSD</t>
        </is>
      </c>
      <c r="C738" s="29" t="inlineStr">
        <is>
          <t>M15</t>
        </is>
      </c>
      <c r="D738" s="29" t="n">
        <v>4724.02</v>
      </c>
      <c r="E738" s="29" t="n">
        <v>4717.79398</v>
      </c>
      <c r="F738" s="29" t="n">
        <v>4695.2428</v>
      </c>
      <c r="G738" s="29" t="n">
        <v>4518.59282</v>
      </c>
      <c r="H738" s="29" t="n">
        <v>4596.05595</v>
      </c>
      <c r="I738" s="29" t="n">
        <v>4755.40355</v>
      </c>
      <c r="J738" s="29" t="n">
        <v>4792.76972</v>
      </c>
      <c r="K738" s="29" t="n">
        <v>4769.97694</v>
      </c>
      <c r="L738" s="29" t="n">
        <v>4716.33597</v>
      </c>
      <c r="M738" s="29" t="n">
        <v>4718.85043</v>
      </c>
      <c r="N738" s="29" t="n">
        <v>4531.36057</v>
      </c>
      <c r="O738" s="29" t="n">
        <v>4556.93783</v>
      </c>
      <c r="Q738" s="29" t="n">
        <v>4697.5644</v>
      </c>
      <c r="R738" s="29" t="n">
        <v>4745.58207</v>
      </c>
      <c r="S738" s="29" t="n">
        <v>4721.39846</v>
      </c>
      <c r="V738" s="29" t="n">
        <v>4664.91921</v>
      </c>
      <c r="AB738" s="29" t="n">
        <v>4722.67453</v>
      </c>
      <c r="AC738" s="29" t="n">
        <v>4723.15228</v>
      </c>
      <c r="AD738" s="29" t="n">
        <v>0</v>
      </c>
    </row>
    <row r="739" ht="14.25" customHeight="1" s="28">
      <c r="A739" s="29" t="n">
        <v>1778270401</v>
      </c>
      <c r="B739" s="29" t="inlineStr">
        <is>
          <t>XAUUSD</t>
        </is>
      </c>
      <c r="C739" s="29" t="inlineStr">
        <is>
          <t>M15</t>
        </is>
      </c>
      <c r="D739" s="29" t="n">
        <v>4718.85</v>
      </c>
      <c r="E739" s="29" t="n">
        <v>4717.79398</v>
      </c>
      <c r="F739" s="29" t="n">
        <v>4695.2428</v>
      </c>
      <c r="G739" s="29" t="n">
        <v>4518.59282</v>
      </c>
      <c r="H739" s="29" t="n">
        <v>4596.05595</v>
      </c>
      <c r="I739" s="29" t="n">
        <v>4755.40355</v>
      </c>
      <c r="J739" s="29" t="n">
        <v>4792.76972</v>
      </c>
      <c r="K739" s="29" t="n">
        <v>4769.97694</v>
      </c>
      <c r="L739" s="29" t="n">
        <v>4716.33597</v>
      </c>
      <c r="M739" s="29" t="n">
        <v>4718.85043</v>
      </c>
      <c r="N739" s="29" t="n">
        <v>4531.36057</v>
      </c>
      <c r="O739" s="29" t="n">
        <v>4556.93783</v>
      </c>
      <c r="Q739" s="29" t="n">
        <v>4697.76685</v>
      </c>
      <c r="R739" s="29" t="n">
        <v>4745.78451</v>
      </c>
      <c r="S739" s="29" t="n">
        <v>4721.6009</v>
      </c>
      <c r="V739" s="29" t="n">
        <v>4665.12166</v>
      </c>
      <c r="AB739" s="29" t="n">
        <v>4721.16032</v>
      </c>
      <c r="AC739" s="29" t="n">
        <v>4722.1563</v>
      </c>
      <c r="AD739" s="29" t="n">
        <v>0</v>
      </c>
    </row>
    <row r="740" ht="14.25" customHeight="1" s="28">
      <c r="A740" s="29" t="n">
        <v>1778271301</v>
      </c>
      <c r="B740" s="29" t="inlineStr">
        <is>
          <t>XAUUSD</t>
        </is>
      </c>
      <c r="C740" s="29" t="inlineStr">
        <is>
          <t>M15</t>
        </is>
      </c>
      <c r="D740" s="29" t="n">
        <v>4717.38</v>
      </c>
      <c r="E740" s="29" t="n">
        <v>4717.79398</v>
      </c>
      <c r="F740" s="29" t="n">
        <v>4695.2428</v>
      </c>
      <c r="G740" s="29" t="n">
        <v>4518.59282</v>
      </c>
      <c r="H740" s="29" t="n">
        <v>4596.05595</v>
      </c>
      <c r="I740" s="29" t="n">
        <v>4755.40355</v>
      </c>
      <c r="J740" s="29" t="n">
        <v>4792.76972</v>
      </c>
      <c r="K740" s="29" t="n">
        <v>4769.97694</v>
      </c>
      <c r="L740" s="29" t="n">
        <v>4716.33597</v>
      </c>
      <c r="M740" s="29" t="n">
        <v>4718.85043</v>
      </c>
      <c r="N740" s="29" t="n">
        <v>4531.36057</v>
      </c>
      <c r="O740" s="29" t="n">
        <v>4556.93783</v>
      </c>
      <c r="Q740" s="29" t="n">
        <v>4697.96929</v>
      </c>
      <c r="R740" s="29" t="n">
        <v>4745.98696</v>
      </c>
      <c r="S740" s="29" t="n">
        <v>4721.80335</v>
      </c>
      <c r="V740" s="29" t="n">
        <v>4665.3241</v>
      </c>
      <c r="AB740" s="29" t="n">
        <v>4719.2012</v>
      </c>
      <c r="AC740" s="29" t="n">
        <v>4720.67875</v>
      </c>
      <c r="AD740" s="29" t="n">
        <v>0</v>
      </c>
    </row>
    <row r="741" ht="14.25" customHeight="1" s="28">
      <c r="A741" s="29" t="n">
        <v>1778272201</v>
      </c>
      <c r="B741" s="29" t="inlineStr">
        <is>
          <t>XAUUSD</t>
        </is>
      </c>
      <c r="C741" s="29" t="inlineStr">
        <is>
          <t>M15</t>
        </is>
      </c>
      <c r="D741" s="29" t="n">
        <v>4716.4</v>
      </c>
      <c r="E741" s="29" t="n">
        <v>4717.79398</v>
      </c>
      <c r="F741" s="29" t="n">
        <v>4695.2428</v>
      </c>
      <c r="G741" s="29" t="n">
        <v>4518.59282</v>
      </c>
      <c r="H741" s="29" t="n">
        <v>4596.05595</v>
      </c>
      <c r="I741" s="29" t="n">
        <v>4755.40355</v>
      </c>
      <c r="J741" s="29" t="n">
        <v>4792.76972</v>
      </c>
      <c r="K741" s="29" t="n">
        <v>4769.97694</v>
      </c>
      <c r="L741" s="29" t="n">
        <v>4716.33597</v>
      </c>
      <c r="M741" s="29" t="n">
        <v>4718.85043</v>
      </c>
      <c r="N741" s="29" t="n">
        <v>4531.36057</v>
      </c>
      <c r="O741" s="29" t="n">
        <v>4556.93783</v>
      </c>
      <c r="Q741" s="29" t="n">
        <v>4698.17174</v>
      </c>
      <c r="R741" s="29" t="n">
        <v>4746.1894</v>
      </c>
      <c r="S741" s="29" t="n">
        <v>4722.00579</v>
      </c>
      <c r="V741" s="29" t="n">
        <v>4665.52655</v>
      </c>
      <c r="AB741" s="29" t="n">
        <v>4717.00689</v>
      </c>
      <c r="AC741" s="29" t="n">
        <v>4718.84282</v>
      </c>
      <c r="AD741" s="29" t="n">
        <v>0</v>
      </c>
    </row>
    <row r="742" ht="14.25" customHeight="1" s="28">
      <c r="A742" s="29" t="n">
        <v>1778273101</v>
      </c>
      <c r="B742" s="29" t="inlineStr">
        <is>
          <t>XAUUSD</t>
        </is>
      </c>
      <c r="C742" s="29" t="inlineStr">
        <is>
          <t>M15</t>
        </is>
      </c>
      <c r="D742" s="29" t="n">
        <v>4715.36</v>
      </c>
      <c r="E742" s="29" t="n">
        <v>4717.79398</v>
      </c>
      <c r="F742" s="29" t="n">
        <v>4695.2428</v>
      </c>
      <c r="G742" s="29" t="n">
        <v>4518.59282</v>
      </c>
      <c r="H742" s="29" t="n">
        <v>4596.05595</v>
      </c>
      <c r="I742" s="29" t="n">
        <v>4755.40355</v>
      </c>
      <c r="J742" s="29" t="n">
        <v>4792.76972</v>
      </c>
      <c r="K742" s="29" t="n">
        <v>4769.97694</v>
      </c>
      <c r="L742" s="29" t="n">
        <v>4716.33597</v>
      </c>
      <c r="M742" s="29" t="n">
        <v>4718.85043</v>
      </c>
      <c r="N742" s="29" t="n">
        <v>4531.36057</v>
      </c>
      <c r="O742" s="29" t="n">
        <v>4556.93783</v>
      </c>
      <c r="Q742" s="29" t="n">
        <v>4698.37419</v>
      </c>
      <c r="R742" s="29" t="n">
        <v>4746.39185</v>
      </c>
      <c r="S742" s="29" t="n">
        <v>4722.20824</v>
      </c>
      <c r="V742" s="29" t="n">
        <v>4665.72899</v>
      </c>
      <c r="AB742" s="29" t="n">
        <v>4715.02348</v>
      </c>
      <c r="AC742" s="29" t="n">
        <v>4716.93315</v>
      </c>
      <c r="AD742" s="29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29" min="1" max="1"/>
    <col width="20" customWidth="1" style="29" min="2" max="2"/>
    <col width="22" customWidth="1" style="29" min="3" max="5"/>
    <col width="20" customWidth="1" style="29" min="6" max="6"/>
    <col width="6" customWidth="1" style="29" min="7" max="8"/>
  </cols>
  <sheetData>
    <row r="1" ht="25.5" customHeight="1" s="28">
      <c r="A1" s="30" t="inlineStr">
        <is>
          <t>SHAPIRO-WILK NORMALITY TEST  |  MODEL A  |  n = 65 Crossing Events</t>
        </is>
      </c>
    </row>
    <row r="2" ht="15.75" customHeight="1" s="28">
      <c r="A2" s="31" t="inlineStr">
        <is>
          <t>H₀:</t>
        </is>
      </c>
      <c r="B2" s="32" t="inlineStr">
        <is>
          <t>Residuals are normally distributed   |   H₁: Residuals are NOT normally distributed</t>
        </is>
      </c>
    </row>
    <row r="3" ht="15.75" customHeight="1" s="28">
      <c r="A3" s="31" t="inlineStr">
        <is>
          <t>PURPOSE:</t>
        </is>
      </c>
      <c r="B3" s="32" t="inlineStr">
        <is>
          <t>Detects departures from normality using a weighted correlation of ordered residuals against expected normal order statistics.  Most powerful test for n &lt; 2,000.</t>
        </is>
      </c>
    </row>
    <row r="4" ht="15.75" customHeight="1" s="28">
      <c r="A4" s="31" t="inlineStr">
        <is>
          <t>FORMULA:</t>
        </is>
      </c>
      <c r="B4" s="32" t="inlineStr">
        <is>
          <t>W  =  [ Σᵢ aᵢ · (x_(n+1−i) − x_(i)) ]²  /  Σ(xᵢ − x̄)²</t>
        </is>
      </c>
    </row>
    <row r="5" ht="15.75" customHeight="1" s="28">
      <c r="A5" s="31" t="n"/>
      <c r="B5" s="32" t="inlineStr">
        <is>
          <t>x_(1) ≤ x_(2) ≤ … ≤ x_(n)  are SORTED residuals  |  aᵢ = Shapiro-Wilk coefficients derived from expected order statistics of N(0,1)</t>
        </is>
      </c>
    </row>
    <row r="6" ht="15.75" customHeight="1" s="28">
      <c r="A6" s="31" t="inlineStr">
        <is>
          <t>REGRESSION:</t>
        </is>
      </c>
      <c r="B6" s="32" t="inlineStr">
        <is>
          <t>Main model:  close = β₀ + β₁·bar_index + ε   β₀ = 4540.2666  [blue = hardcoded input]   β₁ = 2.733967  [blue = hardcoded input]</t>
        </is>
      </c>
    </row>
    <row r="7" ht="15.75" customHeight="1" s="28">
      <c r="A7" s="31" t="inlineStr">
        <is>
          <t>DECISION:</t>
        </is>
      </c>
      <c r="B7" s="32" t="inlineStr">
        <is>
          <t>Reject H₀ if  p-value &lt; α = 0.05</t>
        </is>
      </c>
    </row>
    <row r="9" ht="18" customHeight="1" s="28">
      <c r="A9" s="33" t="inlineStr">
        <is>
          <t>STEP 1 — OLS Residuals  (eᵢ = closeᵢ − ŷᵢ,   ŷᵢ = 4540.2666 + 2.733967 · bar_idx)</t>
        </is>
      </c>
    </row>
    <row r="10" ht="31.5" customHeight="1" s="28">
      <c r="A10" s="34" t="inlineStr">
        <is>
          <t>i</t>
        </is>
      </c>
      <c r="B10" s="34" t="inlineStr">
        <is>
          <t>Bar Index</t>
        </is>
      </c>
      <c r="C10" s="34" t="inlineStr">
        <is>
          <t>Close Price</t>
        </is>
      </c>
      <c r="D10" s="34" t="inlineStr">
        <is>
          <t>OLS Fitted  ŷᵢ</t>
        </is>
      </c>
      <c r="E10" s="34" t="inlineStr">
        <is>
          <t>Residual  eᵢ</t>
        </is>
      </c>
      <c r="F10" s="34" t="n"/>
      <c r="G10" s="35" t="n"/>
      <c r="H10" s="36" t="n"/>
    </row>
    <row r="11" ht="15" customHeight="1" s="28">
      <c r="A11" s="37" t="n">
        <v>1</v>
      </c>
      <c r="B11" s="37" t="n">
        <v>0</v>
      </c>
      <c r="C11" s="38" t="n">
        <v>4595.7</v>
      </c>
      <c r="D11" s="38">
        <f>4540.266601+2.733967*B11</f>
        <v/>
      </c>
      <c r="E11" s="39">
        <f>C11-D11</f>
        <v/>
      </c>
      <c r="F11" s="37" t="n"/>
      <c r="G11" s="37" t="n"/>
      <c r="H11" s="37" t="n"/>
    </row>
    <row r="12" ht="15" customHeight="1" s="28">
      <c r="A12" s="40" t="n">
        <v>2</v>
      </c>
      <c r="B12" s="40" t="n">
        <v>1</v>
      </c>
      <c r="C12" s="41" t="n">
        <v>4590.84</v>
      </c>
      <c r="D12" s="41">
        <f>4540.266601+2.733967*B12</f>
        <v/>
      </c>
      <c r="E12" s="42">
        <f>C12-D12</f>
        <v/>
      </c>
      <c r="F12" s="40" t="n"/>
      <c r="G12" s="40" t="n"/>
      <c r="H12" s="40" t="n"/>
    </row>
    <row r="13" ht="15" customHeight="1" s="28">
      <c r="A13" s="37" t="n">
        <v>3</v>
      </c>
      <c r="B13" s="37" t="n">
        <v>2</v>
      </c>
      <c r="C13" s="38" t="n">
        <v>4603.88</v>
      </c>
      <c r="D13" s="38">
        <f>4540.266601+2.733967*B13</f>
        <v/>
      </c>
      <c r="E13" s="39">
        <f>C13-D13</f>
        <v/>
      </c>
      <c r="F13" s="37" t="n"/>
      <c r="G13" s="37" t="n"/>
      <c r="H13" s="37" t="n"/>
    </row>
    <row r="14" ht="15" customHeight="1" s="28">
      <c r="A14" s="40" t="n">
        <v>4</v>
      </c>
      <c r="B14" s="40" t="n">
        <v>3</v>
      </c>
      <c r="C14" s="41" t="n">
        <v>4600.87</v>
      </c>
      <c r="D14" s="41">
        <f>4540.266601+2.733967*B14</f>
        <v/>
      </c>
      <c r="E14" s="42">
        <f>C14-D14</f>
        <v/>
      </c>
      <c r="F14" s="40" t="n"/>
      <c r="G14" s="40" t="n"/>
      <c r="H14" s="40" t="n"/>
    </row>
    <row r="15" ht="15" customHeight="1" s="28">
      <c r="A15" s="37" t="n">
        <v>5</v>
      </c>
      <c r="B15" s="37" t="n">
        <v>4</v>
      </c>
      <c r="C15" s="38" t="n">
        <v>4601.15</v>
      </c>
      <c r="D15" s="38">
        <f>4540.266601+2.733967*B15</f>
        <v/>
      </c>
      <c r="E15" s="39">
        <f>C15-D15</f>
        <v/>
      </c>
      <c r="F15" s="37" t="n"/>
      <c r="G15" s="37" t="n"/>
      <c r="H15" s="37" t="n"/>
    </row>
    <row r="16" ht="15" customHeight="1" s="28">
      <c r="A16" s="40" t="n">
        <v>6</v>
      </c>
      <c r="B16" s="40" t="n">
        <v>5</v>
      </c>
      <c r="C16" s="41" t="n">
        <v>4571.78</v>
      </c>
      <c r="D16" s="41">
        <f>4540.266601+2.733967*B16</f>
        <v/>
      </c>
      <c r="E16" s="42">
        <f>C16-D16</f>
        <v/>
      </c>
      <c r="F16" s="40" t="n"/>
      <c r="G16" s="40" t="n"/>
      <c r="H16" s="40" t="n"/>
    </row>
    <row r="17" ht="15" customHeight="1" s="28">
      <c r="A17" s="37" t="n">
        <v>7</v>
      </c>
      <c r="B17" s="37" t="n">
        <v>6</v>
      </c>
      <c r="C17" s="38" t="n">
        <v>4561.87</v>
      </c>
      <c r="D17" s="38">
        <f>4540.266601+2.733967*B17</f>
        <v/>
      </c>
      <c r="E17" s="39">
        <f>C17-D17</f>
        <v/>
      </c>
      <c r="F17" s="37" t="n"/>
      <c r="G17" s="37" t="n"/>
      <c r="H17" s="37" t="n"/>
    </row>
    <row r="18" ht="15" customHeight="1" s="28">
      <c r="A18" s="40" t="n">
        <v>8</v>
      </c>
      <c r="B18" s="40" t="n">
        <v>7</v>
      </c>
      <c r="C18" s="41" t="n">
        <v>4538.69</v>
      </c>
      <c r="D18" s="41">
        <f>4540.266601+2.733967*B18</f>
        <v/>
      </c>
      <c r="E18" s="42">
        <f>C18-D18</f>
        <v/>
      </c>
      <c r="F18" s="40" t="n"/>
      <c r="G18" s="40" t="n"/>
      <c r="H18" s="40" t="n"/>
    </row>
    <row r="19" ht="15" customHeight="1" s="28">
      <c r="A19" s="37" t="n">
        <v>9</v>
      </c>
      <c r="B19" s="37" t="n">
        <v>8</v>
      </c>
      <c r="C19" s="38" t="n">
        <v>4545.36</v>
      </c>
      <c r="D19" s="38">
        <f>4540.266601+2.733967*B19</f>
        <v/>
      </c>
      <c r="E19" s="39">
        <f>C19-D19</f>
        <v/>
      </c>
      <c r="F19" s="37" t="n"/>
      <c r="G19" s="37" t="n"/>
      <c r="H19" s="37" t="n"/>
    </row>
    <row r="20" ht="15" customHeight="1" s="28">
      <c r="A20" s="40" t="n">
        <v>10</v>
      </c>
      <c r="B20" s="40" t="n">
        <v>9</v>
      </c>
      <c r="C20" s="41" t="n">
        <v>4538.19</v>
      </c>
      <c r="D20" s="41">
        <f>4540.266601+2.733967*B20</f>
        <v/>
      </c>
      <c r="E20" s="42">
        <f>C20-D20</f>
        <v/>
      </c>
      <c r="F20" s="40" t="n"/>
      <c r="G20" s="40" t="n"/>
      <c r="H20" s="40" t="n"/>
    </row>
    <row r="21" ht="15" customHeight="1" s="28">
      <c r="A21" s="37" t="n">
        <v>11</v>
      </c>
      <c r="B21" s="37" t="n">
        <v>10</v>
      </c>
      <c r="C21" s="38" t="n">
        <v>4573.13</v>
      </c>
      <c r="D21" s="38">
        <f>4540.266601+2.733967*B21</f>
        <v/>
      </c>
      <c r="E21" s="39">
        <f>C21-D21</f>
        <v/>
      </c>
      <c r="F21" s="37" t="n"/>
      <c r="G21" s="37" t="n"/>
      <c r="H21" s="37" t="n"/>
    </row>
    <row r="22" ht="15" customHeight="1" s="28">
      <c r="A22" s="40" t="n">
        <v>12</v>
      </c>
      <c r="B22" s="40" t="n">
        <v>11</v>
      </c>
      <c r="C22" s="41" t="n">
        <v>4553.22</v>
      </c>
      <c r="D22" s="41">
        <f>4540.266601+2.733967*B22</f>
        <v/>
      </c>
      <c r="E22" s="42">
        <f>C22-D22</f>
        <v/>
      </c>
      <c r="F22" s="40" t="n"/>
      <c r="G22" s="40" t="n"/>
      <c r="H22" s="40" t="n"/>
    </row>
    <row r="23" ht="15" customHeight="1" s="28">
      <c r="A23" s="37" t="n">
        <v>13</v>
      </c>
      <c r="B23" s="37" t="n">
        <v>12</v>
      </c>
      <c r="C23" s="38" t="n">
        <v>4629.82</v>
      </c>
      <c r="D23" s="38">
        <f>4540.266601+2.733967*B23</f>
        <v/>
      </c>
      <c r="E23" s="39">
        <f>C23-D23</f>
        <v/>
      </c>
      <c r="F23" s="37" t="n"/>
      <c r="G23" s="37" t="n"/>
      <c r="H23" s="37" t="n"/>
    </row>
    <row r="24" ht="15" customHeight="1" s="28">
      <c r="A24" s="40" t="n">
        <v>14</v>
      </c>
      <c r="B24" s="40" t="n">
        <v>13</v>
      </c>
      <c r="C24" s="41" t="n">
        <v>4615.95</v>
      </c>
      <c r="D24" s="41">
        <f>4540.266601+2.733967*B24</f>
        <v/>
      </c>
      <c r="E24" s="42">
        <f>C24-D24</f>
        <v/>
      </c>
      <c r="F24" s="40" t="n"/>
      <c r="G24" s="40" t="n"/>
      <c r="H24" s="40" t="n"/>
    </row>
    <row r="25" ht="15" customHeight="1" s="28">
      <c r="A25" s="37" t="n">
        <v>15</v>
      </c>
      <c r="B25" s="37" t="n">
        <v>14</v>
      </c>
      <c r="C25" s="38" t="n">
        <v>4624.33</v>
      </c>
      <c r="D25" s="38">
        <f>4540.266601+2.733967*B25</f>
        <v/>
      </c>
      <c r="E25" s="39">
        <f>C25-D25</f>
        <v/>
      </c>
      <c r="F25" s="37" t="n"/>
      <c r="G25" s="37" t="n"/>
      <c r="H25" s="37" t="n"/>
    </row>
    <row r="26" ht="15" customHeight="1" s="28">
      <c r="A26" s="40" t="n">
        <v>16</v>
      </c>
      <c r="B26" s="40" t="n">
        <v>15</v>
      </c>
      <c r="C26" s="41" t="n">
        <v>4616.72</v>
      </c>
      <c r="D26" s="41">
        <f>4540.266601+2.733967*B26</f>
        <v/>
      </c>
      <c r="E26" s="42">
        <f>C26-D26</f>
        <v/>
      </c>
      <c r="F26" s="40" t="n"/>
      <c r="G26" s="40" t="n"/>
      <c r="H26" s="40" t="n"/>
    </row>
    <row r="27" ht="15" customHeight="1" s="28">
      <c r="A27" s="37" t="n">
        <v>17</v>
      </c>
      <c r="B27" s="37" t="n">
        <v>16</v>
      </c>
      <c r="C27" s="38" t="n">
        <v>4630.75</v>
      </c>
      <c r="D27" s="38">
        <f>4540.266601+2.733967*B27</f>
        <v/>
      </c>
      <c r="E27" s="39">
        <f>C27-D27</f>
        <v/>
      </c>
      <c r="F27" s="37" t="n"/>
      <c r="G27" s="37" t="n"/>
      <c r="H27" s="37" t="n"/>
    </row>
    <row r="28" ht="15" customHeight="1" s="28">
      <c r="A28" s="40" t="n">
        <v>18</v>
      </c>
      <c r="B28" s="40" t="n">
        <v>17</v>
      </c>
      <c r="C28" s="41" t="n">
        <v>4620.2</v>
      </c>
      <c r="D28" s="41">
        <f>4540.266601+2.733967*B28</f>
        <v/>
      </c>
      <c r="E28" s="42">
        <f>C28-D28</f>
        <v/>
      </c>
      <c r="F28" s="40" t="n"/>
      <c r="G28" s="40" t="n"/>
      <c r="H28" s="40" t="n"/>
    </row>
    <row r="29" ht="15" customHeight="1" s="28">
      <c r="A29" s="37" t="n">
        <v>19</v>
      </c>
      <c r="B29" s="37" t="n">
        <v>18</v>
      </c>
      <c r="C29" s="38" t="n">
        <v>4626.13</v>
      </c>
      <c r="D29" s="38">
        <f>4540.266601+2.733967*B29</f>
        <v/>
      </c>
      <c r="E29" s="39">
        <f>C29-D29</f>
        <v/>
      </c>
      <c r="F29" s="37" t="n"/>
      <c r="G29" s="37" t="n"/>
      <c r="H29" s="37" t="n"/>
    </row>
    <row r="30" ht="15" customHeight="1" s="28">
      <c r="A30" s="40" t="n">
        <v>20</v>
      </c>
      <c r="B30" s="40" t="n">
        <v>19</v>
      </c>
      <c r="C30" s="41" t="n">
        <v>4566.78</v>
      </c>
      <c r="D30" s="41">
        <f>4540.266601+2.733967*B30</f>
        <v/>
      </c>
      <c r="E30" s="42">
        <f>C30-D30</f>
        <v/>
      </c>
      <c r="F30" s="40" t="n"/>
      <c r="G30" s="40" t="n"/>
      <c r="H30" s="40" t="n"/>
    </row>
    <row r="31" ht="15" customHeight="1" s="28">
      <c r="A31" s="37" t="n">
        <v>21</v>
      </c>
      <c r="B31" s="37" t="n">
        <v>20</v>
      </c>
      <c r="C31" s="38" t="n">
        <v>4642.75</v>
      </c>
      <c r="D31" s="38">
        <f>4540.266601+2.733967*B31</f>
        <v/>
      </c>
      <c r="E31" s="39">
        <f>C31-D31</f>
        <v/>
      </c>
      <c r="F31" s="37" t="n"/>
      <c r="G31" s="37" t="n"/>
      <c r="H31" s="37" t="n"/>
    </row>
    <row r="32" ht="15" customHeight="1" s="28">
      <c r="A32" s="40" t="n">
        <v>22</v>
      </c>
      <c r="B32" s="40" t="n">
        <v>21</v>
      </c>
      <c r="C32" s="41" t="n">
        <v>4613.77</v>
      </c>
      <c r="D32" s="41">
        <f>4540.266601+2.733967*B32</f>
        <v/>
      </c>
      <c r="E32" s="42">
        <f>C32-D32</f>
        <v/>
      </c>
      <c r="F32" s="40" t="n"/>
      <c r="G32" s="40" t="n"/>
      <c r="H32" s="40" t="n"/>
    </row>
    <row r="33" ht="15" customHeight="1" s="28">
      <c r="A33" s="37" t="n">
        <v>23</v>
      </c>
      <c r="B33" s="37" t="n">
        <v>22</v>
      </c>
      <c r="C33" s="38" t="n">
        <v>4615.08</v>
      </c>
      <c r="D33" s="38">
        <f>4540.266601+2.733967*B33</f>
        <v/>
      </c>
      <c r="E33" s="39">
        <f>C33-D33</f>
        <v/>
      </c>
      <c r="F33" s="37" t="n"/>
      <c r="G33" s="37" t="n"/>
      <c r="H33" s="37" t="n"/>
    </row>
    <row r="34" ht="15" customHeight="1" s="28">
      <c r="A34" s="40" t="n">
        <v>24</v>
      </c>
      <c r="B34" s="40" t="n">
        <v>23</v>
      </c>
      <c r="C34" s="41" t="n">
        <v>4593.09</v>
      </c>
      <c r="D34" s="41">
        <f>4540.266601+2.733967*B34</f>
        <v/>
      </c>
      <c r="E34" s="42">
        <f>C34-D34</f>
        <v/>
      </c>
      <c r="F34" s="40" t="n"/>
      <c r="G34" s="40" t="n"/>
      <c r="H34" s="40" t="n"/>
    </row>
    <row r="35" ht="15" customHeight="1" s="28">
      <c r="A35" s="37" t="n">
        <v>25</v>
      </c>
      <c r="B35" s="37" t="n">
        <v>24</v>
      </c>
      <c r="C35" s="38" t="n">
        <v>4608.12</v>
      </c>
      <c r="D35" s="38">
        <f>4540.266601+2.733967*B35</f>
        <v/>
      </c>
      <c r="E35" s="39">
        <f>C35-D35</f>
        <v/>
      </c>
      <c r="F35" s="37" t="n"/>
      <c r="G35" s="37" t="n"/>
      <c r="H35" s="37" t="n"/>
    </row>
    <row r="36" ht="15" customHeight="1" s="28">
      <c r="A36" s="40" t="n">
        <v>26</v>
      </c>
      <c r="B36" s="40" t="n">
        <v>25</v>
      </c>
      <c r="C36" s="41" t="n">
        <v>4562.26</v>
      </c>
      <c r="D36" s="41">
        <f>4540.266601+2.733967*B36</f>
        <v/>
      </c>
      <c r="E36" s="42">
        <f>C36-D36</f>
        <v/>
      </c>
      <c r="F36" s="40" t="n"/>
      <c r="G36" s="40" t="n"/>
      <c r="H36" s="40" t="n"/>
    </row>
    <row r="37" ht="15" customHeight="1" s="28">
      <c r="A37" s="37" t="n">
        <v>27</v>
      </c>
      <c r="B37" s="37" t="n">
        <v>26</v>
      </c>
      <c r="C37" s="38" t="n">
        <v>4571.2</v>
      </c>
      <c r="D37" s="38">
        <f>4540.266601+2.733967*B37</f>
        <v/>
      </c>
      <c r="E37" s="39">
        <f>C37-D37</f>
        <v/>
      </c>
      <c r="F37" s="37" t="n"/>
      <c r="G37" s="37" t="n"/>
      <c r="H37" s="37" t="n"/>
    </row>
    <row r="38" ht="15" customHeight="1" s="28">
      <c r="A38" s="40" t="n">
        <v>28</v>
      </c>
      <c r="B38" s="40" t="n">
        <v>27</v>
      </c>
      <c r="C38" s="41" t="n">
        <v>4522.39</v>
      </c>
      <c r="D38" s="41">
        <f>4540.266601+2.733967*B38</f>
        <v/>
      </c>
      <c r="E38" s="42">
        <f>C38-D38</f>
        <v/>
      </c>
      <c r="F38" s="40" t="n"/>
      <c r="G38" s="40" t="n"/>
      <c r="H38" s="40" t="n"/>
    </row>
    <row r="39" ht="15" customHeight="1" s="28">
      <c r="A39" s="37" t="n">
        <v>29</v>
      </c>
      <c r="B39" s="37" t="n">
        <v>28</v>
      </c>
      <c r="C39" s="38" t="n">
        <v>4511.95</v>
      </c>
      <c r="D39" s="38">
        <f>4540.266601+2.733967*B39</f>
        <v/>
      </c>
      <c r="E39" s="39">
        <f>C39-D39</f>
        <v/>
      </c>
      <c r="F39" s="37" t="n"/>
      <c r="G39" s="37" t="n"/>
      <c r="H39" s="37" t="n"/>
    </row>
    <row r="40" ht="15" customHeight="1" s="28">
      <c r="A40" s="40" t="n">
        <v>30</v>
      </c>
      <c r="B40" s="40" t="n">
        <v>29</v>
      </c>
      <c r="C40" s="41" t="n">
        <v>4517.46</v>
      </c>
      <c r="D40" s="41">
        <f>4540.266601+2.733967*B40</f>
        <v/>
      </c>
      <c r="E40" s="42">
        <f>C40-D40</f>
        <v/>
      </c>
      <c r="F40" s="40" t="n"/>
      <c r="G40" s="40" t="n"/>
      <c r="H40" s="40" t="n"/>
    </row>
    <row r="41" ht="15" customHeight="1" s="28">
      <c r="A41" s="37" t="n">
        <v>31</v>
      </c>
      <c r="B41" s="37" t="n">
        <v>30</v>
      </c>
      <c r="C41" s="38" t="n">
        <v>4519.02</v>
      </c>
      <c r="D41" s="38">
        <f>4540.266601+2.733967*B41</f>
        <v/>
      </c>
      <c r="E41" s="39">
        <f>C41-D41</f>
        <v/>
      </c>
      <c r="F41" s="37" t="n"/>
      <c r="G41" s="37" t="n"/>
      <c r="H41" s="37" t="n"/>
    </row>
    <row r="42" ht="15" customHeight="1" s="28">
      <c r="A42" s="40" t="n">
        <v>32</v>
      </c>
      <c r="B42" s="40" t="n">
        <v>31</v>
      </c>
      <c r="C42" s="41" t="n">
        <v>4518.52</v>
      </c>
      <c r="D42" s="41">
        <f>4540.266601+2.733967*B42</f>
        <v/>
      </c>
      <c r="E42" s="42">
        <f>C42-D42</f>
        <v/>
      </c>
      <c r="F42" s="40" t="n"/>
      <c r="G42" s="40" t="n"/>
      <c r="H42" s="40" t="n"/>
    </row>
    <row r="43" ht="15" customHeight="1" s="28">
      <c r="A43" s="37" t="n">
        <v>33</v>
      </c>
      <c r="B43" s="37" t="n">
        <v>32</v>
      </c>
      <c r="C43" s="38" t="n">
        <v>4539.17</v>
      </c>
      <c r="D43" s="38">
        <f>4540.266601+2.733967*B43</f>
        <v/>
      </c>
      <c r="E43" s="39">
        <f>C43-D43</f>
        <v/>
      </c>
      <c r="F43" s="37" t="n"/>
      <c r="G43" s="37" t="n"/>
      <c r="H43" s="37" t="n"/>
    </row>
    <row r="44" ht="15" customHeight="1" s="28">
      <c r="A44" s="40" t="n">
        <v>34</v>
      </c>
      <c r="B44" s="40" t="n">
        <v>33</v>
      </c>
      <c r="C44" s="41" t="n">
        <v>4531.71</v>
      </c>
      <c r="D44" s="41">
        <f>4540.266601+2.733967*B44</f>
        <v/>
      </c>
      <c r="E44" s="42">
        <f>C44-D44</f>
        <v/>
      </c>
      <c r="F44" s="40" t="n"/>
      <c r="G44" s="40" t="n"/>
      <c r="H44" s="40" t="n"/>
    </row>
    <row r="45" ht="15" customHeight="1" s="28">
      <c r="A45" s="37" t="n">
        <v>35</v>
      </c>
      <c r="B45" s="37" t="n">
        <v>34</v>
      </c>
      <c r="C45" s="38" t="n">
        <v>4555.5</v>
      </c>
      <c r="D45" s="38">
        <f>4540.266601+2.733967*B45</f>
        <v/>
      </c>
      <c r="E45" s="39">
        <f>C45-D45</f>
        <v/>
      </c>
      <c r="F45" s="37" t="n"/>
      <c r="G45" s="37" t="n"/>
      <c r="H45" s="37" t="n"/>
    </row>
    <row r="46" ht="15" customHeight="1" s="28">
      <c r="A46" s="40" t="n">
        <v>36</v>
      </c>
      <c r="B46" s="40" t="n">
        <v>35</v>
      </c>
      <c r="C46" s="41" t="n">
        <v>4543.73</v>
      </c>
      <c r="D46" s="41">
        <f>4540.266601+2.733967*B46</f>
        <v/>
      </c>
      <c r="E46" s="42">
        <f>C46-D46</f>
        <v/>
      </c>
      <c r="F46" s="40" t="n"/>
      <c r="G46" s="40" t="n"/>
      <c r="H46" s="40" t="n"/>
    </row>
    <row r="47" ht="15" customHeight="1" s="28">
      <c r="A47" s="37" t="n">
        <v>37</v>
      </c>
      <c r="B47" s="37" t="n">
        <v>36</v>
      </c>
      <c r="C47" s="38" t="n">
        <v>4580.89</v>
      </c>
      <c r="D47" s="38">
        <f>4540.266601+2.733967*B47</f>
        <v/>
      </c>
      <c r="E47" s="39">
        <f>C47-D47</f>
        <v/>
      </c>
      <c r="F47" s="37" t="n"/>
      <c r="G47" s="37" t="n"/>
      <c r="H47" s="37" t="n"/>
    </row>
    <row r="48" ht="15" customHeight="1" s="28">
      <c r="A48" s="40" t="n">
        <v>38</v>
      </c>
      <c r="B48" s="40" t="n">
        <v>37</v>
      </c>
      <c r="C48" s="41" t="n">
        <v>4560.43</v>
      </c>
      <c r="D48" s="41">
        <f>4540.266601+2.733967*B48</f>
        <v/>
      </c>
      <c r="E48" s="42">
        <f>C48-D48</f>
        <v/>
      </c>
      <c r="F48" s="40" t="n"/>
      <c r="G48" s="40" t="n"/>
      <c r="H48" s="40" t="n"/>
    </row>
    <row r="49" ht="15" customHeight="1" s="28">
      <c r="A49" s="37" t="n">
        <v>39</v>
      </c>
      <c r="B49" s="37" t="n">
        <v>38</v>
      </c>
      <c r="C49" s="38" t="n">
        <v>4561.04</v>
      </c>
      <c r="D49" s="38">
        <f>4540.266601+2.733967*B49</f>
        <v/>
      </c>
      <c r="E49" s="39">
        <f>C49-D49</f>
        <v/>
      </c>
      <c r="F49" s="37" t="n"/>
      <c r="G49" s="37" t="n"/>
      <c r="H49" s="37" t="n"/>
    </row>
    <row r="50" ht="15" customHeight="1" s="28">
      <c r="A50" s="40" t="n">
        <v>40</v>
      </c>
      <c r="B50" s="40" t="n">
        <v>39</v>
      </c>
      <c r="C50" s="41" t="n">
        <v>4550.67</v>
      </c>
      <c r="D50" s="41">
        <f>4540.266601+2.733967*B50</f>
        <v/>
      </c>
      <c r="E50" s="42">
        <f>C50-D50</f>
        <v/>
      </c>
      <c r="F50" s="40" t="n"/>
      <c r="G50" s="40" t="n"/>
      <c r="H50" s="40" t="n"/>
    </row>
    <row r="51" ht="15" customHeight="1" s="28">
      <c r="A51" s="37" t="n">
        <v>41</v>
      </c>
      <c r="B51" s="37" t="n">
        <v>40</v>
      </c>
      <c r="C51" s="38" t="n">
        <v>4711.97</v>
      </c>
      <c r="D51" s="38">
        <f>4540.266601+2.733967*B51</f>
        <v/>
      </c>
      <c r="E51" s="39">
        <f>C51-D51</f>
        <v/>
      </c>
      <c r="F51" s="37" t="n"/>
      <c r="G51" s="37" t="n"/>
      <c r="H51" s="37" t="n"/>
    </row>
    <row r="52" ht="15" customHeight="1" s="28">
      <c r="A52" s="40" t="n">
        <v>42</v>
      </c>
      <c r="B52" s="40" t="n">
        <v>41</v>
      </c>
      <c r="C52" s="41" t="n">
        <v>4683.63</v>
      </c>
      <c r="D52" s="41">
        <f>4540.266601+2.733967*B52</f>
        <v/>
      </c>
      <c r="E52" s="42">
        <f>C52-D52</f>
        <v/>
      </c>
      <c r="F52" s="40" t="n"/>
      <c r="G52" s="40" t="n"/>
      <c r="H52" s="40" t="n"/>
    </row>
    <row r="53" ht="15" customHeight="1" s="28">
      <c r="A53" s="37" t="n">
        <v>43</v>
      </c>
      <c r="B53" s="37" t="n">
        <v>42</v>
      </c>
      <c r="C53" s="38" t="n">
        <v>4703.14</v>
      </c>
      <c r="D53" s="38">
        <f>4540.266601+2.733967*B53</f>
        <v/>
      </c>
      <c r="E53" s="39">
        <f>C53-D53</f>
        <v/>
      </c>
      <c r="F53" s="37" t="n"/>
      <c r="G53" s="37" t="n"/>
      <c r="H53" s="37" t="n"/>
    </row>
    <row r="54" ht="15" customHeight="1" s="28">
      <c r="A54" s="40" t="n">
        <v>44</v>
      </c>
      <c r="B54" s="40" t="n">
        <v>43</v>
      </c>
      <c r="C54" s="41" t="n">
        <v>4680.64</v>
      </c>
      <c r="D54" s="41">
        <f>4540.266601+2.733967*B54</f>
        <v/>
      </c>
      <c r="E54" s="42">
        <f>C54-D54</f>
        <v/>
      </c>
      <c r="F54" s="40" t="n"/>
      <c r="G54" s="40" t="n"/>
      <c r="H54" s="40" t="n"/>
    </row>
    <row r="55" ht="15" customHeight="1" s="28">
      <c r="A55" s="37" t="n">
        <v>45</v>
      </c>
      <c r="B55" s="37" t="n">
        <v>44</v>
      </c>
      <c r="C55" s="38" t="n">
        <v>4689.09</v>
      </c>
      <c r="D55" s="38">
        <f>4540.266601+2.733967*B55</f>
        <v/>
      </c>
      <c r="E55" s="39">
        <f>C55-D55</f>
        <v/>
      </c>
      <c r="F55" s="37" t="n"/>
      <c r="G55" s="37" t="n"/>
      <c r="H55" s="37" t="n"/>
    </row>
    <row r="56" ht="15" customHeight="1" s="28">
      <c r="A56" s="40" t="n">
        <v>46</v>
      </c>
      <c r="B56" s="40" t="n">
        <v>45</v>
      </c>
      <c r="C56" s="41" t="n">
        <v>4690.95</v>
      </c>
      <c r="D56" s="41">
        <f>4540.266601+2.733967*B56</f>
        <v/>
      </c>
      <c r="E56" s="42">
        <f>C56-D56</f>
        <v/>
      </c>
      <c r="F56" s="40" t="n"/>
      <c r="G56" s="40" t="n"/>
      <c r="H56" s="40" t="n"/>
    </row>
    <row r="57" ht="15" customHeight="1" s="28">
      <c r="A57" s="37" t="n">
        <v>47</v>
      </c>
      <c r="B57" s="37" t="n">
        <v>46</v>
      </c>
      <c r="C57" s="38" t="n">
        <v>4693.6</v>
      </c>
      <c r="D57" s="38">
        <f>4540.266601+2.733967*B57</f>
        <v/>
      </c>
      <c r="E57" s="39">
        <f>C57-D57</f>
        <v/>
      </c>
      <c r="F57" s="37" t="n"/>
      <c r="G57" s="37" t="n"/>
      <c r="H57" s="37" t="n"/>
    </row>
    <row r="58" ht="15" customHeight="1" s="28">
      <c r="A58" s="40" t="n">
        <v>48</v>
      </c>
      <c r="B58" s="40" t="n">
        <v>47</v>
      </c>
      <c r="C58" s="41" t="n">
        <v>4692.51</v>
      </c>
      <c r="D58" s="41">
        <f>4540.266601+2.733967*B58</f>
        <v/>
      </c>
      <c r="E58" s="42">
        <f>C58-D58</f>
        <v/>
      </c>
      <c r="F58" s="40" t="n"/>
      <c r="G58" s="40" t="n"/>
      <c r="H58" s="40" t="n"/>
    </row>
    <row r="59" ht="15" customHeight="1" s="28">
      <c r="A59" s="37" t="n">
        <v>49</v>
      </c>
      <c r="B59" s="37" t="n">
        <v>48</v>
      </c>
      <c r="C59" s="38" t="n">
        <v>4704.24</v>
      </c>
      <c r="D59" s="38">
        <f>4540.266601+2.733967*B59</f>
        <v/>
      </c>
      <c r="E59" s="39">
        <f>C59-D59</f>
        <v/>
      </c>
      <c r="F59" s="37" t="n"/>
      <c r="G59" s="37" t="n"/>
      <c r="H59" s="37" t="n"/>
    </row>
    <row r="60" ht="15" customHeight="1" s="28">
      <c r="A60" s="40" t="n">
        <v>50</v>
      </c>
      <c r="B60" s="40" t="n">
        <v>49</v>
      </c>
      <c r="C60" s="41" t="n">
        <v>4696.05</v>
      </c>
      <c r="D60" s="41">
        <f>4540.266601+2.733967*B60</f>
        <v/>
      </c>
      <c r="E60" s="42">
        <f>C60-D60</f>
        <v/>
      </c>
      <c r="F60" s="40" t="n"/>
      <c r="G60" s="40" t="n"/>
      <c r="H60" s="40" t="n"/>
    </row>
    <row r="61" ht="15" customHeight="1" s="28">
      <c r="A61" s="37" t="n">
        <v>51</v>
      </c>
      <c r="B61" s="37" t="n">
        <v>50</v>
      </c>
      <c r="C61" s="38" t="n">
        <v>4742.66</v>
      </c>
      <c r="D61" s="38">
        <f>4540.266601+2.733967*B61</f>
        <v/>
      </c>
      <c r="E61" s="39">
        <f>C61-D61</f>
        <v/>
      </c>
      <c r="F61" s="37" t="n"/>
      <c r="G61" s="37" t="n"/>
      <c r="H61" s="37" t="n"/>
    </row>
    <row r="62" ht="15" customHeight="1" s="28">
      <c r="A62" s="40" t="n">
        <v>52</v>
      </c>
      <c r="B62" s="40" t="n">
        <v>51</v>
      </c>
      <c r="C62" s="41" t="n">
        <v>4734.98</v>
      </c>
      <c r="D62" s="41">
        <f>4540.266601+2.733967*B62</f>
        <v/>
      </c>
      <c r="E62" s="42">
        <f>C62-D62</f>
        <v/>
      </c>
      <c r="F62" s="40" t="n"/>
      <c r="G62" s="40" t="n"/>
      <c r="H62" s="40" t="n"/>
    </row>
    <row r="63" ht="15" customHeight="1" s="28">
      <c r="A63" s="37" t="n">
        <v>53</v>
      </c>
      <c r="B63" s="37" t="n">
        <v>52</v>
      </c>
      <c r="C63" s="38" t="n">
        <v>4762.74</v>
      </c>
      <c r="D63" s="38">
        <f>4540.266601+2.733967*B63</f>
        <v/>
      </c>
      <c r="E63" s="39">
        <f>C63-D63</f>
        <v/>
      </c>
      <c r="F63" s="37" t="n"/>
      <c r="G63" s="37" t="n"/>
      <c r="H63" s="37" t="n"/>
    </row>
    <row r="64" ht="15" customHeight="1" s="28">
      <c r="A64" s="40" t="n">
        <v>54</v>
      </c>
      <c r="B64" s="40" t="n">
        <v>53</v>
      </c>
      <c r="C64" s="41" t="n">
        <v>4708.08</v>
      </c>
      <c r="D64" s="41">
        <f>4540.266601+2.733967*B64</f>
        <v/>
      </c>
      <c r="E64" s="42">
        <f>C64-D64</f>
        <v/>
      </c>
      <c r="F64" s="40" t="n"/>
      <c r="G64" s="40" t="n"/>
      <c r="H64" s="40" t="n"/>
    </row>
    <row r="65" ht="15" customHeight="1" s="28">
      <c r="A65" s="37" t="n">
        <v>55</v>
      </c>
      <c r="B65" s="37" t="n">
        <v>54</v>
      </c>
      <c r="C65" s="38" t="n">
        <v>4709.69</v>
      </c>
      <c r="D65" s="38">
        <f>4540.266601+2.733967*B65</f>
        <v/>
      </c>
      <c r="E65" s="39">
        <f>C65-D65</f>
        <v/>
      </c>
      <c r="F65" s="37" t="n"/>
      <c r="G65" s="37" t="n"/>
      <c r="H65" s="37" t="n"/>
    </row>
    <row r="66" ht="15" customHeight="1" s="28">
      <c r="A66" s="40" t="n">
        <v>56</v>
      </c>
      <c r="B66" s="40" t="n">
        <v>55</v>
      </c>
      <c r="C66" s="41" t="n">
        <v>4691.8</v>
      </c>
      <c r="D66" s="41">
        <f>4540.266601+2.733967*B66</f>
        <v/>
      </c>
      <c r="E66" s="42">
        <f>C66-D66</f>
        <v/>
      </c>
      <c r="F66" s="40" t="n"/>
      <c r="G66" s="40" t="n"/>
      <c r="H66" s="40" t="n"/>
    </row>
    <row r="67" ht="15" customHeight="1" s="28">
      <c r="A67" s="37" t="n">
        <v>57</v>
      </c>
      <c r="B67" s="37" t="n">
        <v>56</v>
      </c>
      <c r="C67" s="38" t="n">
        <v>4720.44</v>
      </c>
      <c r="D67" s="38">
        <f>4540.266601+2.733967*B67</f>
        <v/>
      </c>
      <c r="E67" s="39">
        <f>C67-D67</f>
        <v/>
      </c>
      <c r="F67" s="37" t="n"/>
      <c r="G67" s="37" t="n"/>
      <c r="H67" s="37" t="n"/>
    </row>
    <row r="68" ht="15" customHeight="1" s="28">
      <c r="A68" s="40" t="n">
        <v>58</v>
      </c>
      <c r="B68" s="40" t="n">
        <v>57</v>
      </c>
      <c r="C68" s="41" t="n">
        <v>4711.09</v>
      </c>
      <c r="D68" s="41">
        <f>4540.266601+2.733967*B68</f>
        <v/>
      </c>
      <c r="E68" s="42">
        <f>C68-D68</f>
        <v/>
      </c>
      <c r="F68" s="40" t="n"/>
      <c r="G68" s="40" t="n"/>
      <c r="H68" s="40" t="n"/>
    </row>
    <row r="69" ht="15" customHeight="1" s="28">
      <c r="A69" s="37" t="n">
        <v>59</v>
      </c>
      <c r="B69" s="37" t="n">
        <v>58</v>
      </c>
      <c r="C69" s="38" t="n">
        <v>4728.52</v>
      </c>
      <c r="D69" s="38">
        <f>4540.266601+2.733967*B69</f>
        <v/>
      </c>
      <c r="E69" s="39">
        <f>C69-D69</f>
        <v/>
      </c>
      <c r="F69" s="37" t="n"/>
      <c r="G69" s="37" t="n"/>
      <c r="H69" s="37" t="n"/>
    </row>
    <row r="70" ht="15" customHeight="1" s="28">
      <c r="A70" s="40" t="n">
        <v>60</v>
      </c>
      <c r="B70" s="40" t="n">
        <v>59</v>
      </c>
      <c r="C70" s="41" t="n">
        <v>4716.85</v>
      </c>
      <c r="D70" s="41">
        <f>4540.266601+2.733967*B70</f>
        <v/>
      </c>
      <c r="E70" s="42">
        <f>C70-D70</f>
        <v/>
      </c>
      <c r="F70" s="40" t="n"/>
      <c r="G70" s="40" t="n"/>
      <c r="H70" s="40" t="n"/>
    </row>
    <row r="71" ht="15" customHeight="1" s="28">
      <c r="A71" s="37" t="n">
        <v>61</v>
      </c>
      <c r="B71" s="37" t="n">
        <v>60</v>
      </c>
      <c r="C71" s="38" t="n">
        <v>4722.05</v>
      </c>
      <c r="D71" s="38">
        <f>4540.266601+2.733967*B71</f>
        <v/>
      </c>
      <c r="E71" s="39">
        <f>C71-D71</f>
        <v/>
      </c>
      <c r="F71" s="37" t="n"/>
      <c r="G71" s="37" t="n"/>
      <c r="H71" s="37" t="n"/>
    </row>
    <row r="72" ht="15" customHeight="1" s="28">
      <c r="A72" s="40" t="n">
        <v>62</v>
      </c>
      <c r="B72" s="40" t="n">
        <v>61</v>
      </c>
      <c r="C72" s="41" t="n">
        <v>4710.4</v>
      </c>
      <c r="D72" s="41">
        <f>4540.266601+2.733967*B72</f>
        <v/>
      </c>
      <c r="E72" s="42">
        <f>C72-D72</f>
        <v/>
      </c>
      <c r="F72" s="40" t="n"/>
      <c r="G72" s="40" t="n"/>
      <c r="H72" s="40" t="n"/>
    </row>
    <row r="73" ht="15" customHeight="1" s="28">
      <c r="A73" s="37" t="n">
        <v>63</v>
      </c>
      <c r="B73" s="37" t="n">
        <v>62</v>
      </c>
      <c r="C73" s="38" t="n">
        <v>4731.78</v>
      </c>
      <c r="D73" s="38">
        <f>4540.266601+2.733967*B73</f>
        <v/>
      </c>
      <c r="E73" s="39">
        <f>C73-D73</f>
        <v/>
      </c>
      <c r="F73" s="37" t="n"/>
      <c r="G73" s="37" t="n"/>
      <c r="H73" s="37" t="n"/>
    </row>
    <row r="74" ht="15" customHeight="1" s="28">
      <c r="A74" s="40" t="n">
        <v>64</v>
      </c>
      <c r="B74" s="40" t="n">
        <v>63</v>
      </c>
      <c r="C74" s="41" t="n">
        <v>4717.67</v>
      </c>
      <c r="D74" s="41">
        <f>4540.266601+2.733967*B74</f>
        <v/>
      </c>
      <c r="E74" s="42">
        <f>C74-D74</f>
        <v/>
      </c>
      <c r="F74" s="40" t="n"/>
      <c r="G74" s="40" t="n"/>
      <c r="H74" s="40" t="n"/>
    </row>
    <row r="75" ht="15" customHeight="1" s="28">
      <c r="A75" s="37" t="n">
        <v>65</v>
      </c>
      <c r="B75" s="37" t="n">
        <v>64</v>
      </c>
      <c r="C75" s="38" t="n">
        <v>4725.3</v>
      </c>
      <c r="D75" s="38">
        <f>4540.266601+2.733967*B75</f>
        <v/>
      </c>
      <c r="E75" s="39">
        <f>C75-D75</f>
        <v/>
      </c>
      <c r="F75" s="37" t="n"/>
      <c r="G75" s="37" t="n"/>
      <c r="H75" s="37" t="n"/>
    </row>
    <row r="77" ht="18" customHeight="1" s="28">
      <c r="A77" s="33" t="inlineStr">
        <is>
          <t>STEP 2 — Sort Residuals &amp; Apply Shapiro-Wilk Coefficients   (k = 32 pairs;  n = 65 is odd → middle term x_(33) excluded)</t>
        </is>
      </c>
    </row>
    <row r="78" ht="31.5" customHeight="1" s="28">
      <c r="A78" s="34" t="inlineStr">
        <is>
          <t>Pair  i</t>
        </is>
      </c>
      <c r="B78" s="34" t="inlineStr">
        <is>
          <t>aᵢ  (SW coeff.)*</t>
        </is>
      </c>
      <c r="C78" s="34" t="inlineStr">
        <is>
          <t>Upper  x_(65+1−i)</t>
        </is>
      </c>
      <c r="D78" s="34" t="inlineStr">
        <is>
          <t>Lower  x_(i)</t>
        </is>
      </c>
      <c r="E78" s="34" t="inlineStr">
        <is>
          <t>Diff  =  Upper − Lower</t>
        </is>
      </c>
      <c r="F78" s="34" t="inlineStr">
        <is>
          <t>Contribution  aᵢ × Diff</t>
        </is>
      </c>
      <c r="G78" s="34" t="n"/>
      <c r="H78" s="36" t="n"/>
    </row>
    <row r="79" ht="15" customHeight="1" s="28">
      <c r="A79" s="37" t="n">
        <v>1</v>
      </c>
      <c r="B79" s="43" t="n">
        <v>0.29730388</v>
      </c>
      <c r="C79" s="39">
        <f>LARGE(E11:E75,1)</f>
        <v/>
      </c>
      <c r="D79" s="39">
        <f>SMALL(E11:E75,1)</f>
        <v/>
      </c>
      <c r="E79" s="39">
        <f>C79-D79</f>
        <v/>
      </c>
      <c r="F79" s="39">
        <f>B79*E79</f>
        <v/>
      </c>
      <c r="G79" s="37" t="n"/>
      <c r="H79" s="37" t="n"/>
    </row>
    <row r="80" ht="15" customHeight="1" s="28">
      <c r="A80" s="40" t="n">
        <v>2</v>
      </c>
      <c r="B80" s="43" t="n">
        <v>0.24896602</v>
      </c>
      <c r="C80" s="42">
        <f>LARGE(E11:E75,2)</f>
        <v/>
      </c>
      <c r="D80" s="42">
        <f>SMALL(E11:E75,2)</f>
        <v/>
      </c>
      <c r="E80" s="42">
        <f>C80-D80</f>
        <v/>
      </c>
      <c r="F80" s="42">
        <f>B80*E80</f>
        <v/>
      </c>
      <c r="G80" s="40" t="n"/>
      <c r="H80" s="40" t="n"/>
    </row>
    <row r="81" ht="15" customHeight="1" s="28">
      <c r="A81" s="37" t="n">
        <v>3</v>
      </c>
      <c r="B81" s="43" t="n">
        <v>0.22185843</v>
      </c>
      <c r="C81" s="39">
        <f>LARGE(E11:E75,3)</f>
        <v/>
      </c>
      <c r="D81" s="39">
        <f>SMALL(E11:E75,3)</f>
        <v/>
      </c>
      <c r="E81" s="39">
        <f>C81-D81</f>
        <v/>
      </c>
      <c r="F81" s="39">
        <f>B81*E81</f>
        <v/>
      </c>
      <c r="G81" s="37" t="n"/>
      <c r="H81" s="37" t="n"/>
    </row>
    <row r="82" ht="15" customHeight="1" s="28">
      <c r="A82" s="40" t="n">
        <v>4</v>
      </c>
      <c r="B82" s="43" t="n">
        <v>0.20221056</v>
      </c>
      <c r="C82" s="42">
        <f>LARGE(E11:E75,4)</f>
        <v/>
      </c>
      <c r="D82" s="42">
        <f>SMALL(E11:E75,4)</f>
        <v/>
      </c>
      <c r="E82" s="42">
        <f>C82-D82</f>
        <v/>
      </c>
      <c r="F82" s="42">
        <f>B82*E82</f>
        <v/>
      </c>
      <c r="G82" s="40" t="n"/>
      <c r="H82" s="40" t="n"/>
    </row>
    <row r="83" ht="15" customHeight="1" s="28">
      <c r="A83" s="37" t="n">
        <v>5</v>
      </c>
      <c r="B83" s="43" t="n">
        <v>0.18647769</v>
      </c>
      <c r="C83" s="39">
        <f>LARGE(E11:E75,5)</f>
        <v/>
      </c>
      <c r="D83" s="39">
        <f>SMALL(E11:E75,5)</f>
        <v/>
      </c>
      <c r="E83" s="39">
        <f>C83-D83</f>
        <v/>
      </c>
      <c r="F83" s="39">
        <f>B83*E83</f>
        <v/>
      </c>
      <c r="G83" s="37" t="n"/>
      <c r="H83" s="37" t="n"/>
    </row>
    <row r="84" ht="15" customHeight="1" s="28">
      <c r="A84" s="40" t="n">
        <v>6</v>
      </c>
      <c r="B84" s="43" t="n">
        <v>0.17318025</v>
      </c>
      <c r="C84" s="42">
        <f>LARGE(E11:E75,6)</f>
        <v/>
      </c>
      <c r="D84" s="42">
        <f>SMALL(E11:E75,6)</f>
        <v/>
      </c>
      <c r="E84" s="42">
        <f>C84-D84</f>
        <v/>
      </c>
      <c r="F84" s="42">
        <f>B84*E84</f>
        <v/>
      </c>
      <c r="G84" s="40" t="n"/>
      <c r="H84" s="40" t="n"/>
    </row>
    <row r="85" ht="15" customHeight="1" s="28">
      <c r="A85" s="37" t="n">
        <v>7</v>
      </c>
      <c r="B85" s="43" t="n">
        <v>0.1615517</v>
      </c>
      <c r="C85" s="39">
        <f>LARGE(E11:E75,7)</f>
        <v/>
      </c>
      <c r="D85" s="39">
        <f>SMALL(E11:E75,7)</f>
        <v/>
      </c>
      <c r="E85" s="39">
        <f>C85-D85</f>
        <v/>
      </c>
      <c r="F85" s="39">
        <f>B85*E85</f>
        <v/>
      </c>
      <c r="G85" s="37" t="n"/>
      <c r="H85" s="37" t="n"/>
    </row>
    <row r="86" ht="15" customHeight="1" s="28">
      <c r="A86" s="40" t="n">
        <v>8</v>
      </c>
      <c r="B86" s="43" t="n">
        <v>0.15114081</v>
      </c>
      <c r="C86" s="42">
        <f>LARGE(E11:E75,8)</f>
        <v/>
      </c>
      <c r="D86" s="42">
        <f>SMALL(E11:E75,8)</f>
        <v/>
      </c>
      <c r="E86" s="42">
        <f>C86-D86</f>
        <v/>
      </c>
      <c r="F86" s="42">
        <f>B86*E86</f>
        <v/>
      </c>
      <c r="G86" s="40" t="n"/>
      <c r="H86" s="40" t="n"/>
    </row>
    <row r="87" ht="15" customHeight="1" s="28">
      <c r="A87" s="37" t="n">
        <v>9</v>
      </c>
      <c r="B87" s="43" t="n">
        <v>0.14165829</v>
      </c>
      <c r="C87" s="39">
        <f>LARGE(E11:E75,9)</f>
        <v/>
      </c>
      <c r="D87" s="39">
        <f>SMALL(E11:E75,9)</f>
        <v/>
      </c>
      <c r="E87" s="39">
        <f>C87-D87</f>
        <v/>
      </c>
      <c r="F87" s="39">
        <f>B87*E87</f>
        <v/>
      </c>
      <c r="G87" s="37" t="n"/>
      <c r="H87" s="37" t="n"/>
    </row>
    <row r="88" ht="15" customHeight="1" s="28">
      <c r="A88" s="40" t="n">
        <v>10</v>
      </c>
      <c r="B88" s="43" t="n">
        <v>0.13290686</v>
      </c>
      <c r="C88" s="42">
        <f>LARGE(E11:E75,10)</f>
        <v/>
      </c>
      <c r="D88" s="42">
        <f>SMALL(E11:E75,10)</f>
        <v/>
      </c>
      <c r="E88" s="42">
        <f>C88-D88</f>
        <v/>
      </c>
      <c r="F88" s="42">
        <f>B88*E88</f>
        <v/>
      </c>
      <c r="G88" s="40" t="n"/>
      <c r="H88" s="40" t="n"/>
    </row>
    <row r="89" ht="15" customHeight="1" s="28">
      <c r="A89" s="37" t="n">
        <v>11</v>
      </c>
      <c r="B89" s="43" t="n">
        <v>0.12474562</v>
      </c>
      <c r="C89" s="39">
        <f>LARGE(E11:E75,11)</f>
        <v/>
      </c>
      <c r="D89" s="39">
        <f>SMALL(E11:E75,11)</f>
        <v/>
      </c>
      <c r="E89" s="39">
        <f>C89-D89</f>
        <v/>
      </c>
      <c r="F89" s="39">
        <f>B89*E89</f>
        <v/>
      </c>
      <c r="G89" s="37" t="n"/>
      <c r="H89" s="37" t="n"/>
    </row>
    <row r="90" ht="15" customHeight="1" s="28">
      <c r="A90" s="40" t="n">
        <v>12</v>
      </c>
      <c r="B90" s="43" t="n">
        <v>0.11707011</v>
      </c>
      <c r="C90" s="42">
        <f>LARGE(E11:E75,12)</f>
        <v/>
      </c>
      <c r="D90" s="42">
        <f>SMALL(E11:E75,12)</f>
        <v/>
      </c>
      <c r="E90" s="42">
        <f>C90-D90</f>
        <v/>
      </c>
      <c r="F90" s="42">
        <f>B90*E90</f>
        <v/>
      </c>
      <c r="G90" s="40" t="n"/>
      <c r="H90" s="40" t="n"/>
    </row>
    <row r="91" ht="15" customHeight="1" s="28">
      <c r="A91" s="37" t="n">
        <v>13</v>
      </c>
      <c r="B91" s="43" t="n">
        <v>0.10980055</v>
      </c>
      <c r="C91" s="39">
        <f>LARGE(E11:E75,13)</f>
        <v/>
      </c>
      <c r="D91" s="39">
        <f>SMALL(E11:E75,13)</f>
        <v/>
      </c>
      <c r="E91" s="39">
        <f>C91-D91</f>
        <v/>
      </c>
      <c r="F91" s="39">
        <f>B91*E91</f>
        <v/>
      </c>
      <c r="G91" s="37" t="n"/>
      <c r="H91" s="37" t="n"/>
    </row>
    <row r="92" ht="15" customHeight="1" s="28">
      <c r="A92" s="40" t="n">
        <v>14</v>
      </c>
      <c r="B92" s="43" t="n">
        <v>0.10287453</v>
      </c>
      <c r="C92" s="42">
        <f>LARGE(E11:E75,14)</f>
        <v/>
      </c>
      <c r="D92" s="42">
        <f>SMALL(E11:E75,14)</f>
        <v/>
      </c>
      <c r="E92" s="42">
        <f>C92-D92</f>
        <v/>
      </c>
      <c r="F92" s="42">
        <f>B92*E92</f>
        <v/>
      </c>
      <c r="G92" s="40" t="n"/>
      <c r="H92" s="40" t="n"/>
    </row>
    <row r="93" ht="15" customHeight="1" s="28">
      <c r="A93" s="37" t="n">
        <v>15</v>
      </c>
      <c r="B93" s="43" t="n">
        <v>0.09624212</v>
      </c>
      <c r="C93" s="39">
        <f>LARGE(E11:E75,15)</f>
        <v/>
      </c>
      <c r="D93" s="39">
        <f>SMALL(E11:E75,15)</f>
        <v/>
      </c>
      <c r="E93" s="39">
        <f>C93-D93</f>
        <v/>
      </c>
      <c r="F93" s="39">
        <f>B93*E93</f>
        <v/>
      </c>
      <c r="G93" s="37" t="n"/>
      <c r="H93" s="37" t="n"/>
    </row>
    <row r="94" ht="15" customHeight="1" s="28">
      <c r="A94" s="40" t="n">
        <v>16</v>
      </c>
      <c r="B94" s="43" t="n">
        <v>0.08986271</v>
      </c>
      <c r="C94" s="42">
        <f>LARGE(E11:E75,16)</f>
        <v/>
      </c>
      <c r="D94" s="42">
        <f>SMALL(E11:E75,16)</f>
        <v/>
      </c>
      <c r="E94" s="42">
        <f>C94-D94</f>
        <v/>
      </c>
      <c r="F94" s="42">
        <f>B94*E94</f>
        <v/>
      </c>
      <c r="G94" s="40" t="n"/>
      <c r="H94" s="40" t="n"/>
    </row>
    <row r="95" ht="15" customHeight="1" s="28">
      <c r="A95" s="37" t="n">
        <v>17</v>
      </c>
      <c r="B95" s="43" t="n">
        <v>0.08370267000000001</v>
      </c>
      <c r="C95" s="39">
        <f>LARGE(E11:E75,17)</f>
        <v/>
      </c>
      <c r="D95" s="39">
        <f>SMALL(E11:E75,17)</f>
        <v/>
      </c>
      <c r="E95" s="39">
        <f>C95-D95</f>
        <v/>
      </c>
      <c r="F95" s="39">
        <f>B95*E95</f>
        <v/>
      </c>
      <c r="G95" s="37" t="n"/>
      <c r="H95" s="37" t="n"/>
    </row>
    <row r="96" ht="15" customHeight="1" s="28">
      <c r="A96" s="40" t="n">
        <v>18</v>
      </c>
      <c r="B96" s="43" t="n">
        <v>0.07773381</v>
      </c>
      <c r="C96" s="42">
        <f>LARGE(E11:E75,18)</f>
        <v/>
      </c>
      <c r="D96" s="42">
        <f>SMALL(E11:E75,18)</f>
        <v/>
      </c>
      <c r="E96" s="42">
        <f>C96-D96</f>
        <v/>
      </c>
      <c r="F96" s="42">
        <f>B96*E96</f>
        <v/>
      </c>
      <c r="G96" s="40" t="n"/>
      <c r="H96" s="40" t="n"/>
    </row>
    <row r="97" ht="15" customHeight="1" s="28">
      <c r="A97" s="37" t="n">
        <v>19</v>
      </c>
      <c r="B97" s="43" t="n">
        <v>0.07193215999999999</v>
      </c>
      <c r="C97" s="39">
        <f>LARGE(E11:E75,19)</f>
        <v/>
      </c>
      <c r="D97" s="39">
        <f>SMALL(E11:E75,19)</f>
        <v/>
      </c>
      <c r="E97" s="39">
        <f>C97-D97</f>
        <v/>
      </c>
      <c r="F97" s="39">
        <f>B97*E97</f>
        <v/>
      </c>
      <c r="G97" s="37" t="n"/>
      <c r="H97" s="37" t="n"/>
    </row>
    <row r="98" ht="15" customHeight="1" s="28">
      <c r="A98" s="40" t="n">
        <v>20</v>
      </c>
      <c r="B98" s="43" t="n">
        <v>0.06627710000000001</v>
      </c>
      <c r="C98" s="42">
        <f>LARGE(E11:E75,20)</f>
        <v/>
      </c>
      <c r="D98" s="42">
        <f>SMALL(E11:E75,20)</f>
        <v/>
      </c>
      <c r="E98" s="42">
        <f>C98-D98</f>
        <v/>
      </c>
      <c r="F98" s="42">
        <f>B98*E98</f>
        <v/>
      </c>
      <c r="G98" s="40" t="n"/>
      <c r="H98" s="40" t="n"/>
    </row>
    <row r="99" ht="15" customHeight="1" s="28">
      <c r="A99" s="37" t="n">
        <v>21</v>
      </c>
      <c r="B99" s="43" t="n">
        <v>0.06075069</v>
      </c>
      <c r="C99" s="39">
        <f>LARGE(E11:E75,21)</f>
        <v/>
      </c>
      <c r="D99" s="39">
        <f>SMALL(E11:E75,21)</f>
        <v/>
      </c>
      <c r="E99" s="39">
        <f>C99-D99</f>
        <v/>
      </c>
      <c r="F99" s="39">
        <f>B99*E99</f>
        <v/>
      </c>
      <c r="G99" s="37" t="n"/>
      <c r="H99" s="37" t="n"/>
    </row>
    <row r="100" ht="15" customHeight="1" s="28">
      <c r="A100" s="40" t="n">
        <v>22</v>
      </c>
      <c r="B100" s="43" t="n">
        <v>0.05533717</v>
      </c>
      <c r="C100" s="42">
        <f>LARGE(E11:E75,22)</f>
        <v/>
      </c>
      <c r="D100" s="42">
        <f>SMALL(E11:E75,22)</f>
        <v/>
      </c>
      <c r="E100" s="42">
        <f>C100-D100</f>
        <v/>
      </c>
      <c r="F100" s="42">
        <f>B100*E100</f>
        <v/>
      </c>
      <c r="G100" s="40" t="n"/>
      <c r="H100" s="40" t="n"/>
    </row>
    <row r="101" ht="15" customHeight="1" s="28">
      <c r="A101" s="37" t="n">
        <v>23</v>
      </c>
      <c r="B101" s="43" t="n">
        <v>0.05002253</v>
      </c>
      <c r="C101" s="39">
        <f>LARGE(E11:E75,23)</f>
        <v/>
      </c>
      <c r="D101" s="39">
        <f>SMALL(E11:E75,23)</f>
        <v/>
      </c>
      <c r="E101" s="39">
        <f>C101-D101</f>
        <v/>
      </c>
      <c r="F101" s="39">
        <f>B101*E101</f>
        <v/>
      </c>
      <c r="G101" s="37" t="n"/>
      <c r="H101" s="37" t="n"/>
    </row>
    <row r="102" ht="15" customHeight="1" s="28">
      <c r="A102" s="40" t="n">
        <v>24</v>
      </c>
      <c r="B102" s="43" t="n">
        <v>0.04479421</v>
      </c>
      <c r="C102" s="42">
        <f>LARGE(E11:E75,24)</f>
        <v/>
      </c>
      <c r="D102" s="42">
        <f>SMALL(E11:E75,24)</f>
        <v/>
      </c>
      <c r="E102" s="42">
        <f>C102-D102</f>
        <v/>
      </c>
      <c r="F102" s="42">
        <f>B102*E102</f>
        <v/>
      </c>
      <c r="G102" s="40" t="n"/>
      <c r="H102" s="40" t="n"/>
    </row>
    <row r="103" ht="15" customHeight="1" s="28">
      <c r="A103" s="37" t="n">
        <v>25</v>
      </c>
      <c r="B103" s="43" t="n">
        <v>0.03964085</v>
      </c>
      <c r="C103" s="39">
        <f>LARGE(E11:E75,25)</f>
        <v/>
      </c>
      <c r="D103" s="39">
        <f>SMALL(E11:E75,25)</f>
        <v/>
      </c>
      <c r="E103" s="39">
        <f>C103-D103</f>
        <v/>
      </c>
      <c r="F103" s="39">
        <f>B103*E103</f>
        <v/>
      </c>
      <c r="G103" s="37" t="n"/>
      <c r="H103" s="37" t="n"/>
    </row>
    <row r="104" ht="15" customHeight="1" s="28">
      <c r="A104" s="40" t="n">
        <v>26</v>
      </c>
      <c r="B104" s="43" t="n">
        <v>0.03455205</v>
      </c>
      <c r="C104" s="42">
        <f>LARGE(E11:E75,26)</f>
        <v/>
      </c>
      <c r="D104" s="42">
        <f>SMALL(E11:E75,26)</f>
        <v/>
      </c>
      <c r="E104" s="42">
        <f>C104-D104</f>
        <v/>
      </c>
      <c r="F104" s="42">
        <f>B104*E104</f>
        <v/>
      </c>
      <c r="G104" s="40" t="n"/>
      <c r="H104" s="40" t="n"/>
    </row>
    <row r="105" ht="15" customHeight="1" s="28">
      <c r="A105" s="37" t="n">
        <v>27</v>
      </c>
      <c r="B105" s="43" t="n">
        <v>0.02951822</v>
      </c>
      <c r="C105" s="39">
        <f>LARGE(E11:E75,27)</f>
        <v/>
      </c>
      <c r="D105" s="39">
        <f>SMALL(E11:E75,27)</f>
        <v/>
      </c>
      <c r="E105" s="39">
        <f>C105-D105</f>
        <v/>
      </c>
      <c r="F105" s="39">
        <f>B105*E105</f>
        <v/>
      </c>
      <c r="G105" s="37" t="n"/>
      <c r="H105" s="37" t="n"/>
    </row>
    <row r="106" ht="15" customHeight="1" s="28">
      <c r="A106" s="40" t="n">
        <v>28</v>
      </c>
      <c r="B106" s="43" t="n">
        <v>0.02453042</v>
      </c>
      <c r="C106" s="42">
        <f>LARGE(E11:E75,28)</f>
        <v/>
      </c>
      <c r="D106" s="42">
        <f>SMALL(E11:E75,28)</f>
        <v/>
      </c>
      <c r="E106" s="42">
        <f>C106-D106</f>
        <v/>
      </c>
      <c r="F106" s="42">
        <f>B106*E106</f>
        <v/>
      </c>
      <c r="G106" s="40" t="n"/>
      <c r="H106" s="40" t="n"/>
    </row>
    <row r="107" ht="15" customHeight="1" s="28">
      <c r="A107" s="37" t="n">
        <v>29</v>
      </c>
      <c r="B107" s="43" t="n">
        <v>0.01958023</v>
      </c>
      <c r="C107" s="39">
        <f>LARGE(E11:E75,29)</f>
        <v/>
      </c>
      <c r="D107" s="39">
        <f>SMALL(E11:E75,29)</f>
        <v/>
      </c>
      <c r="E107" s="39">
        <f>C107-D107</f>
        <v/>
      </c>
      <c r="F107" s="39">
        <f>B107*E107</f>
        <v/>
      </c>
      <c r="G107" s="37" t="n"/>
      <c r="H107" s="37" t="n"/>
    </row>
    <row r="108" ht="15" customHeight="1" s="28">
      <c r="A108" s="40" t="n">
        <v>30</v>
      </c>
      <c r="B108" s="43" t="n">
        <v>0.01465966</v>
      </c>
      <c r="C108" s="42">
        <f>LARGE(E11:E75,30)</f>
        <v/>
      </c>
      <c r="D108" s="42">
        <f>SMALL(E11:E75,30)</f>
        <v/>
      </c>
      <c r="E108" s="42">
        <f>C108-D108</f>
        <v/>
      </c>
      <c r="F108" s="42">
        <f>B108*E108</f>
        <v/>
      </c>
      <c r="G108" s="40" t="n"/>
      <c r="H108" s="40" t="n"/>
    </row>
    <row r="109" ht="15" customHeight="1" s="28">
      <c r="A109" s="37" t="n">
        <v>31</v>
      </c>
      <c r="B109" s="43" t="n">
        <v>0.00976103</v>
      </c>
      <c r="C109" s="39">
        <f>LARGE(E11:E75,31)</f>
        <v/>
      </c>
      <c r="D109" s="39">
        <f>SMALL(E11:E75,31)</f>
        <v/>
      </c>
      <c r="E109" s="39">
        <f>C109-D109</f>
        <v/>
      </c>
      <c r="F109" s="39">
        <f>B109*E109</f>
        <v/>
      </c>
      <c r="G109" s="37" t="n"/>
      <c r="H109" s="37" t="n"/>
    </row>
    <row r="110" ht="15" customHeight="1" s="28">
      <c r="A110" s="40" t="n">
        <v>32</v>
      </c>
      <c r="B110" s="43" t="n">
        <v>0.00487691</v>
      </c>
      <c r="C110" s="42">
        <f>LARGE(E11:E75,32)</f>
        <v/>
      </c>
      <c r="D110" s="42">
        <f>SMALL(E11:E75,32)</f>
        <v/>
      </c>
      <c r="E110" s="42">
        <f>C110-D110</f>
        <v/>
      </c>
      <c r="F110" s="42">
        <f>B110*E110</f>
        <v/>
      </c>
      <c r="G110" s="40" t="n"/>
      <c r="H110" s="40" t="n"/>
    </row>
    <row r="112" ht="18" customHeight="1" s="28">
      <c r="A112" s="33" t="inlineStr">
        <is>
          <t>STEP 3 — Compute W Statistic</t>
        </is>
      </c>
    </row>
    <row r="113" ht="15" customHeight="1" s="28">
      <c r="A113" s="44" t="inlineStr">
        <is>
          <t>n  (sample size)</t>
        </is>
      </c>
      <c r="B113" s="35" t="n"/>
      <c r="C113" s="35" t="n"/>
      <c r="D113" s="35" t="n"/>
      <c r="E113" s="35" t="n"/>
      <c r="F113" s="45" t="n">
        <v>65</v>
      </c>
      <c r="G113" s="35" t="n"/>
      <c r="H113" s="35" t="n"/>
    </row>
    <row r="114" ht="15" customHeight="1" s="28">
      <c r="A114" s="44" t="inlineStr">
        <is>
          <t>k  (number of pairs)</t>
        </is>
      </c>
      <c r="B114" s="35" t="n"/>
      <c r="C114" s="35" t="n"/>
      <c r="D114" s="35" t="n"/>
      <c r="E114" s="35" t="n"/>
      <c r="F114" s="45" t="n">
        <v>32</v>
      </c>
      <c r="G114" s="35" t="n"/>
      <c r="H114" s="35" t="n"/>
    </row>
    <row r="115" ht="15" customHeight="1" s="28">
      <c r="A115" s="44" t="inlineStr">
        <is>
          <t>SS_total  =  Σ(eᵢ − ē)²</t>
        </is>
      </c>
      <c r="B115" s="35" t="n"/>
      <c r="C115" s="35" t="n"/>
      <c r="D115" s="35" t="n"/>
      <c r="E115" s="35" t="n"/>
      <c r="F115" s="46">
        <f>SUMPRODUCT((E11:E75-AVERAGE(E11:E75))^2)</f>
        <v/>
      </c>
      <c r="G115" s="35" t="n"/>
      <c r="H115" s="35" t="n"/>
    </row>
    <row r="116" ht="15" customHeight="1" s="28">
      <c r="A116" s="44" t="inlineStr">
        <is>
          <t>Numerator  =  [ Σ aᵢ · Diff ]²</t>
        </is>
      </c>
      <c r="B116" s="35" t="n"/>
      <c r="C116" s="35" t="n"/>
      <c r="D116" s="35" t="n"/>
      <c r="E116" s="35" t="n"/>
      <c r="F116" s="46">
        <f>(SUM(F79:F110))^2</f>
        <v/>
      </c>
      <c r="G116" s="35" t="n"/>
      <c r="H116" s="35" t="n"/>
    </row>
    <row r="117" ht="15" customHeight="1" s="28">
      <c r="A117" s="44" t="inlineStr">
        <is>
          <t>W  (approx. coefficients)</t>
        </is>
      </c>
      <c r="B117" s="35" t="n"/>
      <c r="C117" s="35" t="n"/>
      <c r="D117" s="35" t="n"/>
      <c r="E117" s="35" t="n"/>
      <c r="F117" s="47">
        <f>F116/F115</f>
        <v/>
      </c>
      <c r="G117" s="35" t="n"/>
      <c r="H117" s="35" t="n"/>
    </row>
    <row r="118" ht="15" customHeight="1" s="28">
      <c r="A118" s="44" t="inlineStr">
        <is>
          <t>W  (exact — Royston 1992 / scipy)</t>
        </is>
      </c>
      <c r="B118" s="35" t="n"/>
      <c r="C118" s="35" t="n"/>
      <c r="D118" s="35" t="n"/>
      <c r="E118" s="35" t="n"/>
      <c r="F118" s="47" t="n">
        <v>0.8790249999999999</v>
      </c>
      <c r="G118" s="35" t="n"/>
      <c r="H118" s="35" t="n"/>
    </row>
    <row r="119" ht="15" customHeight="1" s="28">
      <c r="A119" s="44" t="inlineStr">
        <is>
          <t>p-value  (scipy exact)</t>
        </is>
      </c>
      <c r="B119" s="35" t="n"/>
      <c r="C119" s="35" t="n"/>
      <c r="D119" s="35" t="n"/>
      <c r="E119" s="35" t="n"/>
      <c r="F119" s="48" t="n">
        <v>1.234e-05</v>
      </c>
      <c r="G119" s="35" t="n"/>
      <c r="H119" s="35" t="n"/>
    </row>
    <row r="120" ht="15" customHeight="1" s="28">
      <c r="A120" s="44" t="inlineStr">
        <is>
          <t>α  (significance level)</t>
        </is>
      </c>
      <c r="B120" s="35" t="n"/>
      <c r="C120" s="35" t="n"/>
      <c r="D120" s="35" t="n"/>
      <c r="E120" s="35" t="n"/>
      <c r="F120" s="49" t="n">
        <v>0.05</v>
      </c>
      <c r="G120" s="35" t="n"/>
      <c r="H120" s="35" t="n"/>
    </row>
    <row r="121" ht="21.75" customHeight="1" s="28">
      <c r="A121" s="50" t="inlineStr">
        <is>
          <t>DECISION:  p-value (1.2e-05) &lt; α (0.05)  ⟹  REJECT H₀  →  Residuals are NOT normally distributed  [W = 0.879 | Strong evidence of non-normality]</t>
        </is>
      </c>
    </row>
    <row r="122" ht="21.75" customHeight="1" s="28">
      <c r="A122" s="51" t="inlineStr">
        <is>
          <t>* aᵢ approximated via normalised expected order statistics of N(0,1) [Blom 1958 position formula]. Exact Royston (1992) coefficients give W = 0.8790 (shown above) — same decision either way.</t>
        </is>
      </c>
    </row>
  </sheetData>
  <mergeCells count="30">
    <mergeCell ref="A9:H9"/>
    <mergeCell ref="F113:H113"/>
    <mergeCell ref="A114:E114"/>
    <mergeCell ref="A77:H77"/>
    <mergeCell ref="F114:H114"/>
    <mergeCell ref="B6:H6"/>
    <mergeCell ref="A1:H1"/>
    <mergeCell ref="A119:E119"/>
    <mergeCell ref="B5:H5"/>
    <mergeCell ref="F115:H115"/>
    <mergeCell ref="B4:H4"/>
    <mergeCell ref="A118:E118"/>
    <mergeCell ref="B7:H7"/>
    <mergeCell ref="B3:H3"/>
    <mergeCell ref="G78:H78"/>
    <mergeCell ref="A120:E120"/>
    <mergeCell ref="F117:H117"/>
    <mergeCell ref="F120:H120"/>
    <mergeCell ref="A113:E113"/>
    <mergeCell ref="A116:E116"/>
    <mergeCell ref="B2:H2"/>
    <mergeCell ref="F119:H119"/>
    <mergeCell ref="F116:H116"/>
    <mergeCell ref="F10:H10"/>
    <mergeCell ref="A122:H122"/>
    <mergeCell ref="F118:H118"/>
    <mergeCell ref="A121:H121"/>
    <mergeCell ref="A112:H112"/>
    <mergeCell ref="A115:E115"/>
    <mergeCell ref="A117:E1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76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29" min="1" max="1"/>
    <col width="10" customWidth="1" style="29" min="2" max="2"/>
    <col width="12" customWidth="1" style="29" min="3" max="3"/>
    <col width="14" customWidth="1" style="29" min="4" max="5"/>
    <col width="16" customWidth="1" style="29" min="6" max="8"/>
    <col width="6" customWidth="1" style="29" min="9" max="9"/>
  </cols>
  <sheetData>
    <row r="1" ht="25.5" customHeight="1" s="28">
      <c r="A1" s="30" t="inlineStr">
        <is>
          <t>JARQUE-BERA NORMALITY TEST  |  MODEL B  |  n = 741</t>
        </is>
      </c>
    </row>
    <row r="2" ht="15.75" customHeight="1" s="28">
      <c r="A2" s="31" t="inlineStr">
        <is>
          <t>H₀:</t>
        </is>
      </c>
      <c r="B2" s="32" t="inlineStr">
        <is>
          <t>Residuals are normally distributed (Skewness=0 and Kurtosis=3)</t>
        </is>
      </c>
    </row>
    <row r="3" ht="15.75" customHeight="1" s="28">
      <c r="A3" s="31" t="inlineStr">
        <is>
          <t>PURPOSE:</t>
        </is>
      </c>
      <c r="B3" s="32" t="inlineStr">
        <is>
          <t>Combines Skewness and Excess Kurtosis into one χ²(2) statistic.  Industry standard for large-sample financial / econometric data (n &gt; 200).</t>
        </is>
      </c>
    </row>
    <row r="4" ht="15.75" customHeight="1" s="28">
      <c r="A4" s="31" t="inlineStr">
        <is>
          <t>FORMULA:</t>
        </is>
      </c>
      <c r="B4" s="32" t="inlineStr">
        <is>
          <t>JB  =  (n / 6) · [ S²  +  (K − 3)² / 4 ]</t>
        </is>
      </c>
    </row>
    <row r="5" ht="15.75" customHeight="1" s="28">
      <c r="A5" s="31" t="inlineStr">
        <is>
          <t>Skewness:</t>
        </is>
      </c>
      <c r="B5" s="32" t="inlineStr">
        <is>
          <t>S  =  [n⁻¹ · Σ(eᵢ − ē)³]  /  [n⁻¹ · Σ(eᵢ − ē)²]^(3/2)   — measures asymmetry of the distribution</t>
        </is>
      </c>
    </row>
    <row r="6" ht="15.75" customHeight="1" s="28">
      <c r="A6" s="31" t="inlineStr">
        <is>
          <t>Kurtosis:</t>
        </is>
      </c>
      <c r="B6" s="32" t="inlineStr">
        <is>
          <t>K  =  [n⁻¹ · Σ(eᵢ − ē)⁴]  /  [n⁻¹ · Σ(eᵢ − ē)²]²   — measures tail-heaviness; normal distribution has K = 3</t>
        </is>
      </c>
    </row>
    <row r="7" ht="15.75" customHeight="1" s="28">
      <c r="A7" s="31" t="inlineStr">
        <is>
          <t>p-value:</t>
        </is>
      </c>
      <c r="B7" s="32" t="inlineStr">
        <is>
          <t>CHISQ.DIST.RT(JB, 2)   [2 degrees of freedom]</t>
        </is>
      </c>
    </row>
    <row r="8" ht="15.75" customHeight="1" s="28">
      <c r="A8" s="31" t="inlineStr">
        <is>
          <t>REGRESSION:</t>
        </is>
      </c>
      <c r="B8" s="32" t="inlineStr">
        <is>
          <t>close = β₀ + β₁·bar_index + ε   β₀ = 4541.1387   β₁ = 0.225904   [blue = hardcoded inputs]</t>
        </is>
      </c>
    </row>
    <row r="9" ht="15.75" customHeight="1" s="28">
      <c r="A9" s="31" t="inlineStr">
        <is>
          <t>DECISION:</t>
        </is>
      </c>
      <c r="B9" s="32" t="inlineStr">
        <is>
          <t>Reject H₀ if  p-value &lt; α = 0.05</t>
        </is>
      </c>
    </row>
    <row r="11" ht="18" customHeight="1" s="28">
      <c r="A11" s="33" t="inlineStr">
        <is>
          <t>STEP 1 — OLS Residuals &amp; Moment Columns  (ŷᵢ = 4541.1387 + 0.225904 · bar_idx)</t>
        </is>
      </c>
    </row>
    <row r="12" ht="31.5" customHeight="1" s="28">
      <c r="A12" s="34" t="inlineStr">
        <is>
          <t>i</t>
        </is>
      </c>
      <c r="B12" s="34" t="inlineStr">
        <is>
          <t>Bar Index</t>
        </is>
      </c>
      <c r="C12" s="34" t="inlineStr">
        <is>
          <t>Close</t>
        </is>
      </c>
      <c r="D12" s="34" t="inlineStr">
        <is>
          <t>OLS Fitted ŷᵢ</t>
        </is>
      </c>
      <c r="E12" s="34" t="inlineStr">
        <is>
          <t>Residual eᵢ</t>
        </is>
      </c>
      <c r="F12" s="34" t="inlineStr">
        <is>
          <t>(eᵢ−ē)²</t>
        </is>
      </c>
      <c r="G12" s="34" t="inlineStr">
        <is>
          <t>(eᵢ−ē)³</t>
        </is>
      </c>
      <c r="H12" s="34" t="inlineStr">
        <is>
          <t>(eᵢ−ē)⁴</t>
        </is>
      </c>
      <c r="I12" s="34" t="n"/>
    </row>
    <row r="13" ht="15" customHeight="1" s="28">
      <c r="A13" s="37" t="n">
        <v>1</v>
      </c>
      <c r="B13" s="37" t="n">
        <v>0</v>
      </c>
      <c r="C13" s="38" t="n">
        <v>4595.7</v>
      </c>
      <c r="D13" s="38">
        <f>4541.138727+0.225904*B13</f>
        <v/>
      </c>
      <c r="E13" s="39">
        <f>C13-D13</f>
        <v/>
      </c>
      <c r="F13" s="39">
        <f>(E13-F757)^2</f>
        <v/>
      </c>
      <c r="G13" s="38">
        <f>(E13-F757)^3</f>
        <v/>
      </c>
      <c r="H13" s="38">
        <f>(E13-F757)^4</f>
        <v/>
      </c>
      <c r="I13" s="37" t="n"/>
    </row>
    <row r="14" ht="15" customHeight="1" s="28">
      <c r="A14" s="40" t="n">
        <v>2</v>
      </c>
      <c r="B14" s="40" t="n">
        <v>1</v>
      </c>
      <c r="C14" s="41" t="n">
        <v>4597.28</v>
      </c>
      <c r="D14" s="41">
        <f>4541.138727+0.225904*B14</f>
        <v/>
      </c>
      <c r="E14" s="42">
        <f>C14-D14</f>
        <v/>
      </c>
      <c r="F14" s="42">
        <f>(E14-F757)^2</f>
        <v/>
      </c>
      <c r="G14" s="41">
        <f>(E14-F757)^3</f>
        <v/>
      </c>
      <c r="H14" s="41">
        <f>(E14-F757)^4</f>
        <v/>
      </c>
      <c r="I14" s="40" t="n"/>
    </row>
    <row r="15" ht="15" customHeight="1" s="28">
      <c r="A15" s="37" t="n">
        <v>3</v>
      </c>
      <c r="B15" s="37" t="n">
        <v>2</v>
      </c>
      <c r="C15" s="38" t="n">
        <v>4592.85</v>
      </c>
      <c r="D15" s="38">
        <f>4541.138727+0.225904*B15</f>
        <v/>
      </c>
      <c r="E15" s="39">
        <f>C15-D15</f>
        <v/>
      </c>
      <c r="F15" s="39">
        <f>(E15-F757)^2</f>
        <v/>
      </c>
      <c r="G15" s="38">
        <f>(E15-F757)^3</f>
        <v/>
      </c>
      <c r="H15" s="38">
        <f>(E15-F757)^4</f>
        <v/>
      </c>
      <c r="I15" s="37" t="n"/>
    </row>
    <row r="16" ht="15" customHeight="1" s="28">
      <c r="A16" s="40" t="n">
        <v>4</v>
      </c>
      <c r="B16" s="40" t="n">
        <v>3</v>
      </c>
      <c r="C16" s="41" t="n">
        <v>4593.44</v>
      </c>
      <c r="D16" s="41">
        <f>4541.138727+0.225904*B16</f>
        <v/>
      </c>
      <c r="E16" s="42">
        <f>C16-D16</f>
        <v/>
      </c>
      <c r="F16" s="42">
        <f>(E16-F757)^2</f>
        <v/>
      </c>
      <c r="G16" s="41">
        <f>(E16-F757)^3</f>
        <v/>
      </c>
      <c r="H16" s="41">
        <f>(E16-F757)^4</f>
        <v/>
      </c>
      <c r="I16" s="40" t="n"/>
    </row>
    <row r="17" ht="15" customHeight="1" s="28">
      <c r="A17" s="37" t="n">
        <v>5</v>
      </c>
      <c r="B17" s="37" t="n">
        <v>4</v>
      </c>
      <c r="C17" s="38" t="n">
        <v>4597.18</v>
      </c>
      <c r="D17" s="38">
        <f>4541.138727+0.225904*B17</f>
        <v/>
      </c>
      <c r="E17" s="39">
        <f>C17-D17</f>
        <v/>
      </c>
      <c r="F17" s="39">
        <f>(E17-F757)^2</f>
        <v/>
      </c>
      <c r="G17" s="38">
        <f>(E17-F757)^3</f>
        <v/>
      </c>
      <c r="H17" s="38">
        <f>(E17-F757)^4</f>
        <v/>
      </c>
      <c r="I17" s="37" t="n"/>
    </row>
    <row r="18" ht="15" customHeight="1" s="28">
      <c r="A18" s="40" t="n">
        <v>6</v>
      </c>
      <c r="B18" s="40" t="n">
        <v>5</v>
      </c>
      <c r="C18" s="41" t="n">
        <v>4596.42</v>
      </c>
      <c r="D18" s="41">
        <f>4541.138727+0.225904*B18</f>
        <v/>
      </c>
      <c r="E18" s="42">
        <f>C18-D18</f>
        <v/>
      </c>
      <c r="F18" s="42">
        <f>(E18-F757)^2</f>
        <v/>
      </c>
      <c r="G18" s="41">
        <f>(E18-F757)^3</f>
        <v/>
      </c>
      <c r="H18" s="41">
        <f>(E18-F757)^4</f>
        <v/>
      </c>
      <c r="I18" s="40" t="n"/>
    </row>
    <row r="19" ht="15" customHeight="1" s="28">
      <c r="A19" s="37" t="n">
        <v>7</v>
      </c>
      <c r="B19" s="37" t="n">
        <v>6</v>
      </c>
      <c r="C19" s="38" t="n">
        <v>4595.82</v>
      </c>
      <c r="D19" s="38">
        <f>4541.138727+0.225904*B19</f>
        <v/>
      </c>
      <c r="E19" s="39">
        <f>C19-D19</f>
        <v/>
      </c>
      <c r="F19" s="39">
        <f>(E19-F757)^2</f>
        <v/>
      </c>
      <c r="G19" s="38">
        <f>(E19-F757)^3</f>
        <v/>
      </c>
      <c r="H19" s="38">
        <f>(E19-F757)^4</f>
        <v/>
      </c>
      <c r="I19" s="37" t="n"/>
    </row>
    <row r="20" ht="15" customHeight="1" s="28">
      <c r="A20" s="40" t="n">
        <v>8</v>
      </c>
      <c r="B20" s="40" t="n">
        <v>7</v>
      </c>
      <c r="C20" s="41" t="n">
        <v>4593.71</v>
      </c>
      <c r="D20" s="41">
        <f>4541.138727+0.225904*B20</f>
        <v/>
      </c>
      <c r="E20" s="42">
        <f>C20-D20</f>
        <v/>
      </c>
      <c r="F20" s="42">
        <f>(E20-F757)^2</f>
        <v/>
      </c>
      <c r="G20" s="41">
        <f>(E20-F757)^3</f>
        <v/>
      </c>
      <c r="H20" s="41">
        <f>(E20-F757)^4</f>
        <v/>
      </c>
      <c r="I20" s="40" t="n"/>
    </row>
    <row r="21" ht="15" customHeight="1" s="28">
      <c r="A21" s="37" t="n">
        <v>9</v>
      </c>
      <c r="B21" s="37" t="n">
        <v>8</v>
      </c>
      <c r="C21" s="38" t="n">
        <v>4594.16</v>
      </c>
      <c r="D21" s="38">
        <f>4541.138727+0.225904*B21</f>
        <v/>
      </c>
      <c r="E21" s="39">
        <f>C21-D21</f>
        <v/>
      </c>
      <c r="F21" s="39">
        <f>(E21-F757)^2</f>
        <v/>
      </c>
      <c r="G21" s="38">
        <f>(E21-F757)^3</f>
        <v/>
      </c>
      <c r="H21" s="38">
        <f>(E21-F757)^4</f>
        <v/>
      </c>
      <c r="I21" s="37" t="n"/>
    </row>
    <row r="22" ht="15" customHeight="1" s="28">
      <c r="A22" s="40" t="n">
        <v>10</v>
      </c>
      <c r="B22" s="40" t="n">
        <v>9</v>
      </c>
      <c r="C22" s="41" t="n">
        <v>4590.84</v>
      </c>
      <c r="D22" s="41">
        <f>4541.138727+0.225904*B22</f>
        <v/>
      </c>
      <c r="E22" s="42">
        <f>C22-D22</f>
        <v/>
      </c>
      <c r="F22" s="42">
        <f>(E22-F757)^2</f>
        <v/>
      </c>
      <c r="G22" s="41">
        <f>(E22-F757)^3</f>
        <v/>
      </c>
      <c r="H22" s="41">
        <f>(E22-F757)^4</f>
        <v/>
      </c>
      <c r="I22" s="40" t="n"/>
    </row>
    <row r="23" ht="15" customHeight="1" s="28">
      <c r="A23" s="37" t="n">
        <v>11</v>
      </c>
      <c r="B23" s="37" t="n">
        <v>10</v>
      </c>
      <c r="C23" s="38" t="n">
        <v>4592.2</v>
      </c>
      <c r="D23" s="38">
        <f>4541.138727+0.225904*B23</f>
        <v/>
      </c>
      <c r="E23" s="39">
        <f>C23-D23</f>
        <v/>
      </c>
      <c r="F23" s="39">
        <f>(E23-F757)^2</f>
        <v/>
      </c>
      <c r="G23" s="38">
        <f>(E23-F757)^3</f>
        <v/>
      </c>
      <c r="H23" s="38">
        <f>(E23-F757)^4</f>
        <v/>
      </c>
      <c r="I23" s="37" t="n"/>
    </row>
    <row r="24" ht="15" customHeight="1" s="28">
      <c r="A24" s="40" t="n">
        <v>12</v>
      </c>
      <c r="B24" s="40" t="n">
        <v>11</v>
      </c>
      <c r="C24" s="41" t="n">
        <v>4589.91</v>
      </c>
      <c r="D24" s="41">
        <f>4541.138727+0.225904*B24</f>
        <v/>
      </c>
      <c r="E24" s="42">
        <f>C24-D24</f>
        <v/>
      </c>
      <c r="F24" s="42">
        <f>(E24-F757)^2</f>
        <v/>
      </c>
      <c r="G24" s="41">
        <f>(E24-F757)^3</f>
        <v/>
      </c>
      <c r="H24" s="41">
        <f>(E24-F757)^4</f>
        <v/>
      </c>
      <c r="I24" s="40" t="n"/>
    </row>
    <row r="25" ht="15" customHeight="1" s="28">
      <c r="A25" s="37" t="n">
        <v>13</v>
      </c>
      <c r="B25" s="37" t="n">
        <v>12</v>
      </c>
      <c r="C25" s="38" t="n">
        <v>4595.51</v>
      </c>
      <c r="D25" s="38">
        <f>4541.138727+0.225904*B25</f>
        <v/>
      </c>
      <c r="E25" s="39">
        <f>C25-D25</f>
        <v/>
      </c>
      <c r="F25" s="39">
        <f>(E25-F757)^2</f>
        <v/>
      </c>
      <c r="G25" s="38">
        <f>(E25-F757)^3</f>
        <v/>
      </c>
      <c r="H25" s="38">
        <f>(E25-F757)^4</f>
        <v/>
      </c>
      <c r="I25" s="37" t="n"/>
    </row>
    <row r="26" ht="15" customHeight="1" s="28">
      <c r="A26" s="40" t="n">
        <v>14</v>
      </c>
      <c r="B26" s="40" t="n">
        <v>13</v>
      </c>
      <c r="C26" s="41" t="n">
        <v>4607.37</v>
      </c>
      <c r="D26" s="41">
        <f>4541.138727+0.225904*B26</f>
        <v/>
      </c>
      <c r="E26" s="42">
        <f>C26-D26</f>
        <v/>
      </c>
      <c r="F26" s="42">
        <f>(E26-F757)^2</f>
        <v/>
      </c>
      <c r="G26" s="41">
        <f>(E26-F757)^3</f>
        <v/>
      </c>
      <c r="H26" s="41">
        <f>(E26-F757)^4</f>
        <v/>
      </c>
      <c r="I26" s="40" t="n"/>
    </row>
    <row r="27" ht="15" customHeight="1" s="28">
      <c r="A27" s="37" t="n">
        <v>15</v>
      </c>
      <c r="B27" s="37" t="n">
        <v>14</v>
      </c>
      <c r="C27" s="38" t="n">
        <v>4600.13</v>
      </c>
      <c r="D27" s="38">
        <f>4541.138727+0.225904*B27</f>
        <v/>
      </c>
      <c r="E27" s="39">
        <f>C27-D27</f>
        <v/>
      </c>
      <c r="F27" s="39">
        <f>(E27-F757)^2</f>
        <v/>
      </c>
      <c r="G27" s="38">
        <f>(E27-F757)^3</f>
        <v/>
      </c>
      <c r="H27" s="38">
        <f>(E27-F757)^4</f>
        <v/>
      </c>
      <c r="I27" s="37" t="n"/>
    </row>
    <row r="28" ht="15" customHeight="1" s="28">
      <c r="A28" s="40" t="n">
        <v>16</v>
      </c>
      <c r="B28" s="40" t="n">
        <v>15</v>
      </c>
      <c r="C28" s="41" t="n">
        <v>4603.88</v>
      </c>
      <c r="D28" s="41">
        <f>4541.138727+0.225904*B28</f>
        <v/>
      </c>
      <c r="E28" s="42">
        <f>C28-D28</f>
        <v/>
      </c>
      <c r="F28" s="42">
        <f>(E28-F757)^2</f>
        <v/>
      </c>
      <c r="G28" s="41">
        <f>(E28-F757)^3</f>
        <v/>
      </c>
      <c r="H28" s="41">
        <f>(E28-F757)^4</f>
        <v/>
      </c>
      <c r="I28" s="40" t="n"/>
    </row>
    <row r="29" ht="15" customHeight="1" s="28">
      <c r="A29" s="37" t="n">
        <v>17</v>
      </c>
      <c r="B29" s="37" t="n">
        <v>16</v>
      </c>
      <c r="C29" s="38" t="n">
        <v>4600.27</v>
      </c>
      <c r="D29" s="38">
        <f>4541.138727+0.225904*B29</f>
        <v/>
      </c>
      <c r="E29" s="39">
        <f>C29-D29</f>
        <v/>
      </c>
      <c r="F29" s="39">
        <f>(E29-F757)^2</f>
        <v/>
      </c>
      <c r="G29" s="38">
        <f>(E29-F757)^3</f>
        <v/>
      </c>
      <c r="H29" s="38">
        <f>(E29-F757)^4</f>
        <v/>
      </c>
      <c r="I29" s="37" t="n"/>
    </row>
    <row r="30" ht="15" customHeight="1" s="28">
      <c r="A30" s="40" t="n">
        <v>18</v>
      </c>
      <c r="B30" s="40" t="n">
        <v>17</v>
      </c>
      <c r="C30" s="41" t="n">
        <v>4582.65</v>
      </c>
      <c r="D30" s="41">
        <f>4541.138727+0.225904*B30</f>
        <v/>
      </c>
      <c r="E30" s="42">
        <f>C30-D30</f>
        <v/>
      </c>
      <c r="F30" s="42">
        <f>(E30-F757)^2</f>
        <v/>
      </c>
      <c r="G30" s="41">
        <f>(E30-F757)^3</f>
        <v/>
      </c>
      <c r="H30" s="41">
        <f>(E30-F757)^4</f>
        <v/>
      </c>
      <c r="I30" s="40" t="n"/>
    </row>
    <row r="31" ht="15" customHeight="1" s="28">
      <c r="A31" s="37" t="n">
        <v>19</v>
      </c>
      <c r="B31" s="37" t="n">
        <v>18</v>
      </c>
      <c r="C31" s="38" t="n">
        <v>4580.48</v>
      </c>
      <c r="D31" s="38">
        <f>4541.138727+0.225904*B31</f>
        <v/>
      </c>
      <c r="E31" s="39">
        <f>C31-D31</f>
        <v/>
      </c>
      <c r="F31" s="39">
        <f>(E31-F757)^2</f>
        <v/>
      </c>
      <c r="G31" s="38">
        <f>(E31-F757)^3</f>
        <v/>
      </c>
      <c r="H31" s="38">
        <f>(E31-F757)^4</f>
        <v/>
      </c>
      <c r="I31" s="37" t="n"/>
    </row>
    <row r="32" ht="15" customHeight="1" s="28">
      <c r="A32" s="40" t="n">
        <v>20</v>
      </c>
      <c r="B32" s="40" t="n">
        <v>19</v>
      </c>
      <c r="C32" s="41" t="n">
        <v>4590.56</v>
      </c>
      <c r="D32" s="41">
        <f>4541.138727+0.225904*B32</f>
        <v/>
      </c>
      <c r="E32" s="42">
        <f>C32-D32</f>
        <v/>
      </c>
      <c r="F32" s="42">
        <f>(E32-F757)^2</f>
        <v/>
      </c>
      <c r="G32" s="41">
        <f>(E32-F757)^3</f>
        <v/>
      </c>
      <c r="H32" s="41">
        <f>(E32-F757)^4</f>
        <v/>
      </c>
      <c r="I32" s="40" t="n"/>
    </row>
    <row r="33" ht="15" customHeight="1" s="28">
      <c r="A33" s="37" t="n">
        <v>21</v>
      </c>
      <c r="B33" s="37" t="n">
        <v>20</v>
      </c>
      <c r="C33" s="38" t="n">
        <v>4584.98</v>
      </c>
      <c r="D33" s="38">
        <f>4541.138727+0.225904*B33</f>
        <v/>
      </c>
      <c r="E33" s="39">
        <f>C33-D33</f>
        <v/>
      </c>
      <c r="F33" s="39">
        <f>(E33-F757)^2</f>
        <v/>
      </c>
      <c r="G33" s="38">
        <f>(E33-F757)^3</f>
        <v/>
      </c>
      <c r="H33" s="38">
        <f>(E33-F757)^4</f>
        <v/>
      </c>
      <c r="I33" s="37" t="n"/>
    </row>
    <row r="34" ht="15" customHeight="1" s="28">
      <c r="A34" s="40" t="n">
        <v>22</v>
      </c>
      <c r="B34" s="40" t="n">
        <v>21</v>
      </c>
      <c r="C34" s="41" t="n">
        <v>4600.87</v>
      </c>
      <c r="D34" s="41">
        <f>4541.138727+0.225904*B34</f>
        <v/>
      </c>
      <c r="E34" s="42">
        <f>C34-D34</f>
        <v/>
      </c>
      <c r="F34" s="42">
        <f>(E34-F757)^2</f>
        <v/>
      </c>
      <c r="G34" s="41">
        <f>(E34-F757)^3</f>
        <v/>
      </c>
      <c r="H34" s="41">
        <f>(E34-F757)^4</f>
        <v/>
      </c>
      <c r="I34" s="40" t="n"/>
    </row>
    <row r="35" ht="15" customHeight="1" s="28">
      <c r="A35" s="37" t="n">
        <v>23</v>
      </c>
      <c r="B35" s="37" t="n">
        <v>22</v>
      </c>
      <c r="C35" s="38" t="n">
        <v>4598.93</v>
      </c>
      <c r="D35" s="38">
        <f>4541.138727+0.225904*B35</f>
        <v/>
      </c>
      <c r="E35" s="39">
        <f>C35-D35</f>
        <v/>
      </c>
      <c r="F35" s="39">
        <f>(E35-F757)^2</f>
        <v/>
      </c>
      <c r="G35" s="38">
        <f>(E35-F757)^3</f>
        <v/>
      </c>
      <c r="H35" s="38">
        <f>(E35-F757)^4</f>
        <v/>
      </c>
      <c r="I35" s="37" t="n"/>
    </row>
    <row r="36" ht="15" customHeight="1" s="28">
      <c r="A36" s="40" t="n">
        <v>24</v>
      </c>
      <c r="B36" s="40" t="n">
        <v>23</v>
      </c>
      <c r="C36" s="41" t="n">
        <v>4596.92</v>
      </c>
      <c r="D36" s="41">
        <f>4541.138727+0.225904*B36</f>
        <v/>
      </c>
      <c r="E36" s="42">
        <f>C36-D36</f>
        <v/>
      </c>
      <c r="F36" s="42">
        <f>(E36-F757)^2</f>
        <v/>
      </c>
      <c r="G36" s="41">
        <f>(E36-F757)^3</f>
        <v/>
      </c>
      <c r="H36" s="41">
        <f>(E36-F757)^4</f>
        <v/>
      </c>
      <c r="I36" s="40" t="n"/>
    </row>
    <row r="37" ht="15" customHeight="1" s="28">
      <c r="A37" s="37" t="n">
        <v>25</v>
      </c>
      <c r="B37" s="37" t="n">
        <v>24</v>
      </c>
      <c r="C37" s="38" t="n">
        <v>4593.75</v>
      </c>
      <c r="D37" s="38">
        <f>4541.138727+0.225904*B37</f>
        <v/>
      </c>
      <c r="E37" s="39">
        <f>C37-D37</f>
        <v/>
      </c>
      <c r="F37" s="39">
        <f>(E37-F757)^2</f>
        <v/>
      </c>
      <c r="G37" s="38">
        <f>(E37-F757)^3</f>
        <v/>
      </c>
      <c r="H37" s="38">
        <f>(E37-F757)^4</f>
        <v/>
      </c>
      <c r="I37" s="37" t="n"/>
    </row>
    <row r="38" ht="15" customHeight="1" s="28">
      <c r="A38" s="40" t="n">
        <v>26</v>
      </c>
      <c r="B38" s="40" t="n">
        <v>25</v>
      </c>
      <c r="C38" s="41" t="n">
        <v>4601.89</v>
      </c>
      <c r="D38" s="41">
        <f>4541.138727+0.225904*B38</f>
        <v/>
      </c>
      <c r="E38" s="42">
        <f>C38-D38</f>
        <v/>
      </c>
      <c r="F38" s="42">
        <f>(E38-F757)^2</f>
        <v/>
      </c>
      <c r="G38" s="41">
        <f>(E38-F757)^3</f>
        <v/>
      </c>
      <c r="H38" s="41">
        <f>(E38-F757)^4</f>
        <v/>
      </c>
      <c r="I38" s="40" t="n"/>
    </row>
    <row r="39" ht="15" customHeight="1" s="28">
      <c r="A39" s="37" t="n">
        <v>27</v>
      </c>
      <c r="B39" s="37" t="n">
        <v>26</v>
      </c>
      <c r="C39" s="38" t="n">
        <v>4598.67</v>
      </c>
      <c r="D39" s="38">
        <f>4541.138727+0.225904*B39</f>
        <v/>
      </c>
      <c r="E39" s="39">
        <f>C39-D39</f>
        <v/>
      </c>
      <c r="F39" s="39">
        <f>(E39-F757)^2</f>
        <v/>
      </c>
      <c r="G39" s="38">
        <f>(E39-F757)^3</f>
        <v/>
      </c>
      <c r="H39" s="38">
        <f>(E39-F757)^4</f>
        <v/>
      </c>
      <c r="I39" s="37" t="n"/>
    </row>
    <row r="40" ht="15" customHeight="1" s="28">
      <c r="A40" s="40" t="n">
        <v>28</v>
      </c>
      <c r="B40" s="40" t="n">
        <v>27</v>
      </c>
      <c r="C40" s="41" t="n">
        <v>4593.91</v>
      </c>
      <c r="D40" s="41">
        <f>4541.138727+0.225904*B40</f>
        <v/>
      </c>
      <c r="E40" s="42">
        <f>C40-D40</f>
        <v/>
      </c>
      <c r="F40" s="42">
        <f>(E40-F757)^2</f>
        <v/>
      </c>
      <c r="G40" s="41">
        <f>(E40-F757)^3</f>
        <v/>
      </c>
      <c r="H40" s="41">
        <f>(E40-F757)^4</f>
        <v/>
      </c>
      <c r="I40" s="40" t="n"/>
    </row>
    <row r="41" ht="15" customHeight="1" s="28">
      <c r="A41" s="37" t="n">
        <v>29</v>
      </c>
      <c r="B41" s="37" t="n">
        <v>28</v>
      </c>
      <c r="C41" s="38" t="n">
        <v>4595.48</v>
      </c>
      <c r="D41" s="38">
        <f>4541.138727+0.225904*B41</f>
        <v/>
      </c>
      <c r="E41" s="39">
        <f>C41-D41</f>
        <v/>
      </c>
      <c r="F41" s="39">
        <f>(E41-F757)^2</f>
        <v/>
      </c>
      <c r="G41" s="38">
        <f>(E41-F757)^3</f>
        <v/>
      </c>
      <c r="H41" s="38">
        <f>(E41-F757)^4</f>
        <v/>
      </c>
      <c r="I41" s="37" t="n"/>
    </row>
    <row r="42" ht="15" customHeight="1" s="28">
      <c r="A42" s="40" t="n">
        <v>30</v>
      </c>
      <c r="B42" s="40" t="n">
        <v>29</v>
      </c>
      <c r="C42" s="41" t="n">
        <v>4600.68</v>
      </c>
      <c r="D42" s="41">
        <f>4541.138727+0.225904*B42</f>
        <v/>
      </c>
      <c r="E42" s="42">
        <f>C42-D42</f>
        <v/>
      </c>
      <c r="F42" s="42">
        <f>(E42-F757)^2</f>
        <v/>
      </c>
      <c r="G42" s="41">
        <f>(E42-F757)^3</f>
        <v/>
      </c>
      <c r="H42" s="41">
        <f>(E42-F757)^4</f>
        <v/>
      </c>
      <c r="I42" s="40" t="n"/>
    </row>
    <row r="43" ht="15" customHeight="1" s="28">
      <c r="A43" s="37" t="n">
        <v>31</v>
      </c>
      <c r="B43" s="37" t="n">
        <v>30</v>
      </c>
      <c r="C43" s="38" t="n">
        <v>4601.86</v>
      </c>
      <c r="D43" s="38">
        <f>4541.138727+0.225904*B43</f>
        <v/>
      </c>
      <c r="E43" s="39">
        <f>C43-D43</f>
        <v/>
      </c>
      <c r="F43" s="39">
        <f>(E43-F757)^2</f>
        <v/>
      </c>
      <c r="G43" s="38">
        <f>(E43-F757)^3</f>
        <v/>
      </c>
      <c r="H43" s="38">
        <f>(E43-F757)^4</f>
        <v/>
      </c>
      <c r="I43" s="37" t="n"/>
    </row>
    <row r="44" ht="15" customHeight="1" s="28">
      <c r="A44" s="40" t="n">
        <v>32</v>
      </c>
      <c r="B44" s="40" t="n">
        <v>31</v>
      </c>
      <c r="C44" s="41" t="n">
        <v>4602.15</v>
      </c>
      <c r="D44" s="41">
        <f>4541.138727+0.225904*B44</f>
        <v/>
      </c>
      <c r="E44" s="42">
        <f>C44-D44</f>
        <v/>
      </c>
      <c r="F44" s="42">
        <f>(E44-F757)^2</f>
        <v/>
      </c>
      <c r="G44" s="41">
        <f>(E44-F757)^3</f>
        <v/>
      </c>
      <c r="H44" s="41">
        <f>(E44-F757)^4</f>
        <v/>
      </c>
      <c r="I44" s="40" t="n"/>
    </row>
    <row r="45" ht="15" customHeight="1" s="28">
      <c r="A45" s="37" t="n">
        <v>33</v>
      </c>
      <c r="B45" s="37" t="n">
        <v>32</v>
      </c>
      <c r="C45" s="38" t="n">
        <v>4604.85</v>
      </c>
      <c r="D45" s="38">
        <f>4541.138727+0.225904*B45</f>
        <v/>
      </c>
      <c r="E45" s="39">
        <f>C45-D45</f>
        <v/>
      </c>
      <c r="F45" s="39">
        <f>(E45-F757)^2</f>
        <v/>
      </c>
      <c r="G45" s="38">
        <f>(E45-F757)^3</f>
        <v/>
      </c>
      <c r="H45" s="38">
        <f>(E45-F757)^4</f>
        <v/>
      </c>
      <c r="I45" s="37" t="n"/>
    </row>
    <row r="46" ht="15" customHeight="1" s="28">
      <c r="A46" s="40" t="n">
        <v>34</v>
      </c>
      <c r="B46" s="40" t="n">
        <v>33</v>
      </c>
      <c r="C46" s="41" t="n">
        <v>4601.15</v>
      </c>
      <c r="D46" s="41">
        <f>4541.138727+0.225904*B46</f>
        <v/>
      </c>
      <c r="E46" s="42">
        <f>C46-D46</f>
        <v/>
      </c>
      <c r="F46" s="42">
        <f>(E46-F757)^2</f>
        <v/>
      </c>
      <c r="G46" s="41">
        <f>(E46-F757)^3</f>
        <v/>
      </c>
      <c r="H46" s="41">
        <f>(E46-F757)^4</f>
        <v/>
      </c>
      <c r="I46" s="40" t="n"/>
    </row>
    <row r="47" ht="15" customHeight="1" s="28">
      <c r="A47" s="37" t="n">
        <v>35</v>
      </c>
      <c r="B47" s="37" t="n">
        <v>34</v>
      </c>
      <c r="C47" s="38" t="n">
        <v>4600.72</v>
      </c>
      <c r="D47" s="38">
        <f>4541.138727+0.225904*B47</f>
        <v/>
      </c>
      <c r="E47" s="39">
        <f>C47-D47</f>
        <v/>
      </c>
      <c r="F47" s="39">
        <f>(E47-F757)^2</f>
        <v/>
      </c>
      <c r="G47" s="38">
        <f>(E47-F757)^3</f>
        <v/>
      </c>
      <c r="H47" s="38">
        <f>(E47-F757)^4</f>
        <v/>
      </c>
      <c r="I47" s="37" t="n"/>
    </row>
    <row r="48" ht="15" customHeight="1" s="28">
      <c r="A48" s="40" t="n">
        <v>36</v>
      </c>
      <c r="B48" s="40" t="n">
        <v>35</v>
      </c>
      <c r="C48" s="41" t="n">
        <v>4599.05</v>
      </c>
      <c r="D48" s="41">
        <f>4541.138727+0.225904*B48</f>
        <v/>
      </c>
      <c r="E48" s="42">
        <f>C48-D48</f>
        <v/>
      </c>
      <c r="F48" s="42">
        <f>(E48-F757)^2</f>
        <v/>
      </c>
      <c r="G48" s="41">
        <f>(E48-F757)^3</f>
        <v/>
      </c>
      <c r="H48" s="41">
        <f>(E48-F757)^4</f>
        <v/>
      </c>
      <c r="I48" s="40" t="n"/>
    </row>
    <row r="49" ht="15" customHeight="1" s="28">
      <c r="A49" s="37" t="n">
        <v>37</v>
      </c>
      <c r="B49" s="37" t="n">
        <v>36</v>
      </c>
      <c r="C49" s="38" t="n">
        <v>4590.9</v>
      </c>
      <c r="D49" s="38">
        <f>4541.138727+0.225904*B49</f>
        <v/>
      </c>
      <c r="E49" s="39">
        <f>C49-D49</f>
        <v/>
      </c>
      <c r="F49" s="39">
        <f>(E49-F757)^2</f>
        <v/>
      </c>
      <c r="G49" s="38">
        <f>(E49-F757)^3</f>
        <v/>
      </c>
      <c r="H49" s="38">
        <f>(E49-F757)^4</f>
        <v/>
      </c>
      <c r="I49" s="37" t="n"/>
    </row>
    <row r="50" ht="15" customHeight="1" s="28">
      <c r="A50" s="40" t="n">
        <v>38</v>
      </c>
      <c r="B50" s="40" t="n">
        <v>37</v>
      </c>
      <c r="C50" s="41" t="n">
        <v>4588.73</v>
      </c>
      <c r="D50" s="41">
        <f>4541.138727+0.225904*B50</f>
        <v/>
      </c>
      <c r="E50" s="42">
        <f>C50-D50</f>
        <v/>
      </c>
      <c r="F50" s="42">
        <f>(E50-F757)^2</f>
        <v/>
      </c>
      <c r="G50" s="41">
        <f>(E50-F757)^3</f>
        <v/>
      </c>
      <c r="H50" s="41">
        <f>(E50-F757)^4</f>
        <v/>
      </c>
      <c r="I50" s="40" t="n"/>
    </row>
    <row r="51" ht="15" customHeight="1" s="28">
      <c r="A51" s="37" t="n">
        <v>39</v>
      </c>
      <c r="B51" s="37" t="n">
        <v>38</v>
      </c>
      <c r="C51" s="38" t="n">
        <v>4585.04</v>
      </c>
      <c r="D51" s="38">
        <f>4541.138727+0.225904*B51</f>
        <v/>
      </c>
      <c r="E51" s="39">
        <f>C51-D51</f>
        <v/>
      </c>
      <c r="F51" s="39">
        <f>(E51-F757)^2</f>
        <v/>
      </c>
      <c r="G51" s="38">
        <f>(E51-F757)^3</f>
        <v/>
      </c>
      <c r="H51" s="38">
        <f>(E51-F757)^4</f>
        <v/>
      </c>
      <c r="I51" s="37" t="n"/>
    </row>
    <row r="52" ht="15" customHeight="1" s="28">
      <c r="A52" s="40" t="n">
        <v>40</v>
      </c>
      <c r="B52" s="40" t="n">
        <v>39</v>
      </c>
      <c r="C52" s="41" t="n">
        <v>4585.03</v>
      </c>
      <c r="D52" s="41">
        <f>4541.138727+0.225904*B52</f>
        <v/>
      </c>
      <c r="E52" s="42">
        <f>C52-D52</f>
        <v/>
      </c>
      <c r="F52" s="42">
        <f>(E52-F757)^2</f>
        <v/>
      </c>
      <c r="G52" s="41">
        <f>(E52-F757)^3</f>
        <v/>
      </c>
      <c r="H52" s="41">
        <f>(E52-F757)^4</f>
        <v/>
      </c>
      <c r="I52" s="40" t="n"/>
    </row>
    <row r="53" ht="15" customHeight="1" s="28">
      <c r="A53" s="37" t="n">
        <v>41</v>
      </c>
      <c r="B53" s="37" t="n">
        <v>40</v>
      </c>
      <c r="C53" s="38" t="n">
        <v>4584.52</v>
      </c>
      <c r="D53" s="38">
        <f>4541.138727+0.225904*B53</f>
        <v/>
      </c>
      <c r="E53" s="39">
        <f>C53-D53</f>
        <v/>
      </c>
      <c r="F53" s="39">
        <f>(E53-F757)^2</f>
        <v/>
      </c>
      <c r="G53" s="38">
        <f>(E53-F757)^3</f>
        <v/>
      </c>
      <c r="H53" s="38">
        <f>(E53-F757)^4</f>
        <v/>
      </c>
      <c r="I53" s="37" t="n"/>
    </row>
    <row r="54" ht="15" customHeight="1" s="28">
      <c r="A54" s="40" t="n">
        <v>42</v>
      </c>
      <c r="B54" s="40" t="n">
        <v>41</v>
      </c>
      <c r="C54" s="41" t="n">
        <v>4578.72</v>
      </c>
      <c r="D54" s="41">
        <f>4541.138727+0.225904*B54</f>
        <v/>
      </c>
      <c r="E54" s="42">
        <f>C54-D54</f>
        <v/>
      </c>
      <c r="F54" s="42">
        <f>(E54-F757)^2</f>
        <v/>
      </c>
      <c r="G54" s="41">
        <f>(E54-F757)^3</f>
        <v/>
      </c>
      <c r="H54" s="41">
        <f>(E54-F757)^4</f>
        <v/>
      </c>
      <c r="I54" s="40" t="n"/>
    </row>
    <row r="55" ht="15" customHeight="1" s="28">
      <c r="A55" s="37" t="n">
        <v>43</v>
      </c>
      <c r="B55" s="37" t="n">
        <v>42</v>
      </c>
      <c r="C55" s="38" t="n">
        <v>4575.11</v>
      </c>
      <c r="D55" s="38">
        <f>4541.138727+0.225904*B55</f>
        <v/>
      </c>
      <c r="E55" s="39">
        <f>C55-D55</f>
        <v/>
      </c>
      <c r="F55" s="39">
        <f>(E55-F757)^2</f>
        <v/>
      </c>
      <c r="G55" s="38">
        <f>(E55-F757)^3</f>
        <v/>
      </c>
      <c r="H55" s="38">
        <f>(E55-F757)^4</f>
        <v/>
      </c>
      <c r="I55" s="37" t="n"/>
    </row>
    <row r="56" ht="15" customHeight="1" s="28">
      <c r="A56" s="40" t="n">
        <v>44</v>
      </c>
      <c r="B56" s="40" t="n">
        <v>43</v>
      </c>
      <c r="C56" s="41" t="n">
        <v>4570.56</v>
      </c>
      <c r="D56" s="41">
        <f>4541.138727+0.225904*B56</f>
        <v/>
      </c>
      <c r="E56" s="42">
        <f>C56-D56</f>
        <v/>
      </c>
      <c r="F56" s="42">
        <f>(E56-F757)^2</f>
        <v/>
      </c>
      <c r="G56" s="41">
        <f>(E56-F757)^3</f>
        <v/>
      </c>
      <c r="H56" s="41">
        <f>(E56-F757)^4</f>
        <v/>
      </c>
      <c r="I56" s="40" t="n"/>
    </row>
    <row r="57" ht="15" customHeight="1" s="28">
      <c r="A57" s="37" t="n">
        <v>45</v>
      </c>
      <c r="B57" s="37" t="n">
        <v>44</v>
      </c>
      <c r="C57" s="38" t="n">
        <v>4567.92</v>
      </c>
      <c r="D57" s="38">
        <f>4541.138727+0.225904*B57</f>
        <v/>
      </c>
      <c r="E57" s="39">
        <f>C57-D57</f>
        <v/>
      </c>
      <c r="F57" s="39">
        <f>(E57-F757)^2</f>
        <v/>
      </c>
      <c r="G57" s="38">
        <f>(E57-F757)^3</f>
        <v/>
      </c>
      <c r="H57" s="38">
        <f>(E57-F757)^4</f>
        <v/>
      </c>
      <c r="I57" s="37" t="n"/>
    </row>
    <row r="58" ht="15" customHeight="1" s="28">
      <c r="A58" s="40" t="n">
        <v>46</v>
      </c>
      <c r="B58" s="40" t="n">
        <v>45</v>
      </c>
      <c r="C58" s="41" t="n">
        <v>4565.44</v>
      </c>
      <c r="D58" s="41">
        <f>4541.138727+0.225904*B58</f>
        <v/>
      </c>
      <c r="E58" s="42">
        <f>C58-D58</f>
        <v/>
      </c>
      <c r="F58" s="42">
        <f>(E58-F757)^2</f>
        <v/>
      </c>
      <c r="G58" s="41">
        <f>(E58-F757)^3</f>
        <v/>
      </c>
      <c r="H58" s="41">
        <f>(E58-F757)^4</f>
        <v/>
      </c>
      <c r="I58" s="40" t="n"/>
    </row>
    <row r="59" ht="15" customHeight="1" s="28">
      <c r="A59" s="37" t="n">
        <v>47</v>
      </c>
      <c r="B59" s="37" t="n">
        <v>46</v>
      </c>
      <c r="C59" s="38" t="n">
        <v>4566.65</v>
      </c>
      <c r="D59" s="38">
        <f>4541.138727+0.225904*B59</f>
        <v/>
      </c>
      <c r="E59" s="39">
        <f>C59-D59</f>
        <v/>
      </c>
      <c r="F59" s="39">
        <f>(E59-F757)^2</f>
        <v/>
      </c>
      <c r="G59" s="38">
        <f>(E59-F757)^3</f>
        <v/>
      </c>
      <c r="H59" s="38">
        <f>(E59-F757)^4</f>
        <v/>
      </c>
      <c r="I59" s="37" t="n"/>
    </row>
    <row r="60" ht="15" customHeight="1" s="28">
      <c r="A60" s="40" t="n">
        <v>48</v>
      </c>
      <c r="B60" s="40" t="n">
        <v>47</v>
      </c>
      <c r="C60" s="41" t="n">
        <v>4568.37</v>
      </c>
      <c r="D60" s="41">
        <f>4541.138727+0.225904*B60</f>
        <v/>
      </c>
      <c r="E60" s="42">
        <f>C60-D60</f>
        <v/>
      </c>
      <c r="F60" s="42">
        <f>(E60-F757)^2</f>
        <v/>
      </c>
      <c r="G60" s="41">
        <f>(E60-F757)^3</f>
        <v/>
      </c>
      <c r="H60" s="41">
        <f>(E60-F757)^4</f>
        <v/>
      </c>
      <c r="I60" s="40" t="n"/>
    </row>
    <row r="61" ht="15" customHeight="1" s="28">
      <c r="A61" s="37" t="n">
        <v>49</v>
      </c>
      <c r="B61" s="37" t="n">
        <v>48</v>
      </c>
      <c r="C61" s="38" t="n">
        <v>4573.2</v>
      </c>
      <c r="D61" s="38">
        <f>4541.138727+0.225904*B61</f>
        <v/>
      </c>
      <c r="E61" s="39">
        <f>C61-D61</f>
        <v/>
      </c>
      <c r="F61" s="39">
        <f>(E61-F757)^2</f>
        <v/>
      </c>
      <c r="G61" s="38">
        <f>(E61-F757)^3</f>
        <v/>
      </c>
      <c r="H61" s="38">
        <f>(E61-F757)^4</f>
        <v/>
      </c>
      <c r="I61" s="37" t="n"/>
    </row>
    <row r="62" ht="15" customHeight="1" s="28">
      <c r="A62" s="40" t="n">
        <v>50</v>
      </c>
      <c r="B62" s="40" t="n">
        <v>49</v>
      </c>
      <c r="C62" s="41" t="n">
        <v>4574.2</v>
      </c>
      <c r="D62" s="41">
        <f>4541.138727+0.225904*B62</f>
        <v/>
      </c>
      <c r="E62" s="42">
        <f>C62-D62</f>
        <v/>
      </c>
      <c r="F62" s="42">
        <f>(E62-F757)^2</f>
        <v/>
      </c>
      <c r="G62" s="41">
        <f>(E62-F757)^3</f>
        <v/>
      </c>
      <c r="H62" s="41">
        <f>(E62-F757)^4</f>
        <v/>
      </c>
      <c r="I62" s="40" t="n"/>
    </row>
    <row r="63" ht="15" customHeight="1" s="28">
      <c r="A63" s="37" t="n">
        <v>51</v>
      </c>
      <c r="B63" s="37" t="n">
        <v>50</v>
      </c>
      <c r="C63" s="38" t="n">
        <v>4565.69</v>
      </c>
      <c r="D63" s="38">
        <f>4541.138727+0.225904*B63</f>
        <v/>
      </c>
      <c r="E63" s="39">
        <f>C63-D63</f>
        <v/>
      </c>
      <c r="F63" s="39">
        <f>(E63-F757)^2</f>
        <v/>
      </c>
      <c r="G63" s="38">
        <f>(E63-F757)^3</f>
        <v/>
      </c>
      <c r="H63" s="38">
        <f>(E63-F757)^4</f>
        <v/>
      </c>
      <c r="I63" s="37" t="n"/>
    </row>
    <row r="64" ht="15" customHeight="1" s="28">
      <c r="A64" s="40" t="n">
        <v>52</v>
      </c>
      <c r="B64" s="40" t="n">
        <v>51</v>
      </c>
      <c r="C64" s="41" t="n">
        <v>4558.86</v>
      </c>
      <c r="D64" s="41">
        <f>4541.138727+0.225904*B64</f>
        <v/>
      </c>
      <c r="E64" s="42">
        <f>C64-D64</f>
        <v/>
      </c>
      <c r="F64" s="42">
        <f>(E64-F757)^2</f>
        <v/>
      </c>
      <c r="G64" s="41">
        <f>(E64-F757)^3</f>
        <v/>
      </c>
      <c r="H64" s="41">
        <f>(E64-F757)^4</f>
        <v/>
      </c>
      <c r="I64" s="40" t="n"/>
    </row>
    <row r="65" ht="15" customHeight="1" s="28">
      <c r="A65" s="37" t="n">
        <v>53</v>
      </c>
      <c r="B65" s="37" t="n">
        <v>52</v>
      </c>
      <c r="C65" s="38" t="n">
        <v>4555.94</v>
      </c>
      <c r="D65" s="38">
        <f>4541.138727+0.225904*B65</f>
        <v/>
      </c>
      <c r="E65" s="39">
        <f>C65-D65</f>
        <v/>
      </c>
      <c r="F65" s="39">
        <f>(E65-F757)^2</f>
        <v/>
      </c>
      <c r="G65" s="38">
        <f>(E65-F757)^3</f>
        <v/>
      </c>
      <c r="H65" s="38">
        <f>(E65-F757)^4</f>
        <v/>
      </c>
      <c r="I65" s="37" t="n"/>
    </row>
    <row r="66" ht="15" customHeight="1" s="28">
      <c r="A66" s="40" t="n">
        <v>54</v>
      </c>
      <c r="B66" s="40" t="n">
        <v>53</v>
      </c>
      <c r="C66" s="41" t="n">
        <v>4568.04</v>
      </c>
      <c r="D66" s="41">
        <f>4541.138727+0.225904*B66</f>
        <v/>
      </c>
      <c r="E66" s="42">
        <f>C66-D66</f>
        <v/>
      </c>
      <c r="F66" s="42">
        <f>(E66-F757)^2</f>
        <v/>
      </c>
      <c r="G66" s="41">
        <f>(E66-F757)^3</f>
        <v/>
      </c>
      <c r="H66" s="41">
        <f>(E66-F757)^4</f>
        <v/>
      </c>
      <c r="I66" s="40" t="n"/>
    </row>
    <row r="67" ht="15" customHeight="1" s="28">
      <c r="A67" s="37" t="n">
        <v>55</v>
      </c>
      <c r="B67" s="37" t="n">
        <v>54</v>
      </c>
      <c r="C67" s="38" t="n">
        <v>4571.78</v>
      </c>
      <c r="D67" s="38">
        <f>4541.138727+0.225904*B67</f>
        <v/>
      </c>
      <c r="E67" s="39">
        <f>C67-D67</f>
        <v/>
      </c>
      <c r="F67" s="39">
        <f>(E67-F757)^2</f>
        <v/>
      </c>
      <c r="G67" s="38">
        <f>(E67-F757)^3</f>
        <v/>
      </c>
      <c r="H67" s="38">
        <f>(E67-F757)^4</f>
        <v/>
      </c>
      <c r="I67" s="37" t="n"/>
    </row>
    <row r="68" ht="15" customHeight="1" s="28">
      <c r="A68" s="40" t="n">
        <v>56</v>
      </c>
      <c r="B68" s="40" t="n">
        <v>55</v>
      </c>
      <c r="C68" s="41" t="n">
        <v>4566.36</v>
      </c>
      <c r="D68" s="41">
        <f>4541.138727+0.225904*B68</f>
        <v/>
      </c>
      <c r="E68" s="42">
        <f>C68-D68</f>
        <v/>
      </c>
      <c r="F68" s="42">
        <f>(E68-F757)^2</f>
        <v/>
      </c>
      <c r="G68" s="41">
        <f>(E68-F757)^3</f>
        <v/>
      </c>
      <c r="H68" s="41">
        <f>(E68-F757)^4</f>
        <v/>
      </c>
      <c r="I68" s="40" t="n"/>
    </row>
    <row r="69" ht="15" customHeight="1" s="28">
      <c r="A69" s="37" t="n">
        <v>57</v>
      </c>
      <c r="B69" s="37" t="n">
        <v>56</v>
      </c>
      <c r="C69" s="38" t="n">
        <v>4569.98</v>
      </c>
      <c r="D69" s="38">
        <f>4541.138727+0.225904*B69</f>
        <v/>
      </c>
      <c r="E69" s="39">
        <f>C69-D69</f>
        <v/>
      </c>
      <c r="F69" s="39">
        <f>(E69-F757)^2</f>
        <v/>
      </c>
      <c r="G69" s="38">
        <f>(E69-F757)^3</f>
        <v/>
      </c>
      <c r="H69" s="38">
        <f>(E69-F757)^4</f>
        <v/>
      </c>
      <c r="I69" s="37" t="n"/>
    </row>
    <row r="70" ht="15" customHeight="1" s="28">
      <c r="A70" s="40" t="n">
        <v>58</v>
      </c>
      <c r="B70" s="40" t="n">
        <v>57</v>
      </c>
      <c r="C70" s="41" t="n">
        <v>4568.02</v>
      </c>
      <c r="D70" s="41">
        <f>4541.138727+0.225904*B70</f>
        <v/>
      </c>
      <c r="E70" s="42">
        <f>C70-D70</f>
        <v/>
      </c>
      <c r="F70" s="42">
        <f>(E70-F757)^2</f>
        <v/>
      </c>
      <c r="G70" s="41">
        <f>(E70-F757)^3</f>
        <v/>
      </c>
      <c r="H70" s="41">
        <f>(E70-F757)^4</f>
        <v/>
      </c>
      <c r="I70" s="40" t="n"/>
    </row>
    <row r="71" ht="15" customHeight="1" s="28">
      <c r="A71" s="37" t="n">
        <v>59</v>
      </c>
      <c r="B71" s="37" t="n">
        <v>58</v>
      </c>
      <c r="C71" s="38" t="n">
        <v>4564.76</v>
      </c>
      <c r="D71" s="38">
        <f>4541.138727+0.225904*B71</f>
        <v/>
      </c>
      <c r="E71" s="39">
        <f>C71-D71</f>
        <v/>
      </c>
      <c r="F71" s="39">
        <f>(E71-F757)^2</f>
        <v/>
      </c>
      <c r="G71" s="38">
        <f>(E71-F757)^3</f>
        <v/>
      </c>
      <c r="H71" s="38">
        <f>(E71-F757)^4</f>
        <v/>
      </c>
      <c r="I71" s="37" t="n"/>
    </row>
    <row r="72" ht="15" customHeight="1" s="28">
      <c r="A72" s="40" t="n">
        <v>60</v>
      </c>
      <c r="B72" s="40" t="n">
        <v>59</v>
      </c>
      <c r="C72" s="41" t="n">
        <v>4567.03</v>
      </c>
      <c r="D72" s="41">
        <f>4541.138727+0.225904*B72</f>
        <v/>
      </c>
      <c r="E72" s="42">
        <f>C72-D72</f>
        <v/>
      </c>
      <c r="F72" s="42">
        <f>(E72-F757)^2</f>
        <v/>
      </c>
      <c r="G72" s="41">
        <f>(E72-F757)^3</f>
        <v/>
      </c>
      <c r="H72" s="41">
        <f>(E72-F757)^4</f>
        <v/>
      </c>
      <c r="I72" s="40" t="n"/>
    </row>
    <row r="73" ht="15" customHeight="1" s="28">
      <c r="A73" s="37" t="n">
        <v>61</v>
      </c>
      <c r="B73" s="37" t="n">
        <v>60</v>
      </c>
      <c r="C73" s="38" t="n">
        <v>4561.87</v>
      </c>
      <c r="D73" s="38">
        <f>4541.138727+0.225904*B73</f>
        <v/>
      </c>
      <c r="E73" s="39">
        <f>C73-D73</f>
        <v/>
      </c>
      <c r="F73" s="39">
        <f>(E73-F757)^2</f>
        <v/>
      </c>
      <c r="G73" s="38">
        <f>(E73-F757)^3</f>
        <v/>
      </c>
      <c r="H73" s="38">
        <f>(E73-F757)^4</f>
        <v/>
      </c>
      <c r="I73" s="37" t="n"/>
    </row>
    <row r="74" ht="15" customHeight="1" s="28">
      <c r="A74" s="40" t="n">
        <v>62</v>
      </c>
      <c r="B74" s="40" t="n">
        <v>61</v>
      </c>
      <c r="C74" s="41" t="n">
        <v>4564.41</v>
      </c>
      <c r="D74" s="41">
        <f>4541.138727+0.225904*B74</f>
        <v/>
      </c>
      <c r="E74" s="42">
        <f>C74-D74</f>
        <v/>
      </c>
      <c r="F74" s="42">
        <f>(E74-F757)^2</f>
        <v/>
      </c>
      <c r="G74" s="41">
        <f>(E74-F757)^3</f>
        <v/>
      </c>
      <c r="H74" s="41">
        <f>(E74-F757)^4</f>
        <v/>
      </c>
      <c r="I74" s="40" t="n"/>
    </row>
    <row r="75" ht="15" customHeight="1" s="28">
      <c r="A75" s="37" t="n">
        <v>63</v>
      </c>
      <c r="B75" s="37" t="n">
        <v>62</v>
      </c>
      <c r="C75" s="38" t="n">
        <v>4559.4</v>
      </c>
      <c r="D75" s="38">
        <f>4541.138727+0.225904*B75</f>
        <v/>
      </c>
      <c r="E75" s="39">
        <f>C75-D75</f>
        <v/>
      </c>
      <c r="F75" s="39">
        <f>(E75-F757)^2</f>
        <v/>
      </c>
      <c r="G75" s="38">
        <f>(E75-F757)^3</f>
        <v/>
      </c>
      <c r="H75" s="38">
        <f>(E75-F757)^4</f>
        <v/>
      </c>
      <c r="I75" s="37" t="n"/>
    </row>
    <row r="76" ht="15" customHeight="1" s="28">
      <c r="A76" s="40" t="n">
        <v>64</v>
      </c>
      <c r="B76" s="40" t="n">
        <v>63</v>
      </c>
      <c r="C76" s="41" t="n">
        <v>4557.62</v>
      </c>
      <c r="D76" s="41">
        <f>4541.138727+0.225904*B76</f>
        <v/>
      </c>
      <c r="E76" s="42">
        <f>C76-D76</f>
        <v/>
      </c>
      <c r="F76" s="42">
        <f>(E76-F757)^2</f>
        <v/>
      </c>
      <c r="G76" s="41">
        <f>(E76-F757)^3</f>
        <v/>
      </c>
      <c r="H76" s="41">
        <f>(E76-F757)^4</f>
        <v/>
      </c>
      <c r="I76" s="40" t="n"/>
    </row>
    <row r="77" ht="15" customHeight="1" s="28">
      <c r="A77" s="37" t="n">
        <v>65</v>
      </c>
      <c r="B77" s="37" t="n">
        <v>64</v>
      </c>
      <c r="C77" s="38" t="n">
        <v>4544.9</v>
      </c>
      <c r="D77" s="38">
        <f>4541.138727+0.225904*B77</f>
        <v/>
      </c>
      <c r="E77" s="39">
        <f>C77-D77</f>
        <v/>
      </c>
      <c r="F77" s="39">
        <f>(E77-F757)^2</f>
        <v/>
      </c>
      <c r="G77" s="38">
        <f>(E77-F757)^3</f>
        <v/>
      </c>
      <c r="H77" s="38">
        <f>(E77-F757)^4</f>
        <v/>
      </c>
      <c r="I77" s="37" t="n"/>
    </row>
    <row r="78" ht="15" customHeight="1" s="28">
      <c r="A78" s="40" t="n">
        <v>66</v>
      </c>
      <c r="B78" s="40" t="n">
        <v>65</v>
      </c>
      <c r="C78" s="41" t="n">
        <v>4549.8</v>
      </c>
      <c r="D78" s="41">
        <f>4541.138727+0.225904*B78</f>
        <v/>
      </c>
      <c r="E78" s="42">
        <f>C78-D78</f>
        <v/>
      </c>
      <c r="F78" s="42">
        <f>(E78-F757)^2</f>
        <v/>
      </c>
      <c r="G78" s="41">
        <f>(E78-F757)^3</f>
        <v/>
      </c>
      <c r="H78" s="41">
        <f>(E78-F757)^4</f>
        <v/>
      </c>
      <c r="I78" s="40" t="n"/>
    </row>
    <row r="79" ht="15" customHeight="1" s="28">
      <c r="A79" s="37" t="n">
        <v>67</v>
      </c>
      <c r="B79" s="37" t="n">
        <v>66</v>
      </c>
      <c r="C79" s="38" t="n">
        <v>4537.82</v>
      </c>
      <c r="D79" s="38">
        <f>4541.138727+0.225904*B79</f>
        <v/>
      </c>
      <c r="E79" s="39">
        <f>C79-D79</f>
        <v/>
      </c>
      <c r="F79" s="39">
        <f>(E79-F757)^2</f>
        <v/>
      </c>
      <c r="G79" s="38">
        <f>(E79-F757)^3</f>
        <v/>
      </c>
      <c r="H79" s="38">
        <f>(E79-F757)^4</f>
        <v/>
      </c>
      <c r="I79" s="37" t="n"/>
    </row>
    <row r="80" ht="15" customHeight="1" s="28">
      <c r="A80" s="40" t="n">
        <v>68</v>
      </c>
      <c r="B80" s="40" t="n">
        <v>67</v>
      </c>
      <c r="C80" s="41" t="n">
        <v>4514.81</v>
      </c>
      <c r="D80" s="41">
        <f>4541.138727+0.225904*B80</f>
        <v/>
      </c>
      <c r="E80" s="42">
        <f>C80-D80</f>
        <v/>
      </c>
      <c r="F80" s="42">
        <f>(E80-F757)^2</f>
        <v/>
      </c>
      <c r="G80" s="41">
        <f>(E80-F757)^3</f>
        <v/>
      </c>
      <c r="H80" s="41">
        <f>(E80-F757)^4</f>
        <v/>
      </c>
      <c r="I80" s="40" t="n"/>
    </row>
    <row r="81" ht="15" customHeight="1" s="28">
      <c r="A81" s="37" t="n">
        <v>69</v>
      </c>
      <c r="B81" s="37" t="n">
        <v>68</v>
      </c>
      <c r="C81" s="38" t="n">
        <v>4521.71</v>
      </c>
      <c r="D81" s="38">
        <f>4541.138727+0.225904*B81</f>
        <v/>
      </c>
      <c r="E81" s="39">
        <f>C81-D81</f>
        <v/>
      </c>
      <c r="F81" s="39">
        <f>(E81-F757)^2</f>
        <v/>
      </c>
      <c r="G81" s="38">
        <f>(E81-F757)^3</f>
        <v/>
      </c>
      <c r="H81" s="38">
        <f>(E81-F757)^4</f>
        <v/>
      </c>
      <c r="I81" s="37" t="n"/>
    </row>
    <row r="82" ht="15" customHeight="1" s="28">
      <c r="A82" s="40" t="n">
        <v>70</v>
      </c>
      <c r="B82" s="40" t="n">
        <v>69</v>
      </c>
      <c r="C82" s="41" t="n">
        <v>4526.15</v>
      </c>
      <c r="D82" s="41">
        <f>4541.138727+0.225904*B82</f>
        <v/>
      </c>
      <c r="E82" s="42">
        <f>C82-D82</f>
        <v/>
      </c>
      <c r="F82" s="42">
        <f>(E82-F757)^2</f>
        <v/>
      </c>
      <c r="G82" s="41">
        <f>(E82-F757)^3</f>
        <v/>
      </c>
      <c r="H82" s="41">
        <f>(E82-F757)^4</f>
        <v/>
      </c>
      <c r="I82" s="40" t="n"/>
    </row>
    <row r="83" ht="15" customHeight="1" s="28">
      <c r="A83" s="37" t="n">
        <v>71</v>
      </c>
      <c r="B83" s="37" t="n">
        <v>70</v>
      </c>
      <c r="C83" s="38" t="n">
        <v>4533.2</v>
      </c>
      <c r="D83" s="38">
        <f>4541.138727+0.225904*B83</f>
        <v/>
      </c>
      <c r="E83" s="39">
        <f>C83-D83</f>
        <v/>
      </c>
      <c r="F83" s="39">
        <f>(E83-F757)^2</f>
        <v/>
      </c>
      <c r="G83" s="38">
        <f>(E83-F757)^3</f>
        <v/>
      </c>
      <c r="H83" s="38">
        <f>(E83-F757)^4</f>
        <v/>
      </c>
      <c r="I83" s="37" t="n"/>
    </row>
    <row r="84" ht="15" customHeight="1" s="28">
      <c r="A84" s="40" t="n">
        <v>72</v>
      </c>
      <c r="B84" s="40" t="n">
        <v>71</v>
      </c>
      <c r="C84" s="41" t="n">
        <v>4538.69</v>
      </c>
      <c r="D84" s="41">
        <f>4541.138727+0.225904*B84</f>
        <v/>
      </c>
      <c r="E84" s="42">
        <f>C84-D84</f>
        <v/>
      </c>
      <c r="F84" s="42">
        <f>(E84-F757)^2</f>
        <v/>
      </c>
      <c r="G84" s="41">
        <f>(E84-F757)^3</f>
        <v/>
      </c>
      <c r="H84" s="41">
        <f>(E84-F757)^4</f>
        <v/>
      </c>
      <c r="I84" s="40" t="n"/>
    </row>
    <row r="85" ht="15" customHeight="1" s="28">
      <c r="A85" s="37" t="n">
        <v>73</v>
      </c>
      <c r="B85" s="37" t="n">
        <v>72</v>
      </c>
      <c r="C85" s="38" t="n">
        <v>4539.25</v>
      </c>
      <c r="D85" s="38">
        <f>4541.138727+0.225904*B85</f>
        <v/>
      </c>
      <c r="E85" s="39">
        <f>C85-D85</f>
        <v/>
      </c>
      <c r="F85" s="39">
        <f>(E85-F757)^2</f>
        <v/>
      </c>
      <c r="G85" s="38">
        <f>(E85-F757)^3</f>
        <v/>
      </c>
      <c r="H85" s="38">
        <f>(E85-F757)^4</f>
        <v/>
      </c>
      <c r="I85" s="37" t="n"/>
    </row>
    <row r="86" ht="15" customHeight="1" s="28">
      <c r="A86" s="40" t="n">
        <v>74</v>
      </c>
      <c r="B86" s="40" t="n">
        <v>73</v>
      </c>
      <c r="C86" s="41" t="n">
        <v>4538.08</v>
      </c>
      <c r="D86" s="41">
        <f>4541.138727+0.225904*B86</f>
        <v/>
      </c>
      <c r="E86" s="42">
        <f>C86-D86</f>
        <v/>
      </c>
      <c r="F86" s="42">
        <f>(E86-F757)^2</f>
        <v/>
      </c>
      <c r="G86" s="41">
        <f>(E86-F757)^3</f>
        <v/>
      </c>
      <c r="H86" s="41">
        <f>(E86-F757)^4</f>
        <v/>
      </c>
      <c r="I86" s="40" t="n"/>
    </row>
    <row r="87" ht="15" customHeight="1" s="28">
      <c r="A87" s="37" t="n">
        <v>75</v>
      </c>
      <c r="B87" s="37" t="n">
        <v>74</v>
      </c>
      <c r="C87" s="38" t="n">
        <v>4543.61</v>
      </c>
      <c r="D87" s="38">
        <f>4541.138727+0.225904*B87</f>
        <v/>
      </c>
      <c r="E87" s="39">
        <f>C87-D87</f>
        <v/>
      </c>
      <c r="F87" s="39">
        <f>(E87-F757)^2</f>
        <v/>
      </c>
      <c r="G87" s="38">
        <f>(E87-F757)^3</f>
        <v/>
      </c>
      <c r="H87" s="38">
        <f>(E87-F757)^4</f>
        <v/>
      </c>
      <c r="I87" s="37" t="n"/>
    </row>
    <row r="88" ht="15" customHeight="1" s="28">
      <c r="A88" s="40" t="n">
        <v>76</v>
      </c>
      <c r="B88" s="40" t="n">
        <v>75</v>
      </c>
      <c r="C88" s="41" t="n">
        <v>4553.17</v>
      </c>
      <c r="D88" s="41">
        <f>4541.138727+0.225904*B88</f>
        <v/>
      </c>
      <c r="E88" s="42">
        <f>C88-D88</f>
        <v/>
      </c>
      <c r="F88" s="42">
        <f>(E88-F757)^2</f>
        <v/>
      </c>
      <c r="G88" s="41">
        <f>(E88-F757)^3</f>
        <v/>
      </c>
      <c r="H88" s="41">
        <f>(E88-F757)^4</f>
        <v/>
      </c>
      <c r="I88" s="40" t="n"/>
    </row>
    <row r="89" ht="15" customHeight="1" s="28">
      <c r="A89" s="37" t="n">
        <v>77</v>
      </c>
      <c r="B89" s="37" t="n">
        <v>76</v>
      </c>
      <c r="C89" s="38" t="n">
        <v>4547.48</v>
      </c>
      <c r="D89" s="38">
        <f>4541.138727+0.225904*B89</f>
        <v/>
      </c>
      <c r="E89" s="39">
        <f>C89-D89</f>
        <v/>
      </c>
      <c r="F89" s="39">
        <f>(E89-F757)^2</f>
        <v/>
      </c>
      <c r="G89" s="38">
        <f>(E89-F757)^3</f>
        <v/>
      </c>
      <c r="H89" s="38">
        <f>(E89-F757)^4</f>
        <v/>
      </c>
      <c r="I89" s="37" t="n"/>
    </row>
    <row r="90" ht="15" customHeight="1" s="28">
      <c r="A90" s="40" t="n">
        <v>78</v>
      </c>
      <c r="B90" s="40" t="n">
        <v>77</v>
      </c>
      <c r="C90" s="41" t="n">
        <v>4559.1</v>
      </c>
      <c r="D90" s="41">
        <f>4541.138727+0.225904*B90</f>
        <v/>
      </c>
      <c r="E90" s="42">
        <f>C90-D90</f>
        <v/>
      </c>
      <c r="F90" s="42">
        <f>(E90-F757)^2</f>
        <v/>
      </c>
      <c r="G90" s="41">
        <f>(E90-F757)^3</f>
        <v/>
      </c>
      <c r="H90" s="41">
        <f>(E90-F757)^4</f>
        <v/>
      </c>
      <c r="I90" s="40" t="n"/>
    </row>
    <row r="91" ht="15" customHeight="1" s="28">
      <c r="A91" s="37" t="n">
        <v>79</v>
      </c>
      <c r="B91" s="37" t="n">
        <v>78</v>
      </c>
      <c r="C91" s="38" t="n">
        <v>4560.23</v>
      </c>
      <c r="D91" s="38">
        <f>4541.138727+0.225904*B91</f>
        <v/>
      </c>
      <c r="E91" s="39">
        <f>C91-D91</f>
        <v/>
      </c>
      <c r="F91" s="39">
        <f>(E91-F757)^2</f>
        <v/>
      </c>
      <c r="G91" s="38">
        <f>(E91-F757)^3</f>
        <v/>
      </c>
      <c r="H91" s="38">
        <f>(E91-F757)^4</f>
        <v/>
      </c>
      <c r="I91" s="37" t="n"/>
    </row>
    <row r="92" ht="15" customHeight="1" s="28">
      <c r="A92" s="40" t="n">
        <v>80</v>
      </c>
      <c r="B92" s="40" t="n">
        <v>79</v>
      </c>
      <c r="C92" s="41" t="n">
        <v>4550.51</v>
      </c>
      <c r="D92" s="41">
        <f>4541.138727+0.225904*B92</f>
        <v/>
      </c>
      <c r="E92" s="42">
        <f>C92-D92</f>
        <v/>
      </c>
      <c r="F92" s="42">
        <f>(E92-F757)^2</f>
        <v/>
      </c>
      <c r="G92" s="41">
        <f>(E92-F757)^3</f>
        <v/>
      </c>
      <c r="H92" s="41">
        <f>(E92-F757)^4</f>
        <v/>
      </c>
      <c r="I92" s="40" t="n"/>
    </row>
    <row r="93" ht="15" customHeight="1" s="28">
      <c r="A93" s="37" t="n">
        <v>81</v>
      </c>
      <c r="B93" s="37" t="n">
        <v>80</v>
      </c>
      <c r="C93" s="38" t="n">
        <v>4545.36</v>
      </c>
      <c r="D93" s="38">
        <f>4541.138727+0.225904*B93</f>
        <v/>
      </c>
      <c r="E93" s="39">
        <f>C93-D93</f>
        <v/>
      </c>
      <c r="F93" s="39">
        <f>(E93-F757)^2</f>
        <v/>
      </c>
      <c r="G93" s="38">
        <f>(E93-F757)^3</f>
        <v/>
      </c>
      <c r="H93" s="38">
        <f>(E93-F757)^4</f>
        <v/>
      </c>
      <c r="I93" s="37" t="n"/>
    </row>
    <row r="94" ht="15" customHeight="1" s="28">
      <c r="A94" s="40" t="n">
        <v>82</v>
      </c>
      <c r="B94" s="40" t="n">
        <v>81</v>
      </c>
      <c r="C94" s="41" t="n">
        <v>4550.68</v>
      </c>
      <c r="D94" s="41">
        <f>4541.138727+0.225904*B94</f>
        <v/>
      </c>
      <c r="E94" s="42">
        <f>C94-D94</f>
        <v/>
      </c>
      <c r="F94" s="42">
        <f>(E94-F757)^2</f>
        <v/>
      </c>
      <c r="G94" s="41">
        <f>(E94-F757)^3</f>
        <v/>
      </c>
      <c r="H94" s="41">
        <f>(E94-F757)^4</f>
        <v/>
      </c>
      <c r="I94" s="40" t="n"/>
    </row>
    <row r="95" ht="15" customHeight="1" s="28">
      <c r="A95" s="37" t="n">
        <v>83</v>
      </c>
      <c r="B95" s="37" t="n">
        <v>82</v>
      </c>
      <c r="C95" s="38" t="n">
        <v>4547.23</v>
      </c>
      <c r="D95" s="38">
        <f>4541.138727+0.225904*B95</f>
        <v/>
      </c>
      <c r="E95" s="39">
        <f>C95-D95</f>
        <v/>
      </c>
      <c r="F95" s="39">
        <f>(E95-F757)^2</f>
        <v/>
      </c>
      <c r="G95" s="38">
        <f>(E95-F757)^3</f>
        <v/>
      </c>
      <c r="H95" s="38">
        <f>(E95-F757)^4</f>
        <v/>
      </c>
      <c r="I95" s="37" t="n"/>
    </row>
    <row r="96" ht="15" customHeight="1" s="28">
      <c r="A96" s="40" t="n">
        <v>84</v>
      </c>
      <c r="B96" s="40" t="n">
        <v>83</v>
      </c>
      <c r="C96" s="41" t="n">
        <v>4544.75</v>
      </c>
      <c r="D96" s="41">
        <f>4541.138727+0.225904*B96</f>
        <v/>
      </c>
      <c r="E96" s="42">
        <f>C96-D96</f>
        <v/>
      </c>
      <c r="F96" s="42">
        <f>(E96-F757)^2</f>
        <v/>
      </c>
      <c r="G96" s="41">
        <f>(E96-F757)^3</f>
        <v/>
      </c>
      <c r="H96" s="41">
        <f>(E96-F757)^4</f>
        <v/>
      </c>
      <c r="I96" s="40" t="n"/>
    </row>
    <row r="97" ht="15" customHeight="1" s="28">
      <c r="A97" s="37" t="n">
        <v>85</v>
      </c>
      <c r="B97" s="37" t="n">
        <v>84</v>
      </c>
      <c r="C97" s="38" t="n">
        <v>4547.33</v>
      </c>
      <c r="D97" s="38">
        <f>4541.138727+0.225904*B97</f>
        <v/>
      </c>
      <c r="E97" s="39">
        <f>C97-D97</f>
        <v/>
      </c>
      <c r="F97" s="39">
        <f>(E97-F757)^2</f>
        <v/>
      </c>
      <c r="G97" s="38">
        <f>(E97-F757)^3</f>
        <v/>
      </c>
      <c r="H97" s="38">
        <f>(E97-F757)^4</f>
        <v/>
      </c>
      <c r="I97" s="37" t="n"/>
    </row>
    <row r="98" ht="15" customHeight="1" s="28">
      <c r="A98" s="40" t="n">
        <v>86</v>
      </c>
      <c r="B98" s="40" t="n">
        <v>85</v>
      </c>
      <c r="C98" s="41" t="n">
        <v>4525.75</v>
      </c>
      <c r="D98" s="41">
        <f>4541.138727+0.225904*B98</f>
        <v/>
      </c>
      <c r="E98" s="42">
        <f>C98-D98</f>
        <v/>
      </c>
      <c r="F98" s="42">
        <f>(E98-F757)^2</f>
        <v/>
      </c>
      <c r="G98" s="41">
        <f>(E98-F757)^3</f>
        <v/>
      </c>
      <c r="H98" s="41">
        <f>(E98-F757)^4</f>
        <v/>
      </c>
      <c r="I98" s="40" t="n"/>
    </row>
    <row r="99" ht="15" customHeight="1" s="28">
      <c r="A99" s="37" t="n">
        <v>87</v>
      </c>
      <c r="B99" s="37" t="n">
        <v>86</v>
      </c>
      <c r="C99" s="38" t="n">
        <v>4532.95</v>
      </c>
      <c r="D99" s="38">
        <f>4541.138727+0.225904*B99</f>
        <v/>
      </c>
      <c r="E99" s="39">
        <f>C99-D99</f>
        <v/>
      </c>
      <c r="F99" s="39">
        <f>(E99-F757)^2</f>
        <v/>
      </c>
      <c r="G99" s="38">
        <f>(E99-F757)^3</f>
        <v/>
      </c>
      <c r="H99" s="38">
        <f>(E99-F757)^4</f>
        <v/>
      </c>
      <c r="I99" s="37" t="n"/>
    </row>
    <row r="100" ht="15" customHeight="1" s="28">
      <c r="A100" s="40" t="n">
        <v>88</v>
      </c>
      <c r="B100" s="40" t="n">
        <v>87</v>
      </c>
      <c r="C100" s="41" t="n">
        <v>4520.81</v>
      </c>
      <c r="D100" s="41">
        <f>4541.138727+0.225904*B100</f>
        <v/>
      </c>
      <c r="E100" s="42">
        <f>C100-D100</f>
        <v/>
      </c>
      <c r="F100" s="42">
        <f>(E100-F757)^2</f>
        <v/>
      </c>
      <c r="G100" s="41">
        <f>(E100-F757)^3</f>
        <v/>
      </c>
      <c r="H100" s="41">
        <f>(E100-F757)^4</f>
        <v/>
      </c>
      <c r="I100" s="40" t="n"/>
    </row>
    <row r="101" ht="15" customHeight="1" s="28">
      <c r="A101" s="37" t="n">
        <v>89</v>
      </c>
      <c r="B101" s="37" t="n">
        <v>88</v>
      </c>
      <c r="C101" s="38" t="n">
        <v>4538.19</v>
      </c>
      <c r="D101" s="38">
        <f>4541.138727+0.225904*B101</f>
        <v/>
      </c>
      <c r="E101" s="39">
        <f>C101-D101</f>
        <v/>
      </c>
      <c r="F101" s="39">
        <f>(E101-F757)^2</f>
        <v/>
      </c>
      <c r="G101" s="38">
        <f>(E101-F757)^3</f>
        <v/>
      </c>
      <c r="H101" s="38">
        <f>(E101-F757)^4</f>
        <v/>
      </c>
      <c r="I101" s="37" t="n"/>
    </row>
    <row r="102" ht="15" customHeight="1" s="28">
      <c r="A102" s="40" t="n">
        <v>90</v>
      </c>
      <c r="B102" s="40" t="n">
        <v>89</v>
      </c>
      <c r="C102" s="41" t="n">
        <v>4547.72</v>
      </c>
      <c r="D102" s="41">
        <f>4541.138727+0.225904*B102</f>
        <v/>
      </c>
      <c r="E102" s="42">
        <f>C102-D102</f>
        <v/>
      </c>
      <c r="F102" s="42">
        <f>(E102-F757)^2</f>
        <v/>
      </c>
      <c r="G102" s="41">
        <f>(E102-F757)^3</f>
        <v/>
      </c>
      <c r="H102" s="41">
        <f>(E102-F757)^4</f>
        <v/>
      </c>
      <c r="I102" s="40" t="n"/>
    </row>
    <row r="103" ht="15" customHeight="1" s="28">
      <c r="A103" s="37" t="n">
        <v>91</v>
      </c>
      <c r="B103" s="37" t="n">
        <v>90</v>
      </c>
      <c r="C103" s="38" t="n">
        <v>4542.84</v>
      </c>
      <c r="D103" s="38">
        <f>4541.138727+0.225904*B103</f>
        <v/>
      </c>
      <c r="E103" s="39">
        <f>C103-D103</f>
        <v/>
      </c>
      <c r="F103" s="39">
        <f>(E103-F757)^2</f>
        <v/>
      </c>
      <c r="G103" s="38">
        <f>(E103-F757)^3</f>
        <v/>
      </c>
      <c r="H103" s="38">
        <f>(E103-F757)^4</f>
        <v/>
      </c>
      <c r="I103" s="37" t="n"/>
    </row>
    <row r="104" ht="15" customHeight="1" s="28">
      <c r="A104" s="40" t="n">
        <v>92</v>
      </c>
      <c r="B104" s="40" t="n">
        <v>91</v>
      </c>
      <c r="C104" s="41" t="n">
        <v>4539.61</v>
      </c>
      <c r="D104" s="41">
        <f>4541.138727+0.225904*B104</f>
        <v/>
      </c>
      <c r="E104" s="42">
        <f>C104-D104</f>
        <v/>
      </c>
      <c r="F104" s="42">
        <f>(E104-F757)^2</f>
        <v/>
      </c>
      <c r="G104" s="41">
        <f>(E104-F757)^3</f>
        <v/>
      </c>
      <c r="H104" s="41">
        <f>(E104-F757)^4</f>
        <v/>
      </c>
      <c r="I104" s="40" t="n"/>
    </row>
    <row r="105" ht="15" customHeight="1" s="28">
      <c r="A105" s="37" t="n">
        <v>93</v>
      </c>
      <c r="B105" s="37" t="n">
        <v>92</v>
      </c>
      <c r="C105" s="38" t="n">
        <v>4547.05</v>
      </c>
      <c r="D105" s="38">
        <f>4541.138727+0.225904*B105</f>
        <v/>
      </c>
      <c r="E105" s="39">
        <f>C105-D105</f>
        <v/>
      </c>
      <c r="F105" s="39">
        <f>(E105-F757)^2</f>
        <v/>
      </c>
      <c r="G105" s="38">
        <f>(E105-F757)^3</f>
        <v/>
      </c>
      <c r="H105" s="38">
        <f>(E105-F757)^4</f>
        <v/>
      </c>
      <c r="I105" s="37" t="n"/>
    </row>
    <row r="106" ht="15" customHeight="1" s="28">
      <c r="A106" s="40" t="n">
        <v>94</v>
      </c>
      <c r="B106" s="40" t="n">
        <v>93</v>
      </c>
      <c r="C106" s="41" t="n">
        <v>4546.25</v>
      </c>
      <c r="D106" s="41">
        <f>4541.138727+0.225904*B106</f>
        <v/>
      </c>
      <c r="E106" s="42">
        <f>C106-D106</f>
        <v/>
      </c>
      <c r="F106" s="42">
        <f>(E106-F757)^2</f>
        <v/>
      </c>
      <c r="G106" s="41">
        <f>(E106-F757)^3</f>
        <v/>
      </c>
      <c r="H106" s="41">
        <f>(E106-F757)^4</f>
        <v/>
      </c>
      <c r="I106" s="40" t="n"/>
    </row>
    <row r="107" ht="15" customHeight="1" s="28">
      <c r="A107" s="37" t="n">
        <v>95</v>
      </c>
      <c r="B107" s="37" t="n">
        <v>94</v>
      </c>
      <c r="C107" s="38" t="n">
        <v>4543.25</v>
      </c>
      <c r="D107" s="38">
        <f>4541.138727+0.225904*B107</f>
        <v/>
      </c>
      <c r="E107" s="39">
        <f>C107-D107</f>
        <v/>
      </c>
      <c r="F107" s="39">
        <f>(E107-F757)^2</f>
        <v/>
      </c>
      <c r="G107" s="38">
        <f>(E107-F757)^3</f>
        <v/>
      </c>
      <c r="H107" s="38">
        <f>(E107-F757)^4</f>
        <v/>
      </c>
      <c r="I107" s="37" t="n"/>
    </row>
    <row r="108" ht="15" customHeight="1" s="28">
      <c r="A108" s="40" t="n">
        <v>96</v>
      </c>
      <c r="B108" s="40" t="n">
        <v>95</v>
      </c>
      <c r="C108" s="41" t="n">
        <v>4543.79</v>
      </c>
      <c r="D108" s="41">
        <f>4541.138727+0.225904*B108</f>
        <v/>
      </c>
      <c r="E108" s="42">
        <f>C108-D108</f>
        <v/>
      </c>
      <c r="F108" s="42">
        <f>(E108-F757)^2</f>
        <v/>
      </c>
      <c r="G108" s="41">
        <f>(E108-F757)^3</f>
        <v/>
      </c>
      <c r="H108" s="41">
        <f>(E108-F757)^4</f>
        <v/>
      </c>
      <c r="I108" s="40" t="n"/>
    </row>
    <row r="109" ht="15" customHeight="1" s="28">
      <c r="A109" s="37" t="n">
        <v>97</v>
      </c>
      <c r="B109" s="37" t="n">
        <v>96</v>
      </c>
      <c r="C109" s="38" t="n">
        <v>4543.57</v>
      </c>
      <c r="D109" s="38">
        <f>4541.138727+0.225904*B109</f>
        <v/>
      </c>
      <c r="E109" s="39">
        <f>C109-D109</f>
        <v/>
      </c>
      <c r="F109" s="39">
        <f>(E109-F757)^2</f>
        <v/>
      </c>
      <c r="G109" s="38">
        <f>(E109-F757)^3</f>
        <v/>
      </c>
      <c r="H109" s="38">
        <f>(E109-F757)^4</f>
        <v/>
      </c>
      <c r="I109" s="37" t="n"/>
    </row>
    <row r="110" ht="15" customHeight="1" s="28">
      <c r="A110" s="40" t="n">
        <v>98</v>
      </c>
      <c r="B110" s="40" t="n">
        <v>97</v>
      </c>
      <c r="C110" s="41" t="n">
        <v>4546.4</v>
      </c>
      <c r="D110" s="41">
        <f>4541.138727+0.225904*B110</f>
        <v/>
      </c>
      <c r="E110" s="42">
        <f>C110-D110</f>
        <v/>
      </c>
      <c r="F110" s="42">
        <f>(E110-F757)^2</f>
        <v/>
      </c>
      <c r="G110" s="41">
        <f>(E110-F757)^3</f>
        <v/>
      </c>
      <c r="H110" s="41">
        <f>(E110-F757)^4</f>
        <v/>
      </c>
      <c r="I110" s="40" t="n"/>
    </row>
    <row r="111" ht="15" customHeight="1" s="28">
      <c r="A111" s="37" t="n">
        <v>99</v>
      </c>
      <c r="B111" s="37" t="n">
        <v>98</v>
      </c>
      <c r="C111" s="38" t="n">
        <v>4549.14</v>
      </c>
      <c r="D111" s="38">
        <f>4541.138727+0.225904*B111</f>
        <v/>
      </c>
      <c r="E111" s="39">
        <f>C111-D111</f>
        <v/>
      </c>
      <c r="F111" s="39">
        <f>(E111-F757)^2</f>
        <v/>
      </c>
      <c r="G111" s="38">
        <f>(E111-F757)^3</f>
        <v/>
      </c>
      <c r="H111" s="38">
        <f>(E111-F757)^4</f>
        <v/>
      </c>
      <c r="I111" s="37" t="n"/>
    </row>
    <row r="112" ht="15" customHeight="1" s="28">
      <c r="A112" s="40" t="n">
        <v>100</v>
      </c>
      <c r="B112" s="40" t="n">
        <v>99</v>
      </c>
      <c r="C112" s="41" t="n">
        <v>4548.51</v>
      </c>
      <c r="D112" s="41">
        <f>4541.138727+0.225904*B112</f>
        <v/>
      </c>
      <c r="E112" s="42">
        <f>C112-D112</f>
        <v/>
      </c>
      <c r="F112" s="42">
        <f>(E112-F757)^2</f>
        <v/>
      </c>
      <c r="G112" s="41">
        <f>(E112-F757)^3</f>
        <v/>
      </c>
      <c r="H112" s="41">
        <f>(E112-F757)^4</f>
        <v/>
      </c>
      <c r="I112" s="40" t="n"/>
    </row>
    <row r="113" ht="15" customHeight="1" s="28">
      <c r="A113" s="37" t="n">
        <v>101</v>
      </c>
      <c r="B113" s="37" t="n">
        <v>100</v>
      </c>
      <c r="C113" s="38" t="n">
        <v>4552.08</v>
      </c>
      <c r="D113" s="38">
        <f>4541.138727+0.225904*B113</f>
        <v/>
      </c>
      <c r="E113" s="39">
        <f>C113-D113</f>
        <v/>
      </c>
      <c r="F113" s="39">
        <f>(E113-F757)^2</f>
        <v/>
      </c>
      <c r="G113" s="38">
        <f>(E113-F757)^3</f>
        <v/>
      </c>
      <c r="H113" s="38">
        <f>(E113-F757)^4</f>
        <v/>
      </c>
      <c r="I113" s="37" t="n"/>
    </row>
    <row r="114" ht="15" customHeight="1" s="28">
      <c r="A114" s="40" t="n">
        <v>102</v>
      </c>
      <c r="B114" s="40" t="n">
        <v>101</v>
      </c>
      <c r="C114" s="41" t="n">
        <v>4553.33</v>
      </c>
      <c r="D114" s="41">
        <f>4541.138727+0.225904*B114</f>
        <v/>
      </c>
      <c r="E114" s="42">
        <f>C114-D114</f>
        <v/>
      </c>
      <c r="F114" s="42">
        <f>(E114-F757)^2</f>
        <v/>
      </c>
      <c r="G114" s="41">
        <f>(E114-F757)^3</f>
        <v/>
      </c>
      <c r="H114" s="41">
        <f>(E114-F757)^4</f>
        <v/>
      </c>
      <c r="I114" s="40" t="n"/>
    </row>
    <row r="115" ht="15" customHeight="1" s="28">
      <c r="A115" s="37" t="n">
        <v>103</v>
      </c>
      <c r="B115" s="37" t="n">
        <v>102</v>
      </c>
      <c r="C115" s="38" t="n">
        <v>4551.63</v>
      </c>
      <c r="D115" s="38">
        <f>4541.138727+0.225904*B115</f>
        <v/>
      </c>
      <c r="E115" s="39">
        <f>C115-D115</f>
        <v/>
      </c>
      <c r="F115" s="39">
        <f>(E115-F757)^2</f>
        <v/>
      </c>
      <c r="G115" s="38">
        <f>(E115-F757)^3</f>
        <v/>
      </c>
      <c r="H115" s="38">
        <f>(E115-F757)^4</f>
        <v/>
      </c>
      <c r="I115" s="37" t="n"/>
    </row>
    <row r="116" ht="15" customHeight="1" s="28">
      <c r="A116" s="40" t="n">
        <v>104</v>
      </c>
      <c r="B116" s="40" t="n">
        <v>103</v>
      </c>
      <c r="C116" s="41" t="n">
        <v>4554.44</v>
      </c>
      <c r="D116" s="41">
        <f>4541.138727+0.225904*B116</f>
        <v/>
      </c>
      <c r="E116" s="42">
        <f>C116-D116</f>
        <v/>
      </c>
      <c r="F116" s="42">
        <f>(E116-F757)^2</f>
        <v/>
      </c>
      <c r="G116" s="41">
        <f>(E116-F757)^3</f>
        <v/>
      </c>
      <c r="H116" s="41">
        <f>(E116-F757)^4</f>
        <v/>
      </c>
      <c r="I116" s="40" t="n"/>
    </row>
    <row r="117" ht="15" customHeight="1" s="28">
      <c r="A117" s="37" t="n">
        <v>105</v>
      </c>
      <c r="B117" s="37" t="n">
        <v>104</v>
      </c>
      <c r="C117" s="38" t="n">
        <v>4561.66</v>
      </c>
      <c r="D117" s="38">
        <f>4541.138727+0.225904*B117</f>
        <v/>
      </c>
      <c r="E117" s="39">
        <f>C117-D117</f>
        <v/>
      </c>
      <c r="F117" s="39">
        <f>(E117-F757)^2</f>
        <v/>
      </c>
      <c r="G117" s="38">
        <f>(E117-F757)^3</f>
        <v/>
      </c>
      <c r="H117" s="38">
        <f>(E117-F757)^4</f>
        <v/>
      </c>
      <c r="I117" s="37" t="n"/>
    </row>
    <row r="118" ht="15" customHeight="1" s="28">
      <c r="A118" s="40" t="n">
        <v>106</v>
      </c>
      <c r="B118" s="40" t="n">
        <v>105</v>
      </c>
      <c r="C118" s="41" t="n">
        <v>4557.93</v>
      </c>
      <c r="D118" s="41">
        <f>4541.138727+0.225904*B118</f>
        <v/>
      </c>
      <c r="E118" s="42">
        <f>C118-D118</f>
        <v/>
      </c>
      <c r="F118" s="42">
        <f>(E118-F757)^2</f>
        <v/>
      </c>
      <c r="G118" s="41">
        <f>(E118-F757)^3</f>
        <v/>
      </c>
      <c r="H118" s="41">
        <f>(E118-F757)^4</f>
        <v/>
      </c>
      <c r="I118" s="40" t="n"/>
    </row>
    <row r="119" ht="15" customHeight="1" s="28">
      <c r="A119" s="37" t="n">
        <v>107</v>
      </c>
      <c r="B119" s="37" t="n">
        <v>106</v>
      </c>
      <c r="C119" s="38" t="n">
        <v>4563.57</v>
      </c>
      <c r="D119" s="38">
        <f>4541.138727+0.225904*B119</f>
        <v/>
      </c>
      <c r="E119" s="39">
        <f>C119-D119</f>
        <v/>
      </c>
      <c r="F119" s="39">
        <f>(E119-F757)^2</f>
        <v/>
      </c>
      <c r="G119" s="38">
        <f>(E119-F757)^3</f>
        <v/>
      </c>
      <c r="H119" s="38">
        <f>(E119-F757)^4</f>
        <v/>
      </c>
      <c r="I119" s="37" t="n"/>
    </row>
    <row r="120" ht="15" customHeight="1" s="28">
      <c r="A120" s="40" t="n">
        <v>108</v>
      </c>
      <c r="B120" s="40" t="n">
        <v>107</v>
      </c>
      <c r="C120" s="41" t="n">
        <v>4567.11</v>
      </c>
      <c r="D120" s="41">
        <f>4541.138727+0.225904*B120</f>
        <v/>
      </c>
      <c r="E120" s="42">
        <f>C120-D120</f>
        <v/>
      </c>
      <c r="F120" s="42">
        <f>(E120-F757)^2</f>
        <v/>
      </c>
      <c r="G120" s="41">
        <f>(E120-F757)^3</f>
        <v/>
      </c>
      <c r="H120" s="41">
        <f>(E120-F757)^4</f>
        <v/>
      </c>
      <c r="I120" s="40" t="n"/>
    </row>
    <row r="121" ht="15" customHeight="1" s="28">
      <c r="A121" s="37" t="n">
        <v>109</v>
      </c>
      <c r="B121" s="37" t="n">
        <v>108</v>
      </c>
      <c r="C121" s="38" t="n">
        <v>4569.83</v>
      </c>
      <c r="D121" s="38">
        <f>4541.138727+0.225904*B121</f>
        <v/>
      </c>
      <c r="E121" s="39">
        <f>C121-D121</f>
        <v/>
      </c>
      <c r="F121" s="39">
        <f>(E121-F757)^2</f>
        <v/>
      </c>
      <c r="G121" s="38">
        <f>(E121-F757)^3</f>
        <v/>
      </c>
      <c r="H121" s="38">
        <f>(E121-F757)^4</f>
        <v/>
      </c>
      <c r="I121" s="37" t="n"/>
    </row>
    <row r="122" ht="15" customHeight="1" s="28">
      <c r="A122" s="40" t="n">
        <v>110</v>
      </c>
      <c r="B122" s="40" t="n">
        <v>109</v>
      </c>
      <c r="C122" s="41" t="n">
        <v>4568.52</v>
      </c>
      <c r="D122" s="41">
        <f>4541.138727+0.225904*B122</f>
        <v/>
      </c>
      <c r="E122" s="42">
        <f>C122-D122</f>
        <v/>
      </c>
      <c r="F122" s="42">
        <f>(E122-F757)^2</f>
        <v/>
      </c>
      <c r="G122" s="41">
        <f>(E122-F757)^3</f>
        <v/>
      </c>
      <c r="H122" s="41">
        <f>(E122-F757)^4</f>
        <v/>
      </c>
      <c r="I122" s="40" t="n"/>
    </row>
    <row r="123" ht="15" customHeight="1" s="28">
      <c r="A123" s="37" t="n">
        <v>111</v>
      </c>
      <c r="B123" s="37" t="n">
        <v>110</v>
      </c>
      <c r="C123" s="38" t="n">
        <v>4579.79</v>
      </c>
      <c r="D123" s="38">
        <f>4541.138727+0.225904*B123</f>
        <v/>
      </c>
      <c r="E123" s="39">
        <f>C123-D123</f>
        <v/>
      </c>
      <c r="F123" s="39">
        <f>(E123-F757)^2</f>
        <v/>
      </c>
      <c r="G123" s="38">
        <f>(E123-F757)^3</f>
        <v/>
      </c>
      <c r="H123" s="38">
        <f>(E123-F757)^4</f>
        <v/>
      </c>
      <c r="I123" s="37" t="n"/>
    </row>
    <row r="124" ht="15" customHeight="1" s="28">
      <c r="A124" s="40" t="n">
        <v>112</v>
      </c>
      <c r="B124" s="40" t="n">
        <v>111</v>
      </c>
      <c r="C124" s="41" t="n">
        <v>4576.31</v>
      </c>
      <c r="D124" s="41">
        <f>4541.138727+0.225904*B124</f>
        <v/>
      </c>
      <c r="E124" s="42">
        <f>C124-D124</f>
        <v/>
      </c>
      <c r="F124" s="42">
        <f>(E124-F757)^2</f>
        <v/>
      </c>
      <c r="G124" s="41">
        <f>(E124-F757)^3</f>
        <v/>
      </c>
      <c r="H124" s="41">
        <f>(E124-F757)^4</f>
        <v/>
      </c>
      <c r="I124" s="40" t="n"/>
    </row>
    <row r="125" ht="15" customHeight="1" s="28">
      <c r="A125" s="37" t="n">
        <v>113</v>
      </c>
      <c r="B125" s="37" t="n">
        <v>112</v>
      </c>
      <c r="C125" s="38" t="n">
        <v>4579.13</v>
      </c>
      <c r="D125" s="38">
        <f>4541.138727+0.225904*B125</f>
        <v/>
      </c>
      <c r="E125" s="39">
        <f>C125-D125</f>
        <v/>
      </c>
      <c r="F125" s="39">
        <f>(E125-F757)^2</f>
        <v/>
      </c>
      <c r="G125" s="38">
        <f>(E125-F757)^3</f>
        <v/>
      </c>
      <c r="H125" s="38">
        <f>(E125-F757)^4</f>
        <v/>
      </c>
      <c r="I125" s="37" t="n"/>
    </row>
    <row r="126" ht="15" customHeight="1" s="28">
      <c r="A126" s="40" t="n">
        <v>114</v>
      </c>
      <c r="B126" s="40" t="n">
        <v>113</v>
      </c>
      <c r="C126" s="41" t="n">
        <v>4579.74</v>
      </c>
      <c r="D126" s="41">
        <f>4541.138727+0.225904*B126</f>
        <v/>
      </c>
      <c r="E126" s="42">
        <f>C126-D126</f>
        <v/>
      </c>
      <c r="F126" s="42">
        <f>(E126-F757)^2</f>
        <v/>
      </c>
      <c r="G126" s="41">
        <f>(E126-F757)^3</f>
        <v/>
      </c>
      <c r="H126" s="41">
        <f>(E126-F757)^4</f>
        <v/>
      </c>
      <c r="I126" s="40" t="n"/>
    </row>
    <row r="127" ht="15" customHeight="1" s="28">
      <c r="A127" s="37" t="n">
        <v>115</v>
      </c>
      <c r="B127" s="37" t="n">
        <v>114</v>
      </c>
      <c r="C127" s="38" t="n">
        <v>4573.13</v>
      </c>
      <c r="D127" s="38">
        <f>4541.138727+0.225904*B127</f>
        <v/>
      </c>
      <c r="E127" s="39">
        <f>C127-D127</f>
        <v/>
      </c>
      <c r="F127" s="39">
        <f>(E127-F757)^2</f>
        <v/>
      </c>
      <c r="G127" s="38">
        <f>(E127-F757)^3</f>
        <v/>
      </c>
      <c r="H127" s="38">
        <f>(E127-F757)^4</f>
        <v/>
      </c>
      <c r="I127" s="37" t="n"/>
    </row>
    <row r="128" ht="15" customHeight="1" s="28">
      <c r="A128" s="40" t="n">
        <v>116</v>
      </c>
      <c r="B128" s="40" t="n">
        <v>115</v>
      </c>
      <c r="C128" s="41" t="n">
        <v>4562.53</v>
      </c>
      <c r="D128" s="41">
        <f>4541.138727+0.225904*B128</f>
        <v/>
      </c>
      <c r="E128" s="42">
        <f>C128-D128</f>
        <v/>
      </c>
      <c r="F128" s="42">
        <f>(E128-F757)^2</f>
        <v/>
      </c>
      <c r="G128" s="41">
        <f>(E128-F757)^3</f>
        <v/>
      </c>
      <c r="H128" s="41">
        <f>(E128-F757)^4</f>
        <v/>
      </c>
      <c r="I128" s="40" t="n"/>
    </row>
    <row r="129" ht="15" customHeight="1" s="28">
      <c r="A129" s="37" t="n">
        <v>117</v>
      </c>
      <c r="B129" s="37" t="n">
        <v>116</v>
      </c>
      <c r="C129" s="38" t="n">
        <v>4565.02</v>
      </c>
      <c r="D129" s="38">
        <f>4541.138727+0.225904*B129</f>
        <v/>
      </c>
      <c r="E129" s="39">
        <f>C129-D129</f>
        <v/>
      </c>
      <c r="F129" s="39">
        <f>(E129-F757)^2</f>
        <v/>
      </c>
      <c r="G129" s="38">
        <f>(E129-F757)^3</f>
        <v/>
      </c>
      <c r="H129" s="38">
        <f>(E129-F757)^4</f>
        <v/>
      </c>
      <c r="I129" s="37" t="n"/>
    </row>
    <row r="130" ht="15" customHeight="1" s="28">
      <c r="A130" s="40" t="n">
        <v>118</v>
      </c>
      <c r="B130" s="40" t="n">
        <v>117</v>
      </c>
      <c r="C130" s="41" t="n">
        <v>4564.98</v>
      </c>
      <c r="D130" s="41">
        <f>4541.138727+0.225904*B130</f>
        <v/>
      </c>
      <c r="E130" s="42">
        <f>C130-D130</f>
        <v/>
      </c>
      <c r="F130" s="42">
        <f>(E130-F757)^2</f>
        <v/>
      </c>
      <c r="G130" s="41">
        <f>(E130-F757)^3</f>
        <v/>
      </c>
      <c r="H130" s="41">
        <f>(E130-F757)^4</f>
        <v/>
      </c>
      <c r="I130" s="40" t="n"/>
    </row>
    <row r="131" ht="15" customHeight="1" s="28">
      <c r="A131" s="37" t="n">
        <v>119</v>
      </c>
      <c r="B131" s="37" t="n">
        <v>118</v>
      </c>
      <c r="C131" s="38" t="n">
        <v>4563.32</v>
      </c>
      <c r="D131" s="38">
        <f>4541.138727+0.225904*B131</f>
        <v/>
      </c>
      <c r="E131" s="39">
        <f>C131-D131</f>
        <v/>
      </c>
      <c r="F131" s="39">
        <f>(E131-F757)^2</f>
        <v/>
      </c>
      <c r="G131" s="38">
        <f>(E131-F757)^3</f>
        <v/>
      </c>
      <c r="H131" s="38">
        <f>(E131-F757)^4</f>
        <v/>
      </c>
      <c r="I131" s="37" t="n"/>
    </row>
    <row r="132" ht="15" customHeight="1" s="28">
      <c r="A132" s="40" t="n">
        <v>120</v>
      </c>
      <c r="B132" s="40" t="n">
        <v>119</v>
      </c>
      <c r="C132" s="41" t="n">
        <v>4561.66</v>
      </c>
      <c r="D132" s="41">
        <f>4541.138727+0.225904*B132</f>
        <v/>
      </c>
      <c r="E132" s="42">
        <f>C132-D132</f>
        <v/>
      </c>
      <c r="F132" s="42">
        <f>(E132-F757)^2</f>
        <v/>
      </c>
      <c r="G132" s="41">
        <f>(E132-F757)^3</f>
        <v/>
      </c>
      <c r="H132" s="41">
        <f>(E132-F757)^4</f>
        <v/>
      </c>
      <c r="I132" s="40" t="n"/>
    </row>
    <row r="133" ht="15" customHeight="1" s="28">
      <c r="A133" s="37" t="n">
        <v>121</v>
      </c>
      <c r="B133" s="37" t="n">
        <v>120</v>
      </c>
      <c r="C133" s="38" t="n">
        <v>4556.09</v>
      </c>
      <c r="D133" s="38">
        <f>4541.138727+0.225904*B133</f>
        <v/>
      </c>
      <c r="E133" s="39">
        <f>C133-D133</f>
        <v/>
      </c>
      <c r="F133" s="39">
        <f>(E133-F757)^2</f>
        <v/>
      </c>
      <c r="G133" s="38">
        <f>(E133-F757)^3</f>
        <v/>
      </c>
      <c r="H133" s="38">
        <f>(E133-F757)^4</f>
        <v/>
      </c>
      <c r="I133" s="37" t="n"/>
    </row>
    <row r="134" ht="15" customHeight="1" s="28">
      <c r="A134" s="40" t="n">
        <v>122</v>
      </c>
      <c r="B134" s="40" t="n">
        <v>121</v>
      </c>
      <c r="C134" s="41" t="n">
        <v>4555.41</v>
      </c>
      <c r="D134" s="41">
        <f>4541.138727+0.225904*B134</f>
        <v/>
      </c>
      <c r="E134" s="42">
        <f>C134-D134</f>
        <v/>
      </c>
      <c r="F134" s="42">
        <f>(E134-F757)^2</f>
        <v/>
      </c>
      <c r="G134" s="41">
        <f>(E134-F757)^3</f>
        <v/>
      </c>
      <c r="H134" s="41">
        <f>(E134-F757)^4</f>
        <v/>
      </c>
      <c r="I134" s="40" t="n"/>
    </row>
    <row r="135" ht="15" customHeight="1" s="28">
      <c r="A135" s="37" t="n">
        <v>123</v>
      </c>
      <c r="B135" s="37" t="n">
        <v>122</v>
      </c>
      <c r="C135" s="38" t="n">
        <v>4547.28</v>
      </c>
      <c r="D135" s="38">
        <f>4541.138727+0.225904*B135</f>
        <v/>
      </c>
      <c r="E135" s="39">
        <f>C135-D135</f>
        <v/>
      </c>
      <c r="F135" s="39">
        <f>(E135-F757)^2</f>
        <v/>
      </c>
      <c r="G135" s="38">
        <f>(E135-F757)^3</f>
        <v/>
      </c>
      <c r="H135" s="38">
        <f>(E135-F757)^4</f>
        <v/>
      </c>
      <c r="I135" s="37" t="n"/>
    </row>
    <row r="136" ht="15" customHeight="1" s="28">
      <c r="A136" s="40" t="n">
        <v>124</v>
      </c>
      <c r="B136" s="40" t="n">
        <v>123</v>
      </c>
      <c r="C136" s="41" t="n">
        <v>4544.74</v>
      </c>
      <c r="D136" s="41">
        <f>4541.138727+0.225904*B136</f>
        <v/>
      </c>
      <c r="E136" s="42">
        <f>C136-D136</f>
        <v/>
      </c>
      <c r="F136" s="42">
        <f>(E136-F757)^2</f>
        <v/>
      </c>
      <c r="G136" s="41">
        <f>(E136-F757)^3</f>
        <v/>
      </c>
      <c r="H136" s="41">
        <f>(E136-F757)^4</f>
        <v/>
      </c>
      <c r="I136" s="40" t="n"/>
    </row>
    <row r="137" ht="15" customHeight="1" s="28">
      <c r="A137" s="37" t="n">
        <v>125</v>
      </c>
      <c r="B137" s="37" t="n">
        <v>124</v>
      </c>
      <c r="C137" s="38" t="n">
        <v>4541.91</v>
      </c>
      <c r="D137" s="38">
        <f>4541.138727+0.225904*B137</f>
        <v/>
      </c>
      <c r="E137" s="39">
        <f>C137-D137</f>
        <v/>
      </c>
      <c r="F137" s="39">
        <f>(E137-F757)^2</f>
        <v/>
      </c>
      <c r="G137" s="38">
        <f>(E137-F757)^3</f>
        <v/>
      </c>
      <c r="H137" s="38">
        <f>(E137-F757)^4</f>
        <v/>
      </c>
      <c r="I137" s="37" t="n"/>
    </row>
    <row r="138" ht="15" customHeight="1" s="28">
      <c r="A138" s="40" t="n">
        <v>126</v>
      </c>
      <c r="B138" s="40" t="n">
        <v>125</v>
      </c>
      <c r="C138" s="41" t="n">
        <v>4553.22</v>
      </c>
      <c r="D138" s="41">
        <f>4541.138727+0.225904*B138</f>
        <v/>
      </c>
      <c r="E138" s="42">
        <f>C138-D138</f>
        <v/>
      </c>
      <c r="F138" s="42">
        <f>(E138-F757)^2</f>
        <v/>
      </c>
      <c r="G138" s="41">
        <f>(E138-F757)^3</f>
        <v/>
      </c>
      <c r="H138" s="41">
        <f>(E138-F757)^4</f>
        <v/>
      </c>
      <c r="I138" s="40" t="n"/>
    </row>
    <row r="139" ht="15" customHeight="1" s="28">
      <c r="A139" s="37" t="n">
        <v>127</v>
      </c>
      <c r="B139" s="37" t="n">
        <v>126</v>
      </c>
      <c r="C139" s="38" t="n">
        <v>4555.73</v>
      </c>
      <c r="D139" s="38">
        <f>4541.138727+0.225904*B139</f>
        <v/>
      </c>
      <c r="E139" s="39">
        <f>C139-D139</f>
        <v/>
      </c>
      <c r="F139" s="39">
        <f>(E139-F757)^2</f>
        <v/>
      </c>
      <c r="G139" s="38">
        <f>(E139-F757)^3</f>
        <v/>
      </c>
      <c r="H139" s="38">
        <f>(E139-F757)^4</f>
        <v/>
      </c>
      <c r="I139" s="37" t="n"/>
    </row>
    <row r="140" ht="15" customHeight="1" s="28">
      <c r="A140" s="40" t="n">
        <v>128</v>
      </c>
      <c r="B140" s="40" t="n">
        <v>127</v>
      </c>
      <c r="C140" s="41" t="n">
        <v>4564.04</v>
      </c>
      <c r="D140" s="41">
        <f>4541.138727+0.225904*B140</f>
        <v/>
      </c>
      <c r="E140" s="42">
        <f>C140-D140</f>
        <v/>
      </c>
      <c r="F140" s="42">
        <f>(E140-F757)^2</f>
        <v/>
      </c>
      <c r="G140" s="41">
        <f>(E140-F757)^3</f>
        <v/>
      </c>
      <c r="H140" s="41">
        <f>(E140-F757)^4</f>
        <v/>
      </c>
      <c r="I140" s="40" t="n"/>
    </row>
    <row r="141" ht="15" customHeight="1" s="28">
      <c r="A141" s="37" t="n">
        <v>129</v>
      </c>
      <c r="B141" s="37" t="n">
        <v>128</v>
      </c>
      <c r="C141" s="38" t="n">
        <v>4562.71</v>
      </c>
      <c r="D141" s="38">
        <f>4541.138727+0.225904*B141</f>
        <v/>
      </c>
      <c r="E141" s="39">
        <f>C141-D141</f>
        <v/>
      </c>
      <c r="F141" s="39">
        <f>(E141-F757)^2</f>
        <v/>
      </c>
      <c r="G141" s="38">
        <f>(E141-F757)^3</f>
        <v/>
      </c>
      <c r="H141" s="38">
        <f>(E141-F757)^4</f>
        <v/>
      </c>
      <c r="I141" s="37" t="n"/>
    </row>
    <row r="142" ht="15" customHeight="1" s="28">
      <c r="A142" s="40" t="n">
        <v>130</v>
      </c>
      <c r="B142" s="40" t="n">
        <v>129</v>
      </c>
      <c r="C142" s="41" t="n">
        <v>4566.21</v>
      </c>
      <c r="D142" s="41">
        <f>4541.138727+0.225904*B142</f>
        <v/>
      </c>
      <c r="E142" s="42">
        <f>C142-D142</f>
        <v/>
      </c>
      <c r="F142" s="42">
        <f>(E142-F757)^2</f>
        <v/>
      </c>
      <c r="G142" s="41">
        <f>(E142-F757)^3</f>
        <v/>
      </c>
      <c r="H142" s="41">
        <f>(E142-F757)^4</f>
        <v/>
      </c>
      <c r="I142" s="40" t="n"/>
    </row>
    <row r="143" ht="15" customHeight="1" s="28">
      <c r="A143" s="37" t="n">
        <v>131</v>
      </c>
      <c r="B143" s="37" t="n">
        <v>130</v>
      </c>
      <c r="C143" s="38" t="n">
        <v>4569.57</v>
      </c>
      <c r="D143" s="38">
        <f>4541.138727+0.225904*B143</f>
        <v/>
      </c>
      <c r="E143" s="39">
        <f>C143-D143</f>
        <v/>
      </c>
      <c r="F143" s="39">
        <f>(E143-F757)^2</f>
        <v/>
      </c>
      <c r="G143" s="38">
        <f>(E143-F757)^3</f>
        <v/>
      </c>
      <c r="H143" s="38">
        <f>(E143-F757)^4</f>
        <v/>
      </c>
      <c r="I143" s="37" t="n"/>
    </row>
    <row r="144" ht="15" customHeight="1" s="28">
      <c r="A144" s="40" t="n">
        <v>132</v>
      </c>
      <c r="B144" s="40" t="n">
        <v>131</v>
      </c>
      <c r="C144" s="41" t="n">
        <v>4575.23</v>
      </c>
      <c r="D144" s="41">
        <f>4541.138727+0.225904*B144</f>
        <v/>
      </c>
      <c r="E144" s="42">
        <f>C144-D144</f>
        <v/>
      </c>
      <c r="F144" s="42">
        <f>(E144-F757)^2</f>
        <v/>
      </c>
      <c r="G144" s="41">
        <f>(E144-F757)^3</f>
        <v/>
      </c>
      <c r="H144" s="41">
        <f>(E144-F757)^4</f>
        <v/>
      </c>
      <c r="I144" s="40" t="n"/>
    </row>
    <row r="145" ht="15" customHeight="1" s="28">
      <c r="A145" s="37" t="n">
        <v>133</v>
      </c>
      <c r="B145" s="37" t="n">
        <v>132</v>
      </c>
      <c r="C145" s="38" t="n">
        <v>4589.44</v>
      </c>
      <c r="D145" s="38">
        <f>4541.138727+0.225904*B145</f>
        <v/>
      </c>
      <c r="E145" s="39">
        <f>C145-D145</f>
        <v/>
      </c>
      <c r="F145" s="39">
        <f>(E145-F757)^2</f>
        <v/>
      </c>
      <c r="G145" s="38">
        <f>(E145-F757)^3</f>
        <v/>
      </c>
      <c r="H145" s="38">
        <f>(E145-F757)^4</f>
        <v/>
      </c>
      <c r="I145" s="37" t="n"/>
    </row>
    <row r="146" ht="15" customHeight="1" s="28">
      <c r="A146" s="40" t="n">
        <v>134</v>
      </c>
      <c r="B146" s="40" t="n">
        <v>133</v>
      </c>
      <c r="C146" s="41" t="n">
        <v>4591.59</v>
      </c>
      <c r="D146" s="41">
        <f>4541.138727+0.225904*B146</f>
        <v/>
      </c>
      <c r="E146" s="42">
        <f>C146-D146</f>
        <v/>
      </c>
      <c r="F146" s="42">
        <f>(E146-F757)^2</f>
        <v/>
      </c>
      <c r="G146" s="41">
        <f>(E146-F757)^3</f>
        <v/>
      </c>
      <c r="H146" s="41">
        <f>(E146-F757)^4</f>
        <v/>
      </c>
      <c r="I146" s="40" t="n"/>
    </row>
    <row r="147" ht="15" customHeight="1" s="28">
      <c r="A147" s="37" t="n">
        <v>135</v>
      </c>
      <c r="B147" s="37" t="n">
        <v>134</v>
      </c>
      <c r="C147" s="38" t="n">
        <v>4591.59</v>
      </c>
      <c r="D147" s="38">
        <f>4541.138727+0.225904*B147</f>
        <v/>
      </c>
      <c r="E147" s="39">
        <f>C147-D147</f>
        <v/>
      </c>
      <c r="F147" s="39">
        <f>(E147-F757)^2</f>
        <v/>
      </c>
      <c r="G147" s="38">
        <f>(E147-F757)^3</f>
        <v/>
      </c>
      <c r="H147" s="38">
        <f>(E147-F757)^4</f>
        <v/>
      </c>
      <c r="I147" s="37" t="n"/>
    </row>
    <row r="148" ht="15" customHeight="1" s="28">
      <c r="A148" s="40" t="n">
        <v>136</v>
      </c>
      <c r="B148" s="40" t="n">
        <v>135</v>
      </c>
      <c r="C148" s="41" t="n">
        <v>4596.69</v>
      </c>
      <c r="D148" s="41">
        <f>4541.138727+0.225904*B148</f>
        <v/>
      </c>
      <c r="E148" s="42">
        <f>C148-D148</f>
        <v/>
      </c>
      <c r="F148" s="42">
        <f>(E148-F757)^2</f>
        <v/>
      </c>
      <c r="G148" s="41">
        <f>(E148-F757)^3</f>
        <v/>
      </c>
      <c r="H148" s="41">
        <f>(E148-F757)^4</f>
        <v/>
      </c>
      <c r="I148" s="40" t="n"/>
    </row>
    <row r="149" ht="15" customHeight="1" s="28">
      <c r="A149" s="37" t="n">
        <v>137</v>
      </c>
      <c r="B149" s="37" t="n">
        <v>136</v>
      </c>
      <c r="C149" s="38" t="n">
        <v>4598.44</v>
      </c>
      <c r="D149" s="38">
        <f>4541.138727+0.225904*B149</f>
        <v/>
      </c>
      <c r="E149" s="39">
        <f>C149-D149</f>
        <v/>
      </c>
      <c r="F149" s="39">
        <f>(E149-F757)^2</f>
        <v/>
      </c>
      <c r="G149" s="38">
        <f>(E149-F757)^3</f>
        <v/>
      </c>
      <c r="H149" s="38">
        <f>(E149-F757)^4</f>
        <v/>
      </c>
      <c r="I149" s="37" t="n"/>
    </row>
    <row r="150" ht="15" customHeight="1" s="28">
      <c r="A150" s="40" t="n">
        <v>138</v>
      </c>
      <c r="B150" s="40" t="n">
        <v>137</v>
      </c>
      <c r="C150" s="41" t="n">
        <v>4618.7</v>
      </c>
      <c r="D150" s="41">
        <f>4541.138727+0.225904*B150</f>
        <v/>
      </c>
      <c r="E150" s="42">
        <f>C150-D150</f>
        <v/>
      </c>
      <c r="F150" s="42">
        <f>(E150-F757)^2</f>
        <v/>
      </c>
      <c r="G150" s="41">
        <f>(E150-F757)^3</f>
        <v/>
      </c>
      <c r="H150" s="41">
        <f>(E150-F757)^4</f>
        <v/>
      </c>
      <c r="I150" s="40" t="n"/>
    </row>
    <row r="151" ht="15" customHeight="1" s="28">
      <c r="A151" s="37" t="n">
        <v>139</v>
      </c>
      <c r="B151" s="37" t="n">
        <v>138</v>
      </c>
      <c r="C151" s="38" t="n">
        <v>4617.35</v>
      </c>
      <c r="D151" s="38">
        <f>4541.138727+0.225904*B151</f>
        <v/>
      </c>
      <c r="E151" s="39">
        <f>C151-D151</f>
        <v/>
      </c>
      <c r="F151" s="39">
        <f>(E151-F757)^2</f>
        <v/>
      </c>
      <c r="G151" s="38">
        <f>(E151-F757)^3</f>
        <v/>
      </c>
      <c r="H151" s="38">
        <f>(E151-F757)^4</f>
        <v/>
      </c>
      <c r="I151" s="37" t="n"/>
    </row>
    <row r="152" ht="15" customHeight="1" s="28">
      <c r="A152" s="40" t="n">
        <v>140</v>
      </c>
      <c r="B152" s="40" t="n">
        <v>139</v>
      </c>
      <c r="C152" s="41" t="n">
        <v>4614.82</v>
      </c>
      <c r="D152" s="41">
        <f>4541.138727+0.225904*B152</f>
        <v/>
      </c>
      <c r="E152" s="42">
        <f>C152-D152</f>
        <v/>
      </c>
      <c r="F152" s="42">
        <f>(E152-F757)^2</f>
        <v/>
      </c>
      <c r="G152" s="41">
        <f>(E152-F757)^3</f>
        <v/>
      </c>
      <c r="H152" s="41">
        <f>(E152-F757)^4</f>
        <v/>
      </c>
      <c r="I152" s="40" t="n"/>
    </row>
    <row r="153" ht="15" customHeight="1" s="28">
      <c r="A153" s="37" t="n">
        <v>141</v>
      </c>
      <c r="B153" s="37" t="n">
        <v>140</v>
      </c>
      <c r="C153" s="38" t="n">
        <v>4616</v>
      </c>
      <c r="D153" s="38">
        <f>4541.138727+0.225904*B153</f>
        <v/>
      </c>
      <c r="E153" s="39">
        <f>C153-D153</f>
        <v/>
      </c>
      <c r="F153" s="39">
        <f>(E153-F757)^2</f>
        <v/>
      </c>
      <c r="G153" s="38">
        <f>(E153-F757)^3</f>
        <v/>
      </c>
      <c r="H153" s="38">
        <f>(E153-F757)^4</f>
        <v/>
      </c>
      <c r="I153" s="37" t="n"/>
    </row>
    <row r="154" ht="15" customHeight="1" s="28">
      <c r="A154" s="40" t="n">
        <v>142</v>
      </c>
      <c r="B154" s="40" t="n">
        <v>141</v>
      </c>
      <c r="C154" s="41" t="n">
        <v>4618.96</v>
      </c>
      <c r="D154" s="41">
        <f>4541.138727+0.225904*B154</f>
        <v/>
      </c>
      <c r="E154" s="42">
        <f>C154-D154</f>
        <v/>
      </c>
      <c r="F154" s="42">
        <f>(E154-F757)^2</f>
        <v/>
      </c>
      <c r="G154" s="41">
        <f>(E154-F757)^3</f>
        <v/>
      </c>
      <c r="H154" s="41">
        <f>(E154-F757)^4</f>
        <v/>
      </c>
      <c r="I154" s="40" t="n"/>
    </row>
    <row r="155" ht="15" customHeight="1" s="28">
      <c r="A155" s="37" t="n">
        <v>143</v>
      </c>
      <c r="B155" s="37" t="n">
        <v>142</v>
      </c>
      <c r="C155" s="38" t="n">
        <v>4625.41</v>
      </c>
      <c r="D155" s="38">
        <f>4541.138727+0.225904*B155</f>
        <v/>
      </c>
      <c r="E155" s="39">
        <f>C155-D155</f>
        <v/>
      </c>
      <c r="F155" s="39">
        <f>(E155-F757)^2</f>
        <v/>
      </c>
      <c r="G155" s="38">
        <f>(E155-F757)^3</f>
        <v/>
      </c>
      <c r="H155" s="38">
        <f>(E155-F757)^4</f>
        <v/>
      </c>
      <c r="I155" s="37" t="n"/>
    </row>
    <row r="156" ht="15" customHeight="1" s="28">
      <c r="A156" s="40" t="n">
        <v>144</v>
      </c>
      <c r="B156" s="40" t="n">
        <v>143</v>
      </c>
      <c r="C156" s="41" t="n">
        <v>4619.35</v>
      </c>
      <c r="D156" s="41">
        <f>4541.138727+0.225904*B156</f>
        <v/>
      </c>
      <c r="E156" s="42">
        <f>C156-D156</f>
        <v/>
      </c>
      <c r="F156" s="42">
        <f>(E156-F757)^2</f>
        <v/>
      </c>
      <c r="G156" s="41">
        <f>(E156-F757)^3</f>
        <v/>
      </c>
      <c r="H156" s="41">
        <f>(E156-F757)^4</f>
        <v/>
      </c>
      <c r="I156" s="40" t="n"/>
    </row>
    <row r="157" ht="15" customHeight="1" s="28">
      <c r="A157" s="37" t="n">
        <v>145</v>
      </c>
      <c r="B157" s="37" t="n">
        <v>144</v>
      </c>
      <c r="C157" s="38" t="n">
        <v>4624.91</v>
      </c>
      <c r="D157" s="38">
        <f>4541.138727+0.225904*B157</f>
        <v/>
      </c>
      <c r="E157" s="39">
        <f>C157-D157</f>
        <v/>
      </c>
      <c r="F157" s="39">
        <f>(E157-F757)^2</f>
        <v/>
      </c>
      <c r="G157" s="38">
        <f>(E157-F757)^3</f>
        <v/>
      </c>
      <c r="H157" s="38">
        <f>(E157-F757)^4</f>
        <v/>
      </c>
      <c r="I157" s="37" t="n"/>
    </row>
    <row r="158" ht="15" customHeight="1" s="28">
      <c r="A158" s="40" t="n">
        <v>146</v>
      </c>
      <c r="B158" s="40" t="n">
        <v>145</v>
      </c>
      <c r="C158" s="41" t="n">
        <v>4626.92</v>
      </c>
      <c r="D158" s="41">
        <f>4541.138727+0.225904*B158</f>
        <v/>
      </c>
      <c r="E158" s="42">
        <f>C158-D158</f>
        <v/>
      </c>
      <c r="F158" s="42">
        <f>(E158-F757)^2</f>
        <v/>
      </c>
      <c r="G158" s="41">
        <f>(E158-F757)^3</f>
        <v/>
      </c>
      <c r="H158" s="41">
        <f>(E158-F757)^4</f>
        <v/>
      </c>
      <c r="I158" s="40" t="n"/>
    </row>
    <row r="159" ht="15" customHeight="1" s="28">
      <c r="A159" s="37" t="n">
        <v>147</v>
      </c>
      <c r="B159" s="37" t="n">
        <v>146</v>
      </c>
      <c r="C159" s="38" t="n">
        <v>4643.78</v>
      </c>
      <c r="D159" s="38">
        <f>4541.138727+0.225904*B159</f>
        <v/>
      </c>
      <c r="E159" s="39">
        <f>C159-D159</f>
        <v/>
      </c>
      <c r="F159" s="39">
        <f>(E159-F757)^2</f>
        <v/>
      </c>
      <c r="G159" s="38">
        <f>(E159-F757)^3</f>
        <v/>
      </c>
      <c r="H159" s="38">
        <f>(E159-F757)^4</f>
        <v/>
      </c>
      <c r="I159" s="37" t="n"/>
    </row>
    <row r="160" ht="15" customHeight="1" s="28">
      <c r="A160" s="40" t="n">
        <v>148</v>
      </c>
      <c r="B160" s="40" t="n">
        <v>147</v>
      </c>
      <c r="C160" s="41" t="n">
        <v>4636.62</v>
      </c>
      <c r="D160" s="41">
        <f>4541.138727+0.225904*B160</f>
        <v/>
      </c>
      <c r="E160" s="42">
        <f>C160-D160</f>
        <v/>
      </c>
      <c r="F160" s="42">
        <f>(E160-F757)^2</f>
        <v/>
      </c>
      <c r="G160" s="41">
        <f>(E160-F757)^3</f>
        <v/>
      </c>
      <c r="H160" s="41">
        <f>(E160-F757)^4</f>
        <v/>
      </c>
      <c r="I160" s="40" t="n"/>
    </row>
    <row r="161" ht="15" customHeight="1" s="28">
      <c r="A161" s="37" t="n">
        <v>149</v>
      </c>
      <c r="B161" s="37" t="n">
        <v>148</v>
      </c>
      <c r="C161" s="38" t="n">
        <v>4639.68</v>
      </c>
      <c r="D161" s="38">
        <f>4541.138727+0.225904*B161</f>
        <v/>
      </c>
      <c r="E161" s="39">
        <f>C161-D161</f>
        <v/>
      </c>
      <c r="F161" s="39">
        <f>(E161-F757)^2</f>
        <v/>
      </c>
      <c r="G161" s="38">
        <f>(E161-F757)^3</f>
        <v/>
      </c>
      <c r="H161" s="38">
        <f>(E161-F757)^4</f>
        <v/>
      </c>
      <c r="I161" s="37" t="n"/>
    </row>
    <row r="162" ht="15" customHeight="1" s="28">
      <c r="A162" s="40" t="n">
        <v>150</v>
      </c>
      <c r="B162" s="40" t="n">
        <v>149</v>
      </c>
      <c r="C162" s="41" t="n">
        <v>4635.99</v>
      </c>
      <c r="D162" s="41">
        <f>4541.138727+0.225904*B162</f>
        <v/>
      </c>
      <c r="E162" s="42">
        <f>C162-D162</f>
        <v/>
      </c>
      <c r="F162" s="42">
        <f>(E162-F757)^2</f>
        <v/>
      </c>
      <c r="G162" s="41">
        <f>(E162-F757)^3</f>
        <v/>
      </c>
      <c r="H162" s="41">
        <f>(E162-F757)^4</f>
        <v/>
      </c>
      <c r="I162" s="40" t="n"/>
    </row>
    <row r="163" ht="15" customHeight="1" s="28">
      <c r="A163" s="37" t="n">
        <v>151</v>
      </c>
      <c r="B163" s="37" t="n">
        <v>150</v>
      </c>
      <c r="C163" s="38" t="n">
        <v>4637.7</v>
      </c>
      <c r="D163" s="38">
        <f>4541.138727+0.225904*B163</f>
        <v/>
      </c>
      <c r="E163" s="39">
        <f>C163-D163</f>
        <v/>
      </c>
      <c r="F163" s="39">
        <f>(E163-F757)^2</f>
        <v/>
      </c>
      <c r="G163" s="38">
        <f>(E163-F757)^3</f>
        <v/>
      </c>
      <c r="H163" s="38">
        <f>(E163-F757)^4</f>
        <v/>
      </c>
      <c r="I163" s="37" t="n"/>
    </row>
    <row r="164" ht="15" customHeight="1" s="28">
      <c r="A164" s="40" t="n">
        <v>152</v>
      </c>
      <c r="B164" s="40" t="n">
        <v>151</v>
      </c>
      <c r="C164" s="41" t="n">
        <v>4629.82</v>
      </c>
      <c r="D164" s="41">
        <f>4541.138727+0.225904*B164</f>
        <v/>
      </c>
      <c r="E164" s="42">
        <f>C164-D164</f>
        <v/>
      </c>
      <c r="F164" s="42">
        <f>(E164-F757)^2</f>
        <v/>
      </c>
      <c r="G164" s="41">
        <f>(E164-F757)^3</f>
        <v/>
      </c>
      <c r="H164" s="41">
        <f>(E164-F757)^4</f>
        <v/>
      </c>
      <c r="I164" s="40" t="n"/>
    </row>
    <row r="165" ht="15" customHeight="1" s="28">
      <c r="A165" s="37" t="n">
        <v>153</v>
      </c>
      <c r="B165" s="37" t="n">
        <v>152</v>
      </c>
      <c r="C165" s="38" t="n">
        <v>4630.21</v>
      </c>
      <c r="D165" s="38">
        <f>4541.138727+0.225904*B165</f>
        <v/>
      </c>
      <c r="E165" s="39">
        <f>C165-D165</f>
        <v/>
      </c>
      <c r="F165" s="39">
        <f>(E165-F757)^2</f>
        <v/>
      </c>
      <c r="G165" s="38">
        <f>(E165-F757)^3</f>
        <v/>
      </c>
      <c r="H165" s="38">
        <f>(E165-F757)^4</f>
        <v/>
      </c>
      <c r="I165" s="37" t="n"/>
    </row>
    <row r="166" ht="15" customHeight="1" s="28">
      <c r="A166" s="40" t="n">
        <v>154</v>
      </c>
      <c r="B166" s="40" t="n">
        <v>153</v>
      </c>
      <c r="C166" s="41" t="n">
        <v>4635.81</v>
      </c>
      <c r="D166" s="41">
        <f>4541.138727+0.225904*B166</f>
        <v/>
      </c>
      <c r="E166" s="42">
        <f>C166-D166</f>
        <v/>
      </c>
      <c r="F166" s="42">
        <f>(E166-F757)^2</f>
        <v/>
      </c>
      <c r="G166" s="41">
        <f>(E166-F757)^3</f>
        <v/>
      </c>
      <c r="H166" s="41">
        <f>(E166-F757)^4</f>
        <v/>
      </c>
      <c r="I166" s="40" t="n"/>
    </row>
    <row r="167" ht="15" customHeight="1" s="28">
      <c r="A167" s="37" t="n">
        <v>155</v>
      </c>
      <c r="B167" s="37" t="n">
        <v>154</v>
      </c>
      <c r="C167" s="38" t="n">
        <v>4630.51</v>
      </c>
      <c r="D167" s="38">
        <f>4541.138727+0.225904*B167</f>
        <v/>
      </c>
      <c r="E167" s="39">
        <f>C167-D167</f>
        <v/>
      </c>
      <c r="F167" s="39">
        <f>(E167-F757)^2</f>
        <v/>
      </c>
      <c r="G167" s="38">
        <f>(E167-F757)^3</f>
        <v/>
      </c>
      <c r="H167" s="38">
        <f>(E167-F757)^4</f>
        <v/>
      </c>
      <c r="I167" s="37" t="n"/>
    </row>
    <row r="168" ht="15" customHeight="1" s="28">
      <c r="A168" s="40" t="n">
        <v>156</v>
      </c>
      <c r="B168" s="40" t="n">
        <v>155</v>
      </c>
      <c r="C168" s="41" t="n">
        <v>4625.92</v>
      </c>
      <c r="D168" s="41">
        <f>4541.138727+0.225904*B168</f>
        <v/>
      </c>
      <c r="E168" s="42">
        <f>C168-D168</f>
        <v/>
      </c>
      <c r="F168" s="42">
        <f>(E168-F757)^2</f>
        <v/>
      </c>
      <c r="G168" s="41">
        <f>(E168-F757)^3</f>
        <v/>
      </c>
      <c r="H168" s="41">
        <f>(E168-F757)^4</f>
        <v/>
      </c>
      <c r="I168" s="40" t="n"/>
    </row>
    <row r="169" ht="15" customHeight="1" s="28">
      <c r="A169" s="37" t="n">
        <v>157</v>
      </c>
      <c r="B169" s="37" t="n">
        <v>156</v>
      </c>
      <c r="C169" s="38" t="n">
        <v>4639.57</v>
      </c>
      <c r="D169" s="38">
        <f>4541.138727+0.225904*B169</f>
        <v/>
      </c>
      <c r="E169" s="39">
        <f>C169-D169</f>
        <v/>
      </c>
      <c r="F169" s="39">
        <f>(E169-F757)^2</f>
        <v/>
      </c>
      <c r="G169" s="38">
        <f>(E169-F757)^3</f>
        <v/>
      </c>
      <c r="H169" s="38">
        <f>(E169-F757)^4</f>
        <v/>
      </c>
      <c r="I169" s="37" t="n"/>
    </row>
    <row r="170" ht="15" customHeight="1" s="28">
      <c r="A170" s="40" t="n">
        <v>158</v>
      </c>
      <c r="B170" s="40" t="n">
        <v>157</v>
      </c>
      <c r="C170" s="41" t="n">
        <v>4641.5</v>
      </c>
      <c r="D170" s="41">
        <f>4541.138727+0.225904*B170</f>
        <v/>
      </c>
      <c r="E170" s="42">
        <f>C170-D170</f>
        <v/>
      </c>
      <c r="F170" s="42">
        <f>(E170-F757)^2</f>
        <v/>
      </c>
      <c r="G170" s="41">
        <f>(E170-F757)^3</f>
        <v/>
      </c>
      <c r="H170" s="41">
        <f>(E170-F757)^4</f>
        <v/>
      </c>
      <c r="I170" s="40" t="n"/>
    </row>
    <row r="171" ht="15" customHeight="1" s="28">
      <c r="A171" s="37" t="n">
        <v>159</v>
      </c>
      <c r="B171" s="37" t="n">
        <v>158</v>
      </c>
      <c r="C171" s="38" t="n">
        <v>4633.5</v>
      </c>
      <c r="D171" s="38">
        <f>4541.138727+0.225904*B171</f>
        <v/>
      </c>
      <c r="E171" s="39">
        <f>C171-D171</f>
        <v/>
      </c>
      <c r="F171" s="39">
        <f>(E171-F757)^2</f>
        <v/>
      </c>
      <c r="G171" s="38">
        <f>(E171-F757)^3</f>
        <v/>
      </c>
      <c r="H171" s="38">
        <f>(E171-F757)^4</f>
        <v/>
      </c>
      <c r="I171" s="37" t="n"/>
    </row>
    <row r="172" ht="15" customHeight="1" s="28">
      <c r="A172" s="40" t="n">
        <v>160</v>
      </c>
      <c r="B172" s="40" t="n">
        <v>159</v>
      </c>
      <c r="C172" s="41" t="n">
        <v>4625.44</v>
      </c>
      <c r="D172" s="41">
        <f>4541.138727+0.225904*B172</f>
        <v/>
      </c>
      <c r="E172" s="42">
        <f>C172-D172</f>
        <v/>
      </c>
      <c r="F172" s="42">
        <f>(E172-F757)^2</f>
        <v/>
      </c>
      <c r="G172" s="41">
        <f>(E172-F757)^3</f>
        <v/>
      </c>
      <c r="H172" s="41">
        <f>(E172-F757)^4</f>
        <v/>
      </c>
      <c r="I172" s="40" t="n"/>
    </row>
    <row r="173" ht="15" customHeight="1" s="28">
      <c r="A173" s="37" t="n">
        <v>161</v>
      </c>
      <c r="B173" s="37" t="n">
        <v>160</v>
      </c>
      <c r="C173" s="38" t="n">
        <v>4610.99</v>
      </c>
      <c r="D173" s="38">
        <f>4541.138727+0.225904*B173</f>
        <v/>
      </c>
      <c r="E173" s="39">
        <f>C173-D173</f>
        <v/>
      </c>
      <c r="F173" s="39">
        <f>(E173-F757)^2</f>
        <v/>
      </c>
      <c r="G173" s="38">
        <f>(E173-F757)^3</f>
        <v/>
      </c>
      <c r="H173" s="38">
        <f>(E173-F757)^4</f>
        <v/>
      </c>
      <c r="I173" s="37" t="n"/>
    </row>
    <row r="174" ht="15" customHeight="1" s="28">
      <c r="A174" s="40" t="n">
        <v>162</v>
      </c>
      <c r="B174" s="40" t="n">
        <v>161</v>
      </c>
      <c r="C174" s="41" t="n">
        <v>4620.39</v>
      </c>
      <c r="D174" s="41">
        <f>4541.138727+0.225904*B174</f>
        <v/>
      </c>
      <c r="E174" s="42">
        <f>C174-D174</f>
        <v/>
      </c>
      <c r="F174" s="42">
        <f>(E174-F757)^2</f>
        <v/>
      </c>
      <c r="G174" s="41">
        <f>(E174-F757)^3</f>
        <v/>
      </c>
      <c r="H174" s="41">
        <f>(E174-F757)^4</f>
        <v/>
      </c>
      <c r="I174" s="40" t="n"/>
    </row>
    <row r="175" ht="15" customHeight="1" s="28">
      <c r="A175" s="37" t="n">
        <v>163</v>
      </c>
      <c r="B175" s="37" t="n">
        <v>162</v>
      </c>
      <c r="C175" s="38" t="n">
        <v>4622.81</v>
      </c>
      <c r="D175" s="38">
        <f>4541.138727+0.225904*B175</f>
        <v/>
      </c>
      <c r="E175" s="39">
        <f>C175-D175</f>
        <v/>
      </c>
      <c r="F175" s="39">
        <f>(E175-F757)^2</f>
        <v/>
      </c>
      <c r="G175" s="38">
        <f>(E175-F757)^3</f>
        <v/>
      </c>
      <c r="H175" s="38">
        <f>(E175-F757)^4</f>
        <v/>
      </c>
      <c r="I175" s="37" t="n"/>
    </row>
    <row r="176" ht="15" customHeight="1" s="28">
      <c r="A176" s="40" t="n">
        <v>164</v>
      </c>
      <c r="B176" s="40" t="n">
        <v>163</v>
      </c>
      <c r="C176" s="41" t="n">
        <v>4617.7</v>
      </c>
      <c r="D176" s="41">
        <f>4541.138727+0.225904*B176</f>
        <v/>
      </c>
      <c r="E176" s="42">
        <f>C176-D176</f>
        <v/>
      </c>
      <c r="F176" s="42">
        <f>(E176-F757)^2</f>
        <v/>
      </c>
      <c r="G176" s="41">
        <f>(E176-F757)^3</f>
        <v/>
      </c>
      <c r="H176" s="41">
        <f>(E176-F757)^4</f>
        <v/>
      </c>
      <c r="I176" s="40" t="n"/>
    </row>
    <row r="177" ht="15" customHeight="1" s="28">
      <c r="A177" s="37" t="n">
        <v>165</v>
      </c>
      <c r="B177" s="37" t="n">
        <v>164</v>
      </c>
      <c r="C177" s="38" t="n">
        <v>4619.59</v>
      </c>
      <c r="D177" s="38">
        <f>4541.138727+0.225904*B177</f>
        <v/>
      </c>
      <c r="E177" s="39">
        <f>C177-D177</f>
        <v/>
      </c>
      <c r="F177" s="39">
        <f>(E177-F757)^2</f>
        <v/>
      </c>
      <c r="G177" s="38">
        <f>(E177-F757)^3</f>
        <v/>
      </c>
      <c r="H177" s="38">
        <f>(E177-F757)^4</f>
        <v/>
      </c>
      <c r="I177" s="37" t="n"/>
    </row>
    <row r="178" ht="15" customHeight="1" s="28">
      <c r="A178" s="40" t="n">
        <v>166</v>
      </c>
      <c r="B178" s="40" t="n">
        <v>165</v>
      </c>
      <c r="C178" s="41" t="n">
        <v>4620.13</v>
      </c>
      <c r="D178" s="41">
        <f>4541.138727+0.225904*B178</f>
        <v/>
      </c>
      <c r="E178" s="42">
        <f>C178-D178</f>
        <v/>
      </c>
      <c r="F178" s="42">
        <f>(E178-F757)^2</f>
        <v/>
      </c>
      <c r="G178" s="41">
        <f>(E178-F757)^3</f>
        <v/>
      </c>
      <c r="H178" s="41">
        <f>(E178-F757)^4</f>
        <v/>
      </c>
      <c r="I178" s="40" t="n"/>
    </row>
    <row r="179" ht="15" customHeight="1" s="28">
      <c r="A179" s="37" t="n">
        <v>167</v>
      </c>
      <c r="B179" s="37" t="n">
        <v>166</v>
      </c>
      <c r="C179" s="38" t="n">
        <v>4623.09</v>
      </c>
      <c r="D179" s="38">
        <f>4541.138727+0.225904*B179</f>
        <v/>
      </c>
      <c r="E179" s="39">
        <f>C179-D179</f>
        <v/>
      </c>
      <c r="F179" s="39">
        <f>(E179-F757)^2</f>
        <v/>
      </c>
      <c r="G179" s="38">
        <f>(E179-F757)^3</f>
        <v/>
      </c>
      <c r="H179" s="38">
        <f>(E179-F757)^4</f>
        <v/>
      </c>
      <c r="I179" s="37" t="n"/>
    </row>
    <row r="180" ht="15" customHeight="1" s="28">
      <c r="A180" s="40" t="n">
        <v>168</v>
      </c>
      <c r="B180" s="40" t="n">
        <v>167</v>
      </c>
      <c r="C180" s="41" t="n">
        <v>4615.65</v>
      </c>
      <c r="D180" s="41">
        <f>4541.138727+0.225904*B180</f>
        <v/>
      </c>
      <c r="E180" s="42">
        <f>C180-D180</f>
        <v/>
      </c>
      <c r="F180" s="42">
        <f>(E180-F757)^2</f>
        <v/>
      </c>
      <c r="G180" s="41">
        <f>(E180-F757)^3</f>
        <v/>
      </c>
      <c r="H180" s="41">
        <f>(E180-F757)^4</f>
        <v/>
      </c>
      <c r="I180" s="40" t="n"/>
    </row>
    <row r="181" ht="15" customHeight="1" s="28">
      <c r="A181" s="37" t="n">
        <v>169</v>
      </c>
      <c r="B181" s="37" t="n">
        <v>168</v>
      </c>
      <c r="C181" s="38" t="n">
        <v>4615.35</v>
      </c>
      <c r="D181" s="38">
        <f>4541.138727+0.225904*B181</f>
        <v/>
      </c>
      <c r="E181" s="39">
        <f>C181-D181</f>
        <v/>
      </c>
      <c r="F181" s="39">
        <f>(E181-F757)^2</f>
        <v/>
      </c>
      <c r="G181" s="38">
        <f>(E181-F757)^3</f>
        <v/>
      </c>
      <c r="H181" s="38">
        <f>(E181-F757)^4</f>
        <v/>
      </c>
      <c r="I181" s="37" t="n"/>
    </row>
    <row r="182" ht="15" customHeight="1" s="28">
      <c r="A182" s="40" t="n">
        <v>170</v>
      </c>
      <c r="B182" s="40" t="n">
        <v>169</v>
      </c>
      <c r="C182" s="41" t="n">
        <v>4611.63</v>
      </c>
      <c r="D182" s="41">
        <f>4541.138727+0.225904*B182</f>
        <v/>
      </c>
      <c r="E182" s="42">
        <f>C182-D182</f>
        <v/>
      </c>
      <c r="F182" s="42">
        <f>(E182-F757)^2</f>
        <v/>
      </c>
      <c r="G182" s="41">
        <f>(E182-F757)^3</f>
        <v/>
      </c>
      <c r="H182" s="41">
        <f>(E182-F757)^4</f>
        <v/>
      </c>
      <c r="I182" s="40" t="n"/>
    </row>
    <row r="183" ht="15" customHeight="1" s="28">
      <c r="A183" s="37" t="n">
        <v>171</v>
      </c>
      <c r="B183" s="37" t="n">
        <v>170</v>
      </c>
      <c r="C183" s="38" t="n">
        <v>4608.08</v>
      </c>
      <c r="D183" s="38">
        <f>4541.138727+0.225904*B183</f>
        <v/>
      </c>
      <c r="E183" s="39">
        <f>C183-D183</f>
        <v/>
      </c>
      <c r="F183" s="39">
        <f>(E183-F757)^2</f>
        <v/>
      </c>
      <c r="G183" s="38">
        <f>(E183-F757)^3</f>
        <v/>
      </c>
      <c r="H183" s="38">
        <f>(E183-F757)^4</f>
        <v/>
      </c>
      <c r="I183" s="37" t="n"/>
    </row>
    <row r="184" ht="15" customHeight="1" s="28">
      <c r="A184" s="40" t="n">
        <v>172</v>
      </c>
      <c r="B184" s="40" t="n">
        <v>171</v>
      </c>
      <c r="C184" s="41" t="n">
        <v>4609.12</v>
      </c>
      <c r="D184" s="41">
        <f>4541.138727+0.225904*B184</f>
        <v/>
      </c>
      <c r="E184" s="42">
        <f>C184-D184</f>
        <v/>
      </c>
      <c r="F184" s="42">
        <f>(E184-F757)^2</f>
        <v/>
      </c>
      <c r="G184" s="41">
        <f>(E184-F757)^3</f>
        <v/>
      </c>
      <c r="H184" s="41">
        <f>(E184-F757)^4</f>
        <v/>
      </c>
      <c r="I184" s="40" t="n"/>
    </row>
    <row r="185" ht="15" customHeight="1" s="28">
      <c r="A185" s="37" t="n">
        <v>173</v>
      </c>
      <c r="B185" s="37" t="n">
        <v>172</v>
      </c>
      <c r="C185" s="38" t="n">
        <v>4607.62</v>
      </c>
      <c r="D185" s="38">
        <f>4541.138727+0.225904*B185</f>
        <v/>
      </c>
      <c r="E185" s="39">
        <f>C185-D185</f>
        <v/>
      </c>
      <c r="F185" s="39">
        <f>(E185-F757)^2</f>
        <v/>
      </c>
      <c r="G185" s="38">
        <f>(E185-F757)^3</f>
        <v/>
      </c>
      <c r="H185" s="38">
        <f>(E185-F757)^4</f>
        <v/>
      </c>
      <c r="I185" s="37" t="n"/>
    </row>
    <row r="186" ht="15" customHeight="1" s="28">
      <c r="A186" s="40" t="n">
        <v>174</v>
      </c>
      <c r="B186" s="40" t="n">
        <v>173</v>
      </c>
      <c r="C186" s="41" t="n">
        <v>4615.95</v>
      </c>
      <c r="D186" s="41">
        <f>4541.138727+0.225904*B186</f>
        <v/>
      </c>
      <c r="E186" s="42">
        <f>C186-D186</f>
        <v/>
      </c>
      <c r="F186" s="42">
        <f>(E186-F757)^2</f>
        <v/>
      </c>
      <c r="G186" s="41">
        <f>(E186-F757)^3</f>
        <v/>
      </c>
      <c r="H186" s="41">
        <f>(E186-F757)^4</f>
        <v/>
      </c>
      <c r="I186" s="40" t="n"/>
    </row>
    <row r="187" ht="15" customHeight="1" s="28">
      <c r="A187" s="37" t="n">
        <v>175</v>
      </c>
      <c r="B187" s="37" t="n">
        <v>174</v>
      </c>
      <c r="C187" s="38" t="n">
        <v>4618</v>
      </c>
      <c r="D187" s="38">
        <f>4541.138727+0.225904*B187</f>
        <v/>
      </c>
      <c r="E187" s="39">
        <f>C187-D187</f>
        <v/>
      </c>
      <c r="F187" s="39">
        <f>(E187-F757)^2</f>
        <v/>
      </c>
      <c r="G187" s="38">
        <f>(E187-F757)^3</f>
        <v/>
      </c>
      <c r="H187" s="38">
        <f>(E187-F757)^4</f>
        <v/>
      </c>
      <c r="I187" s="37" t="n"/>
    </row>
    <row r="188" ht="15" customHeight="1" s="28">
      <c r="A188" s="40" t="n">
        <v>176</v>
      </c>
      <c r="B188" s="40" t="n">
        <v>175</v>
      </c>
      <c r="C188" s="41" t="n">
        <v>4617.86</v>
      </c>
      <c r="D188" s="41">
        <f>4541.138727+0.225904*B188</f>
        <v/>
      </c>
      <c r="E188" s="42">
        <f>C188-D188</f>
        <v/>
      </c>
      <c r="F188" s="42">
        <f>(E188-F757)^2</f>
        <v/>
      </c>
      <c r="G188" s="41">
        <f>(E188-F757)^3</f>
        <v/>
      </c>
      <c r="H188" s="41">
        <f>(E188-F757)^4</f>
        <v/>
      </c>
      <c r="I188" s="40" t="n"/>
    </row>
    <row r="189" ht="15" customHeight="1" s="28">
      <c r="A189" s="37" t="n">
        <v>177</v>
      </c>
      <c r="B189" s="37" t="n">
        <v>176</v>
      </c>
      <c r="C189" s="38" t="n">
        <v>4616.86</v>
      </c>
      <c r="D189" s="38">
        <f>4541.138727+0.225904*B189</f>
        <v/>
      </c>
      <c r="E189" s="39">
        <f>C189-D189</f>
        <v/>
      </c>
      <c r="F189" s="39">
        <f>(E189-F757)^2</f>
        <v/>
      </c>
      <c r="G189" s="38">
        <f>(E189-F757)^3</f>
        <v/>
      </c>
      <c r="H189" s="38">
        <f>(E189-F757)^4</f>
        <v/>
      </c>
      <c r="I189" s="37" t="n"/>
    </row>
    <row r="190" ht="15" customHeight="1" s="28">
      <c r="A190" s="40" t="n">
        <v>178</v>
      </c>
      <c r="B190" s="40" t="n">
        <v>177</v>
      </c>
      <c r="C190" s="41" t="n">
        <v>4620.57</v>
      </c>
      <c r="D190" s="41">
        <f>4541.138727+0.225904*B190</f>
        <v/>
      </c>
      <c r="E190" s="42">
        <f>C190-D190</f>
        <v/>
      </c>
      <c r="F190" s="42">
        <f>(E190-F757)^2</f>
        <v/>
      </c>
      <c r="G190" s="41">
        <f>(E190-F757)^3</f>
        <v/>
      </c>
      <c r="H190" s="41">
        <f>(E190-F757)^4</f>
        <v/>
      </c>
      <c r="I190" s="40" t="n"/>
    </row>
    <row r="191" ht="15" customHeight="1" s="28">
      <c r="A191" s="37" t="n">
        <v>179</v>
      </c>
      <c r="B191" s="37" t="n">
        <v>178</v>
      </c>
      <c r="C191" s="38" t="n">
        <v>4620.79</v>
      </c>
      <c r="D191" s="38">
        <f>4541.138727+0.225904*B191</f>
        <v/>
      </c>
      <c r="E191" s="39">
        <f>C191-D191</f>
        <v/>
      </c>
      <c r="F191" s="39">
        <f>(E191-F757)^2</f>
        <v/>
      </c>
      <c r="G191" s="38">
        <f>(E191-F757)^3</f>
        <v/>
      </c>
      <c r="H191" s="38">
        <f>(E191-F757)^4</f>
        <v/>
      </c>
      <c r="I191" s="37" t="n"/>
    </row>
    <row r="192" ht="15" customHeight="1" s="28">
      <c r="A192" s="40" t="n">
        <v>180</v>
      </c>
      <c r="B192" s="40" t="n">
        <v>179</v>
      </c>
      <c r="C192" s="41" t="n">
        <v>4620.7</v>
      </c>
      <c r="D192" s="41">
        <f>4541.138727+0.225904*B192</f>
        <v/>
      </c>
      <c r="E192" s="42">
        <f>C192-D192</f>
        <v/>
      </c>
      <c r="F192" s="42">
        <f>(E192-F757)^2</f>
        <v/>
      </c>
      <c r="G192" s="41">
        <f>(E192-F757)^3</f>
        <v/>
      </c>
      <c r="H192" s="41">
        <f>(E192-F757)^4</f>
        <v/>
      </c>
      <c r="I192" s="40" t="n"/>
    </row>
    <row r="193" ht="15" customHeight="1" s="28">
      <c r="A193" s="37" t="n">
        <v>181</v>
      </c>
      <c r="B193" s="37" t="n">
        <v>180</v>
      </c>
      <c r="C193" s="38" t="n">
        <v>4622.48</v>
      </c>
      <c r="D193" s="38">
        <f>4541.138727+0.225904*B193</f>
        <v/>
      </c>
      <c r="E193" s="39">
        <f>C193-D193</f>
        <v/>
      </c>
      <c r="F193" s="39">
        <f>(E193-F757)^2</f>
        <v/>
      </c>
      <c r="G193" s="38">
        <f>(E193-F757)^3</f>
        <v/>
      </c>
      <c r="H193" s="38">
        <f>(E193-F757)^4</f>
        <v/>
      </c>
      <c r="I193" s="37" t="n"/>
    </row>
    <row r="194" ht="15" customHeight="1" s="28">
      <c r="A194" s="40" t="n">
        <v>182</v>
      </c>
      <c r="B194" s="40" t="n">
        <v>181</v>
      </c>
      <c r="C194" s="41" t="n">
        <v>4624.33</v>
      </c>
      <c r="D194" s="41">
        <f>4541.138727+0.225904*B194</f>
        <v/>
      </c>
      <c r="E194" s="42">
        <f>C194-D194</f>
        <v/>
      </c>
      <c r="F194" s="42">
        <f>(E194-F757)^2</f>
        <v/>
      </c>
      <c r="G194" s="41">
        <f>(E194-F757)^3</f>
        <v/>
      </c>
      <c r="H194" s="41">
        <f>(E194-F757)^4</f>
        <v/>
      </c>
      <c r="I194" s="40" t="n"/>
    </row>
    <row r="195" ht="15" customHeight="1" s="28">
      <c r="A195" s="37" t="n">
        <v>183</v>
      </c>
      <c r="B195" s="37" t="n">
        <v>182</v>
      </c>
      <c r="C195" s="38" t="n">
        <v>4617.77</v>
      </c>
      <c r="D195" s="38">
        <f>4541.138727+0.225904*B195</f>
        <v/>
      </c>
      <c r="E195" s="39">
        <f>C195-D195</f>
        <v/>
      </c>
      <c r="F195" s="39">
        <f>(E195-F757)^2</f>
        <v/>
      </c>
      <c r="G195" s="38">
        <f>(E195-F757)^3</f>
        <v/>
      </c>
      <c r="H195" s="38">
        <f>(E195-F757)^4</f>
        <v/>
      </c>
      <c r="I195" s="37" t="n"/>
    </row>
    <row r="196" ht="15" customHeight="1" s="28">
      <c r="A196" s="40" t="n">
        <v>184</v>
      </c>
      <c r="B196" s="40" t="n">
        <v>183</v>
      </c>
      <c r="C196" s="41" t="n">
        <v>4622.49</v>
      </c>
      <c r="D196" s="41">
        <f>4541.138727+0.225904*B196</f>
        <v/>
      </c>
      <c r="E196" s="42">
        <f>C196-D196</f>
        <v/>
      </c>
      <c r="F196" s="42">
        <f>(E196-F757)^2</f>
        <v/>
      </c>
      <c r="G196" s="41">
        <f>(E196-F757)^3</f>
        <v/>
      </c>
      <c r="H196" s="41">
        <f>(E196-F757)^4</f>
        <v/>
      </c>
      <c r="I196" s="40" t="n"/>
    </row>
    <row r="197" ht="15" customHeight="1" s="28">
      <c r="A197" s="37" t="n">
        <v>185</v>
      </c>
      <c r="B197" s="37" t="n">
        <v>184</v>
      </c>
      <c r="C197" s="38" t="n">
        <v>4617.07</v>
      </c>
      <c r="D197" s="38">
        <f>4541.138727+0.225904*B197</f>
        <v/>
      </c>
      <c r="E197" s="39">
        <f>C197-D197</f>
        <v/>
      </c>
      <c r="F197" s="39">
        <f>(E197-F757)^2</f>
        <v/>
      </c>
      <c r="G197" s="38">
        <f>(E197-F757)^3</f>
        <v/>
      </c>
      <c r="H197" s="38">
        <f>(E197-F757)^4</f>
        <v/>
      </c>
      <c r="I197" s="37" t="n"/>
    </row>
    <row r="198" ht="15" customHeight="1" s="28">
      <c r="A198" s="40" t="n">
        <v>186</v>
      </c>
      <c r="B198" s="40" t="n">
        <v>185</v>
      </c>
      <c r="C198" s="41" t="n">
        <v>4616.16</v>
      </c>
      <c r="D198" s="41">
        <f>4541.138727+0.225904*B198</f>
        <v/>
      </c>
      <c r="E198" s="42">
        <f>C198-D198</f>
        <v/>
      </c>
      <c r="F198" s="42">
        <f>(E198-F757)^2</f>
        <v/>
      </c>
      <c r="G198" s="41">
        <f>(E198-F757)^3</f>
        <v/>
      </c>
      <c r="H198" s="41">
        <f>(E198-F757)^4</f>
        <v/>
      </c>
      <c r="I198" s="40" t="n"/>
    </row>
    <row r="199" ht="15" customHeight="1" s="28">
      <c r="A199" s="37" t="n">
        <v>187</v>
      </c>
      <c r="B199" s="37" t="n">
        <v>186</v>
      </c>
      <c r="C199" s="38" t="n">
        <v>4616.72</v>
      </c>
      <c r="D199" s="38">
        <f>4541.138727+0.225904*B199</f>
        <v/>
      </c>
      <c r="E199" s="39">
        <f>C199-D199</f>
        <v/>
      </c>
      <c r="F199" s="39">
        <f>(E199-F757)^2</f>
        <v/>
      </c>
      <c r="G199" s="38">
        <f>(E199-F757)^3</f>
        <v/>
      </c>
      <c r="H199" s="38">
        <f>(E199-F757)^4</f>
        <v/>
      </c>
      <c r="I199" s="37" t="n"/>
    </row>
    <row r="200" ht="15" customHeight="1" s="28">
      <c r="A200" s="40" t="n">
        <v>188</v>
      </c>
      <c r="B200" s="40" t="n">
        <v>187</v>
      </c>
      <c r="C200" s="41" t="n">
        <v>4617.33</v>
      </c>
      <c r="D200" s="41">
        <f>4541.138727+0.225904*B200</f>
        <v/>
      </c>
      <c r="E200" s="42">
        <f>C200-D200</f>
        <v/>
      </c>
      <c r="F200" s="42">
        <f>(E200-F757)^2</f>
        <v/>
      </c>
      <c r="G200" s="41">
        <f>(E200-F757)^3</f>
        <v/>
      </c>
      <c r="H200" s="41">
        <f>(E200-F757)^4</f>
        <v/>
      </c>
      <c r="I200" s="40" t="n"/>
    </row>
    <row r="201" ht="15" customHeight="1" s="28">
      <c r="A201" s="37" t="n">
        <v>189</v>
      </c>
      <c r="B201" s="37" t="n">
        <v>188</v>
      </c>
      <c r="C201" s="38" t="n">
        <v>4621.81</v>
      </c>
      <c r="D201" s="38">
        <f>4541.138727+0.225904*B201</f>
        <v/>
      </c>
      <c r="E201" s="39">
        <f>C201-D201</f>
        <v/>
      </c>
      <c r="F201" s="39">
        <f>(E201-F757)^2</f>
        <v/>
      </c>
      <c r="G201" s="38">
        <f>(E201-F757)^3</f>
        <v/>
      </c>
      <c r="H201" s="38">
        <f>(E201-F757)^4</f>
        <v/>
      </c>
      <c r="I201" s="37" t="n"/>
    </row>
    <row r="202" ht="15" customHeight="1" s="28">
      <c r="A202" s="40" t="n">
        <v>190</v>
      </c>
      <c r="B202" s="40" t="n">
        <v>189</v>
      </c>
      <c r="C202" s="41" t="n">
        <v>4631.38</v>
      </c>
      <c r="D202" s="41">
        <f>4541.138727+0.225904*B202</f>
        <v/>
      </c>
      <c r="E202" s="42">
        <f>C202-D202</f>
        <v/>
      </c>
      <c r="F202" s="42">
        <f>(E202-F757)^2</f>
        <v/>
      </c>
      <c r="G202" s="41">
        <f>(E202-F757)^3</f>
        <v/>
      </c>
      <c r="H202" s="41">
        <f>(E202-F757)^4</f>
        <v/>
      </c>
      <c r="I202" s="40" t="n"/>
    </row>
    <row r="203" ht="15" customHeight="1" s="28">
      <c r="A203" s="37" t="n">
        <v>191</v>
      </c>
      <c r="B203" s="37" t="n">
        <v>190</v>
      </c>
      <c r="C203" s="38" t="n">
        <v>4631.38</v>
      </c>
      <c r="D203" s="38">
        <f>4541.138727+0.225904*B203</f>
        <v/>
      </c>
      <c r="E203" s="39">
        <f>C203-D203</f>
        <v/>
      </c>
      <c r="F203" s="39">
        <f>(E203-F757)^2</f>
        <v/>
      </c>
      <c r="G203" s="38">
        <f>(E203-F757)^3</f>
        <v/>
      </c>
      <c r="H203" s="38">
        <f>(E203-F757)^4</f>
        <v/>
      </c>
      <c r="I203" s="37" t="n"/>
    </row>
    <row r="204" ht="15" customHeight="1" s="28">
      <c r="A204" s="40" t="n">
        <v>192</v>
      </c>
      <c r="B204" s="40" t="n">
        <v>191</v>
      </c>
      <c r="C204" s="41" t="n">
        <v>4631.75</v>
      </c>
      <c r="D204" s="41">
        <f>4541.138727+0.225904*B204</f>
        <v/>
      </c>
      <c r="E204" s="42">
        <f>C204-D204</f>
        <v/>
      </c>
      <c r="F204" s="42">
        <f>(E204-F757)^2</f>
        <v/>
      </c>
      <c r="G204" s="41">
        <f>(E204-F757)^3</f>
        <v/>
      </c>
      <c r="H204" s="41">
        <f>(E204-F757)^4</f>
        <v/>
      </c>
      <c r="I204" s="40" t="n"/>
    </row>
    <row r="205" ht="15" customHeight="1" s="28">
      <c r="A205" s="37" t="n">
        <v>193</v>
      </c>
      <c r="B205" s="37" t="n">
        <v>192</v>
      </c>
      <c r="C205" s="38" t="n">
        <v>4630.51</v>
      </c>
      <c r="D205" s="38">
        <f>4541.138727+0.225904*B205</f>
        <v/>
      </c>
      <c r="E205" s="39">
        <f>C205-D205</f>
        <v/>
      </c>
      <c r="F205" s="39">
        <f>(E205-F757)^2</f>
        <v/>
      </c>
      <c r="G205" s="38">
        <f>(E205-F757)^3</f>
        <v/>
      </c>
      <c r="H205" s="38">
        <f>(E205-F757)^4</f>
        <v/>
      </c>
      <c r="I205" s="37" t="n"/>
    </row>
    <row r="206" ht="15" customHeight="1" s="28">
      <c r="A206" s="40" t="n">
        <v>194</v>
      </c>
      <c r="B206" s="40" t="n">
        <v>193</v>
      </c>
      <c r="C206" s="41" t="n">
        <v>4630.26</v>
      </c>
      <c r="D206" s="41">
        <f>4541.138727+0.225904*B206</f>
        <v/>
      </c>
      <c r="E206" s="42">
        <f>C206-D206</f>
        <v/>
      </c>
      <c r="F206" s="42">
        <f>(E206-F757)^2</f>
        <v/>
      </c>
      <c r="G206" s="41">
        <f>(E206-F757)^3</f>
        <v/>
      </c>
      <c r="H206" s="41">
        <f>(E206-F757)^4</f>
        <v/>
      </c>
      <c r="I206" s="40" t="n"/>
    </row>
    <row r="207" ht="15" customHeight="1" s="28">
      <c r="A207" s="37" t="n">
        <v>195</v>
      </c>
      <c r="B207" s="37" t="n">
        <v>194</v>
      </c>
      <c r="C207" s="38" t="n">
        <v>4630.75</v>
      </c>
      <c r="D207" s="38">
        <f>4541.138727+0.225904*B207</f>
        <v/>
      </c>
      <c r="E207" s="39">
        <f>C207-D207</f>
        <v/>
      </c>
      <c r="F207" s="39">
        <f>(E207-F757)^2</f>
        <v/>
      </c>
      <c r="G207" s="38">
        <f>(E207-F757)^3</f>
        <v/>
      </c>
      <c r="H207" s="38">
        <f>(E207-F757)^4</f>
        <v/>
      </c>
      <c r="I207" s="37" t="n"/>
    </row>
    <row r="208" ht="15" customHeight="1" s="28">
      <c r="A208" s="40" t="n">
        <v>196</v>
      </c>
      <c r="B208" s="40" t="n">
        <v>195</v>
      </c>
      <c r="C208" s="41" t="n">
        <v>4631.31</v>
      </c>
      <c r="D208" s="41">
        <f>4541.138727+0.225904*B208</f>
        <v/>
      </c>
      <c r="E208" s="42">
        <f>C208-D208</f>
        <v/>
      </c>
      <c r="F208" s="42">
        <f>(E208-F757)^2</f>
        <v/>
      </c>
      <c r="G208" s="41">
        <f>(E208-F757)^3</f>
        <v/>
      </c>
      <c r="H208" s="41">
        <f>(E208-F757)^4</f>
        <v/>
      </c>
      <c r="I208" s="40" t="n"/>
    </row>
    <row r="209" ht="15" customHeight="1" s="28">
      <c r="A209" s="37" t="n">
        <v>197</v>
      </c>
      <c r="B209" s="37" t="n">
        <v>196</v>
      </c>
      <c r="C209" s="38" t="n">
        <v>4626.71</v>
      </c>
      <c r="D209" s="38">
        <f>4541.138727+0.225904*B209</f>
        <v/>
      </c>
      <c r="E209" s="39">
        <f>C209-D209</f>
        <v/>
      </c>
      <c r="F209" s="39">
        <f>(E209-F757)^2</f>
        <v/>
      </c>
      <c r="G209" s="38">
        <f>(E209-F757)^3</f>
        <v/>
      </c>
      <c r="H209" s="38">
        <f>(E209-F757)^4</f>
        <v/>
      </c>
      <c r="I209" s="37" t="n"/>
    </row>
    <row r="210" ht="15" customHeight="1" s="28">
      <c r="A210" s="40" t="n">
        <v>198</v>
      </c>
      <c r="B210" s="40" t="n">
        <v>197</v>
      </c>
      <c r="C210" s="41" t="n">
        <v>4622.55</v>
      </c>
      <c r="D210" s="41">
        <f>4541.138727+0.225904*B210</f>
        <v/>
      </c>
      <c r="E210" s="42">
        <f>C210-D210</f>
        <v/>
      </c>
      <c r="F210" s="42">
        <f>(E210-F757)^2</f>
        <v/>
      </c>
      <c r="G210" s="41">
        <f>(E210-F757)^3</f>
        <v/>
      </c>
      <c r="H210" s="41">
        <f>(E210-F757)^4</f>
        <v/>
      </c>
      <c r="I210" s="40" t="n"/>
    </row>
    <row r="211" ht="15" customHeight="1" s="28">
      <c r="A211" s="37" t="n">
        <v>199</v>
      </c>
      <c r="B211" s="37" t="n">
        <v>198</v>
      </c>
      <c r="C211" s="38" t="n">
        <v>4623.65</v>
      </c>
      <c r="D211" s="38">
        <f>4541.138727+0.225904*B211</f>
        <v/>
      </c>
      <c r="E211" s="39">
        <f>C211-D211</f>
        <v/>
      </c>
      <c r="F211" s="39">
        <f>(E211-F757)^2</f>
        <v/>
      </c>
      <c r="G211" s="38">
        <f>(E211-F757)^3</f>
        <v/>
      </c>
      <c r="H211" s="38">
        <f>(E211-F757)^4</f>
        <v/>
      </c>
      <c r="I211" s="37" t="n"/>
    </row>
    <row r="212" ht="15" customHeight="1" s="28">
      <c r="A212" s="40" t="n">
        <v>200</v>
      </c>
      <c r="B212" s="40" t="n">
        <v>199</v>
      </c>
      <c r="C212" s="41" t="n">
        <v>4620.9</v>
      </c>
      <c r="D212" s="41">
        <f>4541.138727+0.225904*B212</f>
        <v/>
      </c>
      <c r="E212" s="42">
        <f>C212-D212</f>
        <v/>
      </c>
      <c r="F212" s="42">
        <f>(E212-F757)^2</f>
        <v/>
      </c>
      <c r="G212" s="41">
        <f>(E212-F757)^3</f>
        <v/>
      </c>
      <c r="H212" s="41">
        <f>(E212-F757)^4</f>
        <v/>
      </c>
      <c r="I212" s="40" t="n"/>
    </row>
    <row r="213" ht="15" customHeight="1" s="28">
      <c r="A213" s="37" t="n">
        <v>201</v>
      </c>
      <c r="B213" s="37" t="n">
        <v>200</v>
      </c>
      <c r="C213" s="38" t="n">
        <v>4620.02</v>
      </c>
      <c r="D213" s="38">
        <f>4541.138727+0.225904*B213</f>
        <v/>
      </c>
      <c r="E213" s="39">
        <f>C213-D213</f>
        <v/>
      </c>
      <c r="F213" s="39">
        <f>(E213-F757)^2</f>
        <v/>
      </c>
      <c r="G213" s="38">
        <f>(E213-F757)^3</f>
        <v/>
      </c>
      <c r="H213" s="38">
        <f>(E213-F757)^4</f>
        <v/>
      </c>
      <c r="I213" s="37" t="n"/>
    </row>
    <row r="214" ht="15" customHeight="1" s="28">
      <c r="A214" s="40" t="n">
        <v>202</v>
      </c>
      <c r="B214" s="40" t="n">
        <v>201</v>
      </c>
      <c r="C214" s="41" t="n">
        <v>4618.7</v>
      </c>
      <c r="D214" s="41">
        <f>4541.138727+0.225904*B214</f>
        <v/>
      </c>
      <c r="E214" s="42">
        <f>C214-D214</f>
        <v/>
      </c>
      <c r="F214" s="42">
        <f>(E214-F757)^2</f>
        <v/>
      </c>
      <c r="G214" s="41">
        <f>(E214-F757)^3</f>
        <v/>
      </c>
      <c r="H214" s="41">
        <f>(E214-F757)^4</f>
        <v/>
      </c>
      <c r="I214" s="40" t="n"/>
    </row>
    <row r="215" ht="15" customHeight="1" s="28">
      <c r="A215" s="37" t="n">
        <v>203</v>
      </c>
      <c r="B215" s="37" t="n">
        <v>202</v>
      </c>
      <c r="C215" s="38" t="n">
        <v>4616.68</v>
      </c>
      <c r="D215" s="38">
        <f>4541.138727+0.225904*B215</f>
        <v/>
      </c>
      <c r="E215" s="39">
        <f>C215-D215</f>
        <v/>
      </c>
      <c r="F215" s="39">
        <f>(E215-F757)^2</f>
        <v/>
      </c>
      <c r="G215" s="38">
        <f>(E215-F757)^3</f>
        <v/>
      </c>
      <c r="H215" s="38">
        <f>(E215-F757)^4</f>
        <v/>
      </c>
      <c r="I215" s="37" t="n"/>
    </row>
    <row r="216" ht="15" customHeight="1" s="28">
      <c r="A216" s="40" t="n">
        <v>204</v>
      </c>
      <c r="B216" s="40" t="n">
        <v>203</v>
      </c>
      <c r="C216" s="41" t="n">
        <v>4620.2</v>
      </c>
      <c r="D216" s="41">
        <f>4541.138727+0.225904*B216</f>
        <v/>
      </c>
      <c r="E216" s="42">
        <f>C216-D216</f>
        <v/>
      </c>
      <c r="F216" s="42">
        <f>(E216-F757)^2</f>
        <v/>
      </c>
      <c r="G216" s="41">
        <f>(E216-F757)^3</f>
        <v/>
      </c>
      <c r="H216" s="41">
        <f>(E216-F757)^4</f>
        <v/>
      </c>
      <c r="I216" s="40" t="n"/>
    </row>
    <row r="217" ht="15" customHeight="1" s="28">
      <c r="A217" s="37" t="n">
        <v>205</v>
      </c>
      <c r="B217" s="37" t="n">
        <v>204</v>
      </c>
      <c r="C217" s="38" t="n">
        <v>4621.05</v>
      </c>
      <c r="D217" s="38">
        <f>4541.138727+0.225904*B217</f>
        <v/>
      </c>
      <c r="E217" s="39">
        <f>C217-D217</f>
        <v/>
      </c>
      <c r="F217" s="39">
        <f>(E217-F757)^2</f>
        <v/>
      </c>
      <c r="G217" s="38">
        <f>(E217-F757)^3</f>
        <v/>
      </c>
      <c r="H217" s="38">
        <f>(E217-F757)^4</f>
        <v/>
      </c>
      <c r="I217" s="37" t="n"/>
    </row>
    <row r="218" ht="15" customHeight="1" s="28">
      <c r="A218" s="40" t="n">
        <v>206</v>
      </c>
      <c r="B218" s="40" t="n">
        <v>205</v>
      </c>
      <c r="C218" s="41" t="n">
        <v>4630.89</v>
      </c>
      <c r="D218" s="41">
        <f>4541.138727+0.225904*B218</f>
        <v/>
      </c>
      <c r="E218" s="42">
        <f>C218-D218</f>
        <v/>
      </c>
      <c r="F218" s="42">
        <f>(E218-F757)^2</f>
        <v/>
      </c>
      <c r="G218" s="41">
        <f>(E218-F757)^3</f>
        <v/>
      </c>
      <c r="H218" s="41">
        <f>(E218-F757)^4</f>
        <v/>
      </c>
      <c r="I218" s="40" t="n"/>
    </row>
    <row r="219" ht="15" customHeight="1" s="28">
      <c r="A219" s="37" t="n">
        <v>207</v>
      </c>
      <c r="B219" s="37" t="n">
        <v>206</v>
      </c>
      <c r="C219" s="38" t="n">
        <v>4629.39</v>
      </c>
      <c r="D219" s="38">
        <f>4541.138727+0.225904*B219</f>
        <v/>
      </c>
      <c r="E219" s="39">
        <f>C219-D219</f>
        <v/>
      </c>
      <c r="F219" s="39">
        <f>(E219-F757)^2</f>
        <v/>
      </c>
      <c r="G219" s="38">
        <f>(E219-F757)^3</f>
        <v/>
      </c>
      <c r="H219" s="38">
        <f>(E219-F757)^4</f>
        <v/>
      </c>
      <c r="I219" s="37" t="n"/>
    </row>
    <row r="220" ht="15" customHeight="1" s="28">
      <c r="A220" s="40" t="n">
        <v>208</v>
      </c>
      <c r="B220" s="40" t="n">
        <v>207</v>
      </c>
      <c r="C220" s="41" t="n">
        <v>4624.38</v>
      </c>
      <c r="D220" s="41">
        <f>4541.138727+0.225904*B220</f>
        <v/>
      </c>
      <c r="E220" s="42">
        <f>C220-D220</f>
        <v/>
      </c>
      <c r="F220" s="42">
        <f>(E220-F757)^2</f>
        <v/>
      </c>
      <c r="G220" s="41">
        <f>(E220-F757)^3</f>
        <v/>
      </c>
      <c r="H220" s="41">
        <f>(E220-F757)^4</f>
        <v/>
      </c>
      <c r="I220" s="40" t="n"/>
    </row>
    <row r="221" ht="15" customHeight="1" s="28">
      <c r="A221" s="37" t="n">
        <v>209</v>
      </c>
      <c r="B221" s="37" t="n">
        <v>208</v>
      </c>
      <c r="C221" s="38" t="n">
        <v>4619.15</v>
      </c>
      <c r="D221" s="38">
        <f>4541.138727+0.225904*B221</f>
        <v/>
      </c>
      <c r="E221" s="39">
        <f>C221-D221</f>
        <v/>
      </c>
      <c r="F221" s="39">
        <f>(E221-F757)^2</f>
        <v/>
      </c>
      <c r="G221" s="38">
        <f>(E221-F757)^3</f>
        <v/>
      </c>
      <c r="H221" s="38">
        <f>(E221-F757)^4</f>
        <v/>
      </c>
      <c r="I221" s="37" t="n"/>
    </row>
    <row r="222" ht="15" customHeight="1" s="28">
      <c r="A222" s="40" t="n">
        <v>210</v>
      </c>
      <c r="B222" s="40" t="n">
        <v>209</v>
      </c>
      <c r="C222" s="41" t="n">
        <v>4620.85</v>
      </c>
      <c r="D222" s="41">
        <f>4541.138727+0.225904*B222</f>
        <v/>
      </c>
      <c r="E222" s="42">
        <f>C222-D222</f>
        <v/>
      </c>
      <c r="F222" s="42">
        <f>(E222-F757)^2</f>
        <v/>
      </c>
      <c r="G222" s="41">
        <f>(E222-F757)^3</f>
        <v/>
      </c>
      <c r="H222" s="41">
        <f>(E222-F757)^4</f>
        <v/>
      </c>
      <c r="I222" s="40" t="n"/>
    </row>
    <row r="223" ht="15" customHeight="1" s="28">
      <c r="A223" s="37" t="n">
        <v>211</v>
      </c>
      <c r="B223" s="37" t="n">
        <v>210</v>
      </c>
      <c r="C223" s="38" t="n">
        <v>4626.13</v>
      </c>
      <c r="D223" s="38">
        <f>4541.138727+0.225904*B223</f>
        <v/>
      </c>
      <c r="E223" s="39">
        <f>C223-D223</f>
        <v/>
      </c>
      <c r="F223" s="39">
        <f>(E223-F757)^2</f>
        <v/>
      </c>
      <c r="G223" s="38">
        <f>(E223-F757)^3</f>
        <v/>
      </c>
      <c r="H223" s="38">
        <f>(E223-F757)^4</f>
        <v/>
      </c>
      <c r="I223" s="37" t="n"/>
    </row>
    <row r="224" ht="15" customHeight="1" s="28">
      <c r="A224" s="40" t="n">
        <v>212</v>
      </c>
      <c r="B224" s="40" t="n">
        <v>211</v>
      </c>
      <c r="C224" s="41" t="n">
        <v>4626.21</v>
      </c>
      <c r="D224" s="41">
        <f>4541.138727+0.225904*B224</f>
        <v/>
      </c>
      <c r="E224" s="42">
        <f>C224-D224</f>
        <v/>
      </c>
      <c r="F224" s="42">
        <f>(E224-F757)^2</f>
        <v/>
      </c>
      <c r="G224" s="41">
        <f>(E224-F757)^3</f>
        <v/>
      </c>
      <c r="H224" s="41">
        <f>(E224-F757)^4</f>
        <v/>
      </c>
      <c r="I224" s="40" t="n"/>
    </row>
    <row r="225" ht="15" customHeight="1" s="28">
      <c r="A225" s="37" t="n">
        <v>213</v>
      </c>
      <c r="B225" s="37" t="n">
        <v>212</v>
      </c>
      <c r="C225" s="38" t="n">
        <v>4626.67</v>
      </c>
      <c r="D225" s="38">
        <f>4541.138727+0.225904*B225</f>
        <v/>
      </c>
      <c r="E225" s="39">
        <f>C225-D225</f>
        <v/>
      </c>
      <c r="F225" s="39">
        <f>(E225-F757)^2</f>
        <v/>
      </c>
      <c r="G225" s="38">
        <f>(E225-F757)^3</f>
        <v/>
      </c>
      <c r="H225" s="38">
        <f>(E225-F757)^4</f>
        <v/>
      </c>
      <c r="I225" s="37" t="n"/>
    </row>
    <row r="226" ht="15" customHeight="1" s="28">
      <c r="A226" s="40" t="n">
        <v>214</v>
      </c>
      <c r="B226" s="40" t="n">
        <v>213</v>
      </c>
      <c r="C226" s="41" t="n">
        <v>4621.93</v>
      </c>
      <c r="D226" s="41">
        <f>4541.138727+0.225904*B226</f>
        <v/>
      </c>
      <c r="E226" s="42">
        <f>C226-D226</f>
        <v/>
      </c>
      <c r="F226" s="42">
        <f>(E226-F757)^2</f>
        <v/>
      </c>
      <c r="G226" s="41">
        <f>(E226-F757)^3</f>
        <v/>
      </c>
      <c r="H226" s="41">
        <f>(E226-F757)^4</f>
        <v/>
      </c>
      <c r="I226" s="40" t="n"/>
    </row>
    <row r="227" ht="15" customHeight="1" s="28">
      <c r="A227" s="37" t="n">
        <v>215</v>
      </c>
      <c r="B227" s="37" t="n">
        <v>214</v>
      </c>
      <c r="C227" s="38" t="n">
        <v>4617.53</v>
      </c>
      <c r="D227" s="38">
        <f>4541.138727+0.225904*B227</f>
        <v/>
      </c>
      <c r="E227" s="39">
        <f>C227-D227</f>
        <v/>
      </c>
      <c r="F227" s="39">
        <f>(E227-F757)^2</f>
        <v/>
      </c>
      <c r="G227" s="38">
        <f>(E227-F757)^3</f>
        <v/>
      </c>
      <c r="H227" s="38">
        <f>(E227-F757)^4</f>
        <v/>
      </c>
      <c r="I227" s="37" t="n"/>
    </row>
    <row r="228" ht="15" customHeight="1" s="28">
      <c r="A228" s="40" t="n">
        <v>216</v>
      </c>
      <c r="B228" s="40" t="n">
        <v>215</v>
      </c>
      <c r="C228" s="41" t="n">
        <v>4613.51</v>
      </c>
      <c r="D228" s="41">
        <f>4541.138727+0.225904*B228</f>
        <v/>
      </c>
      <c r="E228" s="42">
        <f>C228-D228</f>
        <v/>
      </c>
      <c r="F228" s="42">
        <f>(E228-F757)^2</f>
        <v/>
      </c>
      <c r="G228" s="41">
        <f>(E228-F757)^3</f>
        <v/>
      </c>
      <c r="H228" s="41">
        <f>(E228-F757)^4</f>
        <v/>
      </c>
      <c r="I228" s="40" t="n"/>
    </row>
    <row r="229" ht="15" customHeight="1" s="28">
      <c r="A229" s="37" t="n">
        <v>217</v>
      </c>
      <c r="B229" s="37" t="n">
        <v>216</v>
      </c>
      <c r="C229" s="38" t="n">
        <v>4609.18</v>
      </c>
      <c r="D229" s="38">
        <f>4541.138727+0.225904*B229</f>
        <v/>
      </c>
      <c r="E229" s="39">
        <f>C229-D229</f>
        <v/>
      </c>
      <c r="F229" s="39">
        <f>(E229-F757)^2</f>
        <v/>
      </c>
      <c r="G229" s="38">
        <f>(E229-F757)^3</f>
        <v/>
      </c>
      <c r="H229" s="38">
        <f>(E229-F757)^4</f>
        <v/>
      </c>
      <c r="I229" s="37" t="n"/>
    </row>
    <row r="230" ht="15" customHeight="1" s="28">
      <c r="A230" s="40" t="n">
        <v>218</v>
      </c>
      <c r="B230" s="40" t="n">
        <v>217</v>
      </c>
      <c r="C230" s="41" t="n">
        <v>4614.29</v>
      </c>
      <c r="D230" s="41">
        <f>4541.138727+0.225904*B230</f>
        <v/>
      </c>
      <c r="E230" s="42">
        <f>C230-D230</f>
        <v/>
      </c>
      <c r="F230" s="42">
        <f>(E230-F757)^2</f>
        <v/>
      </c>
      <c r="G230" s="41">
        <f>(E230-F757)^3</f>
        <v/>
      </c>
      <c r="H230" s="41">
        <f>(E230-F757)^4</f>
        <v/>
      </c>
      <c r="I230" s="40" t="n"/>
    </row>
    <row r="231" ht="15" customHeight="1" s="28">
      <c r="A231" s="37" t="n">
        <v>219</v>
      </c>
      <c r="B231" s="37" t="n">
        <v>218</v>
      </c>
      <c r="C231" s="38" t="n">
        <v>4614.64</v>
      </c>
      <c r="D231" s="38">
        <f>4541.138727+0.225904*B231</f>
        <v/>
      </c>
      <c r="E231" s="39">
        <f>C231-D231</f>
        <v/>
      </c>
      <c r="F231" s="39">
        <f>(E231-F757)^2</f>
        <v/>
      </c>
      <c r="G231" s="38">
        <f>(E231-F757)^3</f>
        <v/>
      </c>
      <c r="H231" s="38">
        <f>(E231-F757)^4</f>
        <v/>
      </c>
      <c r="I231" s="37" t="n"/>
    </row>
    <row r="232" ht="15" customHeight="1" s="28">
      <c r="A232" s="40" t="n">
        <v>220</v>
      </c>
      <c r="B232" s="40" t="n">
        <v>219</v>
      </c>
      <c r="C232" s="41" t="n">
        <v>4610</v>
      </c>
      <c r="D232" s="41">
        <f>4541.138727+0.225904*B232</f>
        <v/>
      </c>
      <c r="E232" s="42">
        <f>C232-D232</f>
        <v/>
      </c>
      <c r="F232" s="42">
        <f>(E232-F757)^2</f>
        <v/>
      </c>
      <c r="G232" s="41">
        <f>(E232-F757)^3</f>
        <v/>
      </c>
      <c r="H232" s="41">
        <f>(E232-F757)^4</f>
        <v/>
      </c>
      <c r="I232" s="40" t="n"/>
    </row>
    <row r="233" ht="15" customHeight="1" s="28">
      <c r="A233" s="37" t="n">
        <v>221</v>
      </c>
      <c r="B233" s="37" t="n">
        <v>220</v>
      </c>
      <c r="C233" s="38" t="n">
        <v>4605.03</v>
      </c>
      <c r="D233" s="38">
        <f>4541.138727+0.225904*B233</f>
        <v/>
      </c>
      <c r="E233" s="39">
        <f>C233-D233</f>
        <v/>
      </c>
      <c r="F233" s="39">
        <f>(E233-F757)^2</f>
        <v/>
      </c>
      <c r="G233" s="38">
        <f>(E233-F757)^3</f>
        <v/>
      </c>
      <c r="H233" s="38">
        <f>(E233-F757)^4</f>
        <v/>
      </c>
      <c r="I233" s="37" t="n"/>
    </row>
    <row r="234" ht="15" customHeight="1" s="28">
      <c r="A234" s="40" t="n">
        <v>222</v>
      </c>
      <c r="B234" s="40" t="n">
        <v>221</v>
      </c>
      <c r="C234" s="41" t="n">
        <v>4601.49</v>
      </c>
      <c r="D234" s="41">
        <f>4541.138727+0.225904*B234</f>
        <v/>
      </c>
      <c r="E234" s="42">
        <f>C234-D234</f>
        <v/>
      </c>
      <c r="F234" s="42">
        <f>(E234-F757)^2</f>
        <v/>
      </c>
      <c r="G234" s="41">
        <f>(E234-F757)^3</f>
        <v/>
      </c>
      <c r="H234" s="41">
        <f>(E234-F757)^4</f>
        <v/>
      </c>
      <c r="I234" s="40" t="n"/>
    </row>
    <row r="235" ht="15" customHeight="1" s="28">
      <c r="A235" s="37" t="n">
        <v>223</v>
      </c>
      <c r="B235" s="37" t="n">
        <v>222</v>
      </c>
      <c r="C235" s="38" t="n">
        <v>4593.44</v>
      </c>
      <c r="D235" s="38">
        <f>4541.138727+0.225904*B235</f>
        <v/>
      </c>
      <c r="E235" s="39">
        <f>C235-D235</f>
        <v/>
      </c>
      <c r="F235" s="39">
        <f>(E235-F757)^2</f>
        <v/>
      </c>
      <c r="G235" s="38">
        <f>(E235-F757)^3</f>
        <v/>
      </c>
      <c r="H235" s="38">
        <f>(E235-F757)^4</f>
        <v/>
      </c>
      <c r="I235" s="37" t="n"/>
    </row>
    <row r="236" ht="15" customHeight="1" s="28">
      <c r="A236" s="40" t="n">
        <v>224</v>
      </c>
      <c r="B236" s="40" t="n">
        <v>223</v>
      </c>
      <c r="C236" s="41" t="n">
        <v>4593.36</v>
      </c>
      <c r="D236" s="41">
        <f>4541.138727+0.225904*B236</f>
        <v/>
      </c>
      <c r="E236" s="42">
        <f>C236-D236</f>
        <v/>
      </c>
      <c r="F236" s="42">
        <f>(E236-F757)^2</f>
        <v/>
      </c>
      <c r="G236" s="41">
        <f>(E236-F757)^3</f>
        <v/>
      </c>
      <c r="H236" s="41">
        <f>(E236-F757)^4</f>
        <v/>
      </c>
      <c r="I236" s="40" t="n"/>
    </row>
    <row r="237" ht="15" customHeight="1" s="28">
      <c r="A237" s="37" t="n">
        <v>225</v>
      </c>
      <c r="B237" s="37" t="n">
        <v>224</v>
      </c>
      <c r="C237" s="38" t="n">
        <v>4594.77</v>
      </c>
      <c r="D237" s="38">
        <f>4541.138727+0.225904*B237</f>
        <v/>
      </c>
      <c r="E237" s="39">
        <f>C237-D237</f>
        <v/>
      </c>
      <c r="F237" s="39">
        <f>(E237-F757)^2</f>
        <v/>
      </c>
      <c r="G237" s="38">
        <f>(E237-F757)^3</f>
        <v/>
      </c>
      <c r="H237" s="38">
        <f>(E237-F757)^4</f>
        <v/>
      </c>
      <c r="I237" s="37" t="n"/>
    </row>
    <row r="238" ht="15" customHeight="1" s="28">
      <c r="A238" s="40" t="n">
        <v>226</v>
      </c>
      <c r="B238" s="40" t="n">
        <v>225</v>
      </c>
      <c r="C238" s="41" t="n">
        <v>4595.97</v>
      </c>
      <c r="D238" s="41">
        <f>4541.138727+0.225904*B238</f>
        <v/>
      </c>
      <c r="E238" s="42">
        <f>C238-D238</f>
        <v/>
      </c>
      <c r="F238" s="42">
        <f>(E238-F757)^2</f>
        <v/>
      </c>
      <c r="G238" s="41">
        <f>(E238-F757)^3</f>
        <v/>
      </c>
      <c r="H238" s="41">
        <f>(E238-F757)^4</f>
        <v/>
      </c>
      <c r="I238" s="40" t="n"/>
    </row>
    <row r="239" ht="15" customHeight="1" s="28">
      <c r="A239" s="37" t="n">
        <v>227</v>
      </c>
      <c r="B239" s="37" t="n">
        <v>226</v>
      </c>
      <c r="C239" s="38" t="n">
        <v>4592.32</v>
      </c>
      <c r="D239" s="38">
        <f>4541.138727+0.225904*B239</f>
        <v/>
      </c>
      <c r="E239" s="39">
        <f>C239-D239</f>
        <v/>
      </c>
      <c r="F239" s="39">
        <f>(E239-F757)^2</f>
        <v/>
      </c>
      <c r="G239" s="38">
        <f>(E239-F757)^3</f>
        <v/>
      </c>
      <c r="H239" s="38">
        <f>(E239-F757)^4</f>
        <v/>
      </c>
      <c r="I239" s="37" t="n"/>
    </row>
    <row r="240" ht="15" customHeight="1" s="28">
      <c r="A240" s="40" t="n">
        <v>228</v>
      </c>
      <c r="B240" s="40" t="n">
        <v>227</v>
      </c>
      <c r="C240" s="41" t="n">
        <v>4585.41</v>
      </c>
      <c r="D240" s="41">
        <f>4541.138727+0.225904*B240</f>
        <v/>
      </c>
      <c r="E240" s="42">
        <f>C240-D240</f>
        <v/>
      </c>
      <c r="F240" s="42">
        <f>(E240-F757)^2</f>
        <v/>
      </c>
      <c r="G240" s="41">
        <f>(E240-F757)^3</f>
        <v/>
      </c>
      <c r="H240" s="41">
        <f>(E240-F757)^4</f>
        <v/>
      </c>
      <c r="I240" s="40" t="n"/>
    </row>
    <row r="241" ht="15" customHeight="1" s="28">
      <c r="A241" s="37" t="n">
        <v>229</v>
      </c>
      <c r="B241" s="37" t="n">
        <v>228</v>
      </c>
      <c r="C241" s="38" t="n">
        <v>4578.16</v>
      </c>
      <c r="D241" s="38">
        <f>4541.138727+0.225904*B241</f>
        <v/>
      </c>
      <c r="E241" s="39">
        <f>C241-D241</f>
        <v/>
      </c>
      <c r="F241" s="39">
        <f>(E241-F757)^2</f>
        <v/>
      </c>
      <c r="G241" s="38">
        <f>(E241-F757)^3</f>
        <v/>
      </c>
      <c r="H241" s="38">
        <f>(E241-F757)^4</f>
        <v/>
      </c>
      <c r="I241" s="37" t="n"/>
    </row>
    <row r="242" ht="15" customHeight="1" s="28">
      <c r="A242" s="40" t="n">
        <v>230</v>
      </c>
      <c r="B242" s="40" t="n">
        <v>229</v>
      </c>
      <c r="C242" s="41" t="n">
        <v>4574.06</v>
      </c>
      <c r="D242" s="41">
        <f>4541.138727+0.225904*B242</f>
        <v/>
      </c>
      <c r="E242" s="42">
        <f>C242-D242</f>
        <v/>
      </c>
      <c r="F242" s="42">
        <f>(E242-F757)^2</f>
        <v/>
      </c>
      <c r="G242" s="41">
        <f>(E242-F757)^3</f>
        <v/>
      </c>
      <c r="H242" s="41">
        <f>(E242-F757)^4</f>
        <v/>
      </c>
      <c r="I242" s="40" t="n"/>
    </row>
    <row r="243" ht="15" customHeight="1" s="28">
      <c r="A243" s="37" t="n">
        <v>231</v>
      </c>
      <c r="B243" s="37" t="n">
        <v>230</v>
      </c>
      <c r="C243" s="38" t="n">
        <v>4567.37</v>
      </c>
      <c r="D243" s="38">
        <f>4541.138727+0.225904*B243</f>
        <v/>
      </c>
      <c r="E243" s="39">
        <f>C243-D243</f>
        <v/>
      </c>
      <c r="F243" s="39">
        <f>(E243-F757)^2</f>
        <v/>
      </c>
      <c r="G243" s="38">
        <f>(E243-F757)^3</f>
        <v/>
      </c>
      <c r="H243" s="38">
        <f>(E243-F757)^4</f>
        <v/>
      </c>
      <c r="I243" s="37" t="n"/>
    </row>
    <row r="244" ht="15" customHeight="1" s="28">
      <c r="A244" s="40" t="n">
        <v>232</v>
      </c>
      <c r="B244" s="40" t="n">
        <v>231</v>
      </c>
      <c r="C244" s="41" t="n">
        <v>4571.29</v>
      </c>
      <c r="D244" s="41">
        <f>4541.138727+0.225904*B244</f>
        <v/>
      </c>
      <c r="E244" s="42">
        <f>C244-D244</f>
        <v/>
      </c>
      <c r="F244" s="42">
        <f>(E244-F757)^2</f>
        <v/>
      </c>
      <c r="G244" s="41">
        <f>(E244-F757)^3</f>
        <v/>
      </c>
      <c r="H244" s="41">
        <f>(E244-F757)^4</f>
        <v/>
      </c>
      <c r="I244" s="40" t="n"/>
    </row>
    <row r="245" ht="15" customHeight="1" s="28">
      <c r="A245" s="37" t="n">
        <v>233</v>
      </c>
      <c r="B245" s="37" t="n">
        <v>232</v>
      </c>
      <c r="C245" s="38" t="n">
        <v>4568.51</v>
      </c>
      <c r="D245" s="38">
        <f>4541.138727+0.225904*B245</f>
        <v/>
      </c>
      <c r="E245" s="39">
        <f>C245-D245</f>
        <v/>
      </c>
      <c r="F245" s="39">
        <f>(E245-F757)^2</f>
        <v/>
      </c>
      <c r="G245" s="38">
        <f>(E245-F757)^3</f>
        <v/>
      </c>
      <c r="H245" s="38">
        <f>(E245-F757)^4</f>
        <v/>
      </c>
      <c r="I245" s="37" t="n"/>
    </row>
    <row r="246" ht="15" customHeight="1" s="28">
      <c r="A246" s="40" t="n">
        <v>234</v>
      </c>
      <c r="B246" s="40" t="n">
        <v>233</v>
      </c>
      <c r="C246" s="41" t="n">
        <v>4565.87</v>
      </c>
      <c r="D246" s="41">
        <f>4541.138727+0.225904*B246</f>
        <v/>
      </c>
      <c r="E246" s="42">
        <f>C246-D246</f>
        <v/>
      </c>
      <c r="F246" s="42">
        <f>(E246-F757)^2</f>
        <v/>
      </c>
      <c r="G246" s="41">
        <f>(E246-F757)^3</f>
        <v/>
      </c>
      <c r="H246" s="41">
        <f>(E246-F757)^4</f>
        <v/>
      </c>
      <c r="I246" s="40" t="n"/>
    </row>
    <row r="247" ht="15" customHeight="1" s="28">
      <c r="A247" s="37" t="n">
        <v>235</v>
      </c>
      <c r="B247" s="37" t="n">
        <v>234</v>
      </c>
      <c r="C247" s="38" t="n">
        <v>4569.29</v>
      </c>
      <c r="D247" s="38">
        <f>4541.138727+0.225904*B247</f>
        <v/>
      </c>
      <c r="E247" s="39">
        <f>C247-D247</f>
        <v/>
      </c>
      <c r="F247" s="39">
        <f>(E247-F757)^2</f>
        <v/>
      </c>
      <c r="G247" s="38">
        <f>(E247-F757)^3</f>
        <v/>
      </c>
      <c r="H247" s="38">
        <f>(E247-F757)^4</f>
        <v/>
      </c>
      <c r="I247" s="37" t="n"/>
    </row>
    <row r="248" ht="15" customHeight="1" s="28">
      <c r="A248" s="40" t="n">
        <v>236</v>
      </c>
      <c r="B248" s="40" t="n">
        <v>235</v>
      </c>
      <c r="C248" s="41" t="n">
        <v>4570.62</v>
      </c>
      <c r="D248" s="41">
        <f>4541.138727+0.225904*B248</f>
        <v/>
      </c>
      <c r="E248" s="42">
        <f>C248-D248</f>
        <v/>
      </c>
      <c r="F248" s="42">
        <f>(E248-F757)^2</f>
        <v/>
      </c>
      <c r="G248" s="41">
        <f>(E248-F757)^3</f>
        <v/>
      </c>
      <c r="H248" s="41">
        <f>(E248-F757)^4</f>
        <v/>
      </c>
      <c r="I248" s="40" t="n"/>
    </row>
    <row r="249" ht="15" customHeight="1" s="28">
      <c r="A249" s="37" t="n">
        <v>237</v>
      </c>
      <c r="B249" s="37" t="n">
        <v>236</v>
      </c>
      <c r="C249" s="38" t="n">
        <v>4563.12</v>
      </c>
      <c r="D249" s="38">
        <f>4541.138727+0.225904*B249</f>
        <v/>
      </c>
      <c r="E249" s="39">
        <f>C249-D249</f>
        <v/>
      </c>
      <c r="F249" s="39">
        <f>(E249-F757)^2</f>
        <v/>
      </c>
      <c r="G249" s="38">
        <f>(E249-F757)^3</f>
        <v/>
      </c>
      <c r="H249" s="38">
        <f>(E249-F757)^4</f>
        <v/>
      </c>
      <c r="I249" s="37" t="n"/>
    </row>
    <row r="250" ht="15" customHeight="1" s="28">
      <c r="A250" s="40" t="n">
        <v>238</v>
      </c>
      <c r="B250" s="40" t="n">
        <v>237</v>
      </c>
      <c r="C250" s="41" t="n">
        <v>4566.78</v>
      </c>
      <c r="D250" s="41">
        <f>4541.138727+0.225904*B250</f>
        <v/>
      </c>
      <c r="E250" s="42">
        <f>C250-D250</f>
        <v/>
      </c>
      <c r="F250" s="42">
        <f>(E250-F757)^2</f>
        <v/>
      </c>
      <c r="G250" s="41">
        <f>(E250-F757)^3</f>
        <v/>
      </c>
      <c r="H250" s="41">
        <f>(E250-F757)^4</f>
        <v/>
      </c>
      <c r="I250" s="40" t="n"/>
    </row>
    <row r="251" ht="15" customHeight="1" s="28">
      <c r="A251" s="37" t="n">
        <v>239</v>
      </c>
      <c r="B251" s="37" t="n">
        <v>238</v>
      </c>
      <c r="C251" s="38" t="n">
        <v>4572.18</v>
      </c>
      <c r="D251" s="38">
        <f>4541.138727+0.225904*B251</f>
        <v/>
      </c>
      <c r="E251" s="39">
        <f>C251-D251</f>
        <v/>
      </c>
      <c r="F251" s="39">
        <f>(E251-F757)^2</f>
        <v/>
      </c>
      <c r="G251" s="38">
        <f>(E251-F757)^3</f>
        <v/>
      </c>
      <c r="H251" s="38">
        <f>(E251-F757)^4</f>
        <v/>
      </c>
      <c r="I251" s="37" t="n"/>
    </row>
    <row r="252" ht="15" customHeight="1" s="28">
      <c r="A252" s="40" t="n">
        <v>240</v>
      </c>
      <c r="B252" s="40" t="n">
        <v>239</v>
      </c>
      <c r="C252" s="41" t="n">
        <v>4570.49</v>
      </c>
      <c r="D252" s="41">
        <f>4541.138727+0.225904*B252</f>
        <v/>
      </c>
      <c r="E252" s="42">
        <f>C252-D252</f>
        <v/>
      </c>
      <c r="F252" s="42">
        <f>(E252-F757)^2</f>
        <v/>
      </c>
      <c r="G252" s="41">
        <f>(E252-F757)^3</f>
        <v/>
      </c>
      <c r="H252" s="41">
        <f>(E252-F757)^4</f>
        <v/>
      </c>
      <c r="I252" s="40" t="n"/>
    </row>
    <row r="253" ht="15" customHeight="1" s="28">
      <c r="A253" s="37" t="n">
        <v>241</v>
      </c>
      <c r="B253" s="37" t="n">
        <v>240</v>
      </c>
      <c r="C253" s="38" t="n">
        <v>4566.67</v>
      </c>
      <c r="D253" s="38">
        <f>4541.138727+0.225904*B253</f>
        <v/>
      </c>
      <c r="E253" s="39">
        <f>C253-D253</f>
        <v/>
      </c>
      <c r="F253" s="39">
        <f>(E253-F757)^2</f>
        <v/>
      </c>
      <c r="G253" s="38">
        <f>(E253-F757)^3</f>
        <v/>
      </c>
      <c r="H253" s="38">
        <f>(E253-F757)^4</f>
        <v/>
      </c>
      <c r="I253" s="37" t="n"/>
    </row>
    <row r="254" ht="15" customHeight="1" s="28">
      <c r="A254" s="40" t="n">
        <v>242</v>
      </c>
      <c r="B254" s="40" t="n">
        <v>241</v>
      </c>
      <c r="C254" s="41" t="n">
        <v>4565.94</v>
      </c>
      <c r="D254" s="41">
        <f>4541.138727+0.225904*B254</f>
        <v/>
      </c>
      <c r="E254" s="42">
        <f>C254-D254</f>
        <v/>
      </c>
      <c r="F254" s="42">
        <f>(E254-F757)^2</f>
        <v/>
      </c>
      <c r="G254" s="41">
        <f>(E254-F757)^3</f>
        <v/>
      </c>
      <c r="H254" s="41">
        <f>(E254-F757)^4</f>
        <v/>
      </c>
      <c r="I254" s="40" t="n"/>
    </row>
    <row r="255" ht="15" customHeight="1" s="28">
      <c r="A255" s="37" t="n">
        <v>243</v>
      </c>
      <c r="B255" s="37" t="n">
        <v>242</v>
      </c>
      <c r="C255" s="38" t="n">
        <v>4572.03</v>
      </c>
      <c r="D255" s="38">
        <f>4541.138727+0.225904*B255</f>
        <v/>
      </c>
      <c r="E255" s="39">
        <f>C255-D255</f>
        <v/>
      </c>
      <c r="F255" s="39">
        <f>(E255-F757)^2</f>
        <v/>
      </c>
      <c r="G255" s="38">
        <f>(E255-F757)^3</f>
        <v/>
      </c>
      <c r="H255" s="38">
        <f>(E255-F757)^4</f>
        <v/>
      </c>
      <c r="I255" s="37" t="n"/>
    </row>
    <row r="256" ht="15" customHeight="1" s="28">
      <c r="A256" s="40" t="n">
        <v>244</v>
      </c>
      <c r="B256" s="40" t="n">
        <v>243</v>
      </c>
      <c r="C256" s="41" t="n">
        <v>4575.75</v>
      </c>
      <c r="D256" s="41">
        <f>4541.138727+0.225904*B256</f>
        <v/>
      </c>
      <c r="E256" s="42">
        <f>C256-D256</f>
        <v/>
      </c>
      <c r="F256" s="42">
        <f>(E256-F757)^2</f>
        <v/>
      </c>
      <c r="G256" s="41">
        <f>(E256-F757)^3</f>
        <v/>
      </c>
      <c r="H256" s="41">
        <f>(E256-F757)^4</f>
        <v/>
      </c>
      <c r="I256" s="40" t="n"/>
    </row>
    <row r="257" ht="15" customHeight="1" s="28">
      <c r="A257" s="37" t="n">
        <v>245</v>
      </c>
      <c r="B257" s="37" t="n">
        <v>244</v>
      </c>
      <c r="C257" s="38" t="n">
        <v>4578.84</v>
      </c>
      <c r="D257" s="38">
        <f>4541.138727+0.225904*B257</f>
        <v/>
      </c>
      <c r="E257" s="39">
        <f>C257-D257</f>
        <v/>
      </c>
      <c r="F257" s="39">
        <f>(E257-F757)^2</f>
        <v/>
      </c>
      <c r="G257" s="38">
        <f>(E257-F757)^3</f>
        <v/>
      </c>
      <c r="H257" s="38">
        <f>(E257-F757)^4</f>
        <v/>
      </c>
      <c r="I257" s="37" t="n"/>
    </row>
    <row r="258" ht="15" customHeight="1" s="28">
      <c r="A258" s="40" t="n">
        <v>246</v>
      </c>
      <c r="B258" s="40" t="n">
        <v>245</v>
      </c>
      <c r="C258" s="41" t="n">
        <v>4584.86</v>
      </c>
      <c r="D258" s="41">
        <f>4541.138727+0.225904*B258</f>
        <v/>
      </c>
      <c r="E258" s="42">
        <f>C258-D258</f>
        <v/>
      </c>
      <c r="F258" s="42">
        <f>(E258-F757)^2</f>
        <v/>
      </c>
      <c r="G258" s="41">
        <f>(E258-F757)^3</f>
        <v/>
      </c>
      <c r="H258" s="41">
        <f>(E258-F757)^4</f>
        <v/>
      </c>
      <c r="I258" s="40" t="n"/>
    </row>
    <row r="259" ht="15" customHeight="1" s="28">
      <c r="A259" s="37" t="n">
        <v>247</v>
      </c>
      <c r="B259" s="37" t="n">
        <v>246</v>
      </c>
      <c r="C259" s="38" t="n">
        <v>4602.95</v>
      </c>
      <c r="D259" s="38">
        <f>4541.138727+0.225904*B259</f>
        <v/>
      </c>
      <c r="E259" s="39">
        <f>C259-D259</f>
        <v/>
      </c>
      <c r="F259" s="39">
        <f>(E259-F757)^2</f>
        <v/>
      </c>
      <c r="G259" s="38">
        <f>(E259-F757)^3</f>
        <v/>
      </c>
      <c r="H259" s="38">
        <f>(E259-F757)^4</f>
        <v/>
      </c>
      <c r="I259" s="37" t="n"/>
    </row>
    <row r="260" ht="15" customHeight="1" s="28">
      <c r="A260" s="40" t="n">
        <v>248</v>
      </c>
      <c r="B260" s="40" t="n">
        <v>247</v>
      </c>
      <c r="C260" s="41" t="n">
        <v>4591.95</v>
      </c>
      <c r="D260" s="41">
        <f>4541.138727+0.225904*B260</f>
        <v/>
      </c>
      <c r="E260" s="42">
        <f>C260-D260</f>
        <v/>
      </c>
      <c r="F260" s="42">
        <f>(E260-F757)^2</f>
        <v/>
      </c>
      <c r="G260" s="41">
        <f>(E260-F757)^3</f>
        <v/>
      </c>
      <c r="H260" s="41">
        <f>(E260-F757)^4</f>
        <v/>
      </c>
      <c r="I260" s="40" t="n"/>
    </row>
    <row r="261" ht="15" customHeight="1" s="28">
      <c r="A261" s="37" t="n">
        <v>249</v>
      </c>
      <c r="B261" s="37" t="n">
        <v>248</v>
      </c>
      <c r="C261" s="38" t="n">
        <v>4591.18</v>
      </c>
      <c r="D261" s="38">
        <f>4541.138727+0.225904*B261</f>
        <v/>
      </c>
      <c r="E261" s="39">
        <f>C261-D261</f>
        <v/>
      </c>
      <c r="F261" s="39">
        <f>(E261-F757)^2</f>
        <v/>
      </c>
      <c r="G261" s="38">
        <f>(E261-F757)^3</f>
        <v/>
      </c>
      <c r="H261" s="38">
        <f>(E261-F757)^4</f>
        <v/>
      </c>
      <c r="I261" s="37" t="n"/>
    </row>
    <row r="262" ht="15" customHeight="1" s="28">
      <c r="A262" s="40" t="n">
        <v>250</v>
      </c>
      <c r="B262" s="40" t="n">
        <v>249</v>
      </c>
      <c r="C262" s="41" t="n">
        <v>4591.32</v>
      </c>
      <c r="D262" s="41">
        <f>4541.138727+0.225904*B262</f>
        <v/>
      </c>
      <c r="E262" s="42">
        <f>C262-D262</f>
        <v/>
      </c>
      <c r="F262" s="42">
        <f>(E262-F757)^2</f>
        <v/>
      </c>
      <c r="G262" s="41">
        <f>(E262-F757)^3</f>
        <v/>
      </c>
      <c r="H262" s="41">
        <f>(E262-F757)^4</f>
        <v/>
      </c>
      <c r="I262" s="40" t="n"/>
    </row>
    <row r="263" ht="15" customHeight="1" s="28">
      <c r="A263" s="37" t="n">
        <v>251</v>
      </c>
      <c r="B263" s="37" t="n">
        <v>250</v>
      </c>
      <c r="C263" s="38" t="n">
        <v>4589.2</v>
      </c>
      <c r="D263" s="38">
        <f>4541.138727+0.225904*B263</f>
        <v/>
      </c>
      <c r="E263" s="39">
        <f>C263-D263</f>
        <v/>
      </c>
      <c r="F263" s="39">
        <f>(E263-F757)^2</f>
        <v/>
      </c>
      <c r="G263" s="38">
        <f>(E263-F757)^3</f>
        <v/>
      </c>
      <c r="H263" s="38">
        <f>(E263-F757)^4</f>
        <v/>
      </c>
      <c r="I263" s="37" t="n"/>
    </row>
    <row r="264" ht="15" customHeight="1" s="28">
      <c r="A264" s="40" t="n">
        <v>252</v>
      </c>
      <c r="B264" s="40" t="n">
        <v>251</v>
      </c>
      <c r="C264" s="41" t="n">
        <v>4608.07</v>
      </c>
      <c r="D264" s="41">
        <f>4541.138727+0.225904*B264</f>
        <v/>
      </c>
      <c r="E264" s="42">
        <f>C264-D264</f>
        <v/>
      </c>
      <c r="F264" s="42">
        <f>(E264-F757)^2</f>
        <v/>
      </c>
      <c r="G264" s="41">
        <f>(E264-F757)^3</f>
        <v/>
      </c>
      <c r="H264" s="41">
        <f>(E264-F757)^4</f>
        <v/>
      </c>
      <c r="I264" s="40" t="n"/>
    </row>
    <row r="265" ht="15" customHeight="1" s="28">
      <c r="A265" s="37" t="n">
        <v>253</v>
      </c>
      <c r="B265" s="37" t="n">
        <v>252</v>
      </c>
      <c r="C265" s="38" t="n">
        <v>4625.7</v>
      </c>
      <c r="D265" s="38">
        <f>4541.138727+0.225904*B265</f>
        <v/>
      </c>
      <c r="E265" s="39">
        <f>C265-D265</f>
        <v/>
      </c>
      <c r="F265" s="39">
        <f>(E265-F757)^2</f>
        <v/>
      </c>
      <c r="G265" s="38">
        <f>(E265-F757)^3</f>
        <v/>
      </c>
      <c r="H265" s="38">
        <f>(E265-F757)^4</f>
        <v/>
      </c>
      <c r="I265" s="37" t="n"/>
    </row>
    <row r="266" ht="15" customHeight="1" s="28">
      <c r="A266" s="40" t="n">
        <v>254</v>
      </c>
      <c r="B266" s="40" t="n">
        <v>253</v>
      </c>
      <c r="C266" s="41" t="n">
        <v>4656.06</v>
      </c>
      <c r="D266" s="41">
        <f>4541.138727+0.225904*B266</f>
        <v/>
      </c>
      <c r="E266" s="42">
        <f>C266-D266</f>
        <v/>
      </c>
      <c r="F266" s="42">
        <f>(E266-F757)^2</f>
        <v/>
      </c>
      <c r="G266" s="41">
        <f>(E266-F757)^3</f>
        <v/>
      </c>
      <c r="H266" s="41">
        <f>(E266-F757)^4</f>
        <v/>
      </c>
      <c r="I266" s="40" t="n"/>
    </row>
    <row r="267" ht="15" customHeight="1" s="28">
      <c r="A267" s="37" t="n">
        <v>255</v>
      </c>
      <c r="B267" s="37" t="n">
        <v>254</v>
      </c>
      <c r="C267" s="38" t="n">
        <v>4644.67</v>
      </c>
      <c r="D267" s="38">
        <f>4541.138727+0.225904*B267</f>
        <v/>
      </c>
      <c r="E267" s="39">
        <f>C267-D267</f>
        <v/>
      </c>
      <c r="F267" s="39">
        <f>(E267-F757)^2</f>
        <v/>
      </c>
      <c r="G267" s="38">
        <f>(E267-F757)^3</f>
        <v/>
      </c>
      <c r="H267" s="38">
        <f>(E267-F757)^4</f>
        <v/>
      </c>
      <c r="I267" s="37" t="n"/>
    </row>
    <row r="268" ht="15" customHeight="1" s="28">
      <c r="A268" s="40" t="n">
        <v>256</v>
      </c>
      <c r="B268" s="40" t="n">
        <v>255</v>
      </c>
      <c r="C268" s="41" t="n">
        <v>4633.23</v>
      </c>
      <c r="D268" s="41">
        <f>4541.138727+0.225904*B268</f>
        <v/>
      </c>
      <c r="E268" s="42">
        <f>C268-D268</f>
        <v/>
      </c>
      <c r="F268" s="42">
        <f>(E268-F757)^2</f>
        <v/>
      </c>
      <c r="G268" s="41">
        <f>(E268-F757)^3</f>
        <v/>
      </c>
      <c r="H268" s="41">
        <f>(E268-F757)^4</f>
        <v/>
      </c>
      <c r="I268" s="40" t="n"/>
    </row>
    <row r="269" ht="15" customHeight="1" s="28">
      <c r="A269" s="37" t="n">
        <v>257</v>
      </c>
      <c r="B269" s="37" t="n">
        <v>256</v>
      </c>
      <c r="C269" s="38" t="n">
        <v>4632.21</v>
      </c>
      <c r="D269" s="38">
        <f>4541.138727+0.225904*B269</f>
        <v/>
      </c>
      <c r="E269" s="39">
        <f>C269-D269</f>
        <v/>
      </c>
      <c r="F269" s="39">
        <f>(E269-F757)^2</f>
        <v/>
      </c>
      <c r="G269" s="38">
        <f>(E269-F757)^3</f>
        <v/>
      </c>
      <c r="H269" s="38">
        <f>(E269-F757)^4</f>
        <v/>
      </c>
      <c r="I269" s="37" t="n"/>
    </row>
    <row r="270" ht="15" customHeight="1" s="28">
      <c r="A270" s="40" t="n">
        <v>258</v>
      </c>
      <c r="B270" s="40" t="n">
        <v>257</v>
      </c>
      <c r="C270" s="41" t="n">
        <v>4636.58</v>
      </c>
      <c r="D270" s="41">
        <f>4541.138727+0.225904*B270</f>
        <v/>
      </c>
      <c r="E270" s="42">
        <f>C270-D270</f>
        <v/>
      </c>
      <c r="F270" s="42">
        <f>(E270-F757)^2</f>
        <v/>
      </c>
      <c r="G270" s="41">
        <f>(E270-F757)^3</f>
        <v/>
      </c>
      <c r="H270" s="41">
        <f>(E270-F757)^4</f>
        <v/>
      </c>
      <c r="I270" s="40" t="n"/>
    </row>
    <row r="271" ht="15" customHeight="1" s="28">
      <c r="A271" s="37" t="n">
        <v>259</v>
      </c>
      <c r="B271" s="37" t="n">
        <v>258</v>
      </c>
      <c r="C271" s="38" t="n">
        <v>4636.46</v>
      </c>
      <c r="D271" s="38">
        <f>4541.138727+0.225904*B271</f>
        <v/>
      </c>
      <c r="E271" s="39">
        <f>C271-D271</f>
        <v/>
      </c>
      <c r="F271" s="39">
        <f>(E271-F757)^2</f>
        <v/>
      </c>
      <c r="G271" s="38">
        <f>(E271-F757)^3</f>
        <v/>
      </c>
      <c r="H271" s="38">
        <f>(E271-F757)^4</f>
        <v/>
      </c>
      <c r="I271" s="37" t="n"/>
    </row>
    <row r="272" ht="15" customHeight="1" s="28">
      <c r="A272" s="40" t="n">
        <v>260</v>
      </c>
      <c r="B272" s="40" t="n">
        <v>259</v>
      </c>
      <c r="C272" s="41" t="n">
        <v>4643.6</v>
      </c>
      <c r="D272" s="41">
        <f>4541.138727+0.225904*B272</f>
        <v/>
      </c>
      <c r="E272" s="42">
        <f>C272-D272</f>
        <v/>
      </c>
      <c r="F272" s="42">
        <f>(E272-F757)^2</f>
        <v/>
      </c>
      <c r="G272" s="41">
        <f>(E272-F757)^3</f>
        <v/>
      </c>
      <c r="H272" s="41">
        <f>(E272-F757)^4</f>
        <v/>
      </c>
      <c r="I272" s="40" t="n"/>
    </row>
    <row r="273" ht="15" customHeight="1" s="28">
      <c r="A273" s="37" t="n">
        <v>261</v>
      </c>
      <c r="B273" s="37" t="n">
        <v>260</v>
      </c>
      <c r="C273" s="38" t="n">
        <v>4643.3</v>
      </c>
      <c r="D273" s="38">
        <f>4541.138727+0.225904*B273</f>
        <v/>
      </c>
      <c r="E273" s="39">
        <f>C273-D273</f>
        <v/>
      </c>
      <c r="F273" s="39">
        <f>(E273-F757)^2</f>
        <v/>
      </c>
      <c r="G273" s="38">
        <f>(E273-F757)^3</f>
        <v/>
      </c>
      <c r="H273" s="38">
        <f>(E273-F757)^4</f>
        <v/>
      </c>
      <c r="I273" s="37" t="n"/>
    </row>
    <row r="274" ht="15" customHeight="1" s="28">
      <c r="A274" s="40" t="n">
        <v>262</v>
      </c>
      <c r="B274" s="40" t="n">
        <v>261</v>
      </c>
      <c r="C274" s="41" t="n">
        <v>4642.75</v>
      </c>
      <c r="D274" s="41">
        <f>4541.138727+0.225904*B274</f>
        <v/>
      </c>
      <c r="E274" s="42">
        <f>C274-D274</f>
        <v/>
      </c>
      <c r="F274" s="42">
        <f>(E274-F757)^2</f>
        <v/>
      </c>
      <c r="G274" s="41">
        <f>(E274-F757)^3</f>
        <v/>
      </c>
      <c r="H274" s="41">
        <f>(E274-F757)^4</f>
        <v/>
      </c>
      <c r="I274" s="40" t="n"/>
    </row>
    <row r="275" ht="15" customHeight="1" s="28">
      <c r="A275" s="37" t="n">
        <v>263</v>
      </c>
      <c r="B275" s="37" t="n">
        <v>262</v>
      </c>
      <c r="C275" s="38" t="n">
        <v>4637.96</v>
      </c>
      <c r="D275" s="38">
        <f>4541.138727+0.225904*B275</f>
        <v/>
      </c>
      <c r="E275" s="39">
        <f>C275-D275</f>
        <v/>
      </c>
      <c r="F275" s="39">
        <f>(E275-F757)^2</f>
        <v/>
      </c>
      <c r="G275" s="38">
        <f>(E275-F757)^3</f>
        <v/>
      </c>
      <c r="H275" s="38">
        <f>(E275-F757)^4</f>
        <v/>
      </c>
      <c r="I275" s="37" t="n"/>
    </row>
    <row r="276" ht="15" customHeight="1" s="28">
      <c r="A276" s="40" t="n">
        <v>264</v>
      </c>
      <c r="B276" s="40" t="n">
        <v>263</v>
      </c>
      <c r="C276" s="41" t="n">
        <v>4638.86</v>
      </c>
      <c r="D276" s="41">
        <f>4541.138727+0.225904*B276</f>
        <v/>
      </c>
      <c r="E276" s="42">
        <f>C276-D276</f>
        <v/>
      </c>
      <c r="F276" s="42">
        <f>(E276-F757)^2</f>
        <v/>
      </c>
      <c r="G276" s="41">
        <f>(E276-F757)^3</f>
        <v/>
      </c>
      <c r="H276" s="41">
        <f>(E276-F757)^4</f>
        <v/>
      </c>
      <c r="I276" s="40" t="n"/>
    </row>
    <row r="277" ht="15" customHeight="1" s="28">
      <c r="A277" s="37" t="n">
        <v>265</v>
      </c>
      <c r="B277" s="37" t="n">
        <v>264</v>
      </c>
      <c r="C277" s="38" t="n">
        <v>4638.72</v>
      </c>
      <c r="D277" s="38">
        <f>4541.138727+0.225904*B277</f>
        <v/>
      </c>
      <c r="E277" s="39">
        <f>C277-D277</f>
        <v/>
      </c>
      <c r="F277" s="39">
        <f>(E277-F757)^2</f>
        <v/>
      </c>
      <c r="G277" s="38">
        <f>(E277-F757)^3</f>
        <v/>
      </c>
      <c r="H277" s="38">
        <f>(E277-F757)^4</f>
        <v/>
      </c>
      <c r="I277" s="37" t="n"/>
    </row>
    <row r="278" ht="15" customHeight="1" s="28">
      <c r="A278" s="40" t="n">
        <v>266</v>
      </c>
      <c r="B278" s="40" t="n">
        <v>265</v>
      </c>
      <c r="C278" s="41" t="n">
        <v>4639.73</v>
      </c>
      <c r="D278" s="41">
        <f>4541.138727+0.225904*B278</f>
        <v/>
      </c>
      <c r="E278" s="42">
        <f>C278-D278</f>
        <v/>
      </c>
      <c r="F278" s="42">
        <f>(E278-F757)^2</f>
        <v/>
      </c>
      <c r="G278" s="41">
        <f>(E278-F757)^3</f>
        <v/>
      </c>
      <c r="H278" s="41">
        <f>(E278-F757)^4</f>
        <v/>
      </c>
      <c r="I278" s="40" t="n"/>
    </row>
    <row r="279" ht="15" customHeight="1" s="28">
      <c r="A279" s="37" t="n">
        <v>267</v>
      </c>
      <c r="B279" s="37" t="n">
        <v>266</v>
      </c>
      <c r="C279" s="38" t="n">
        <v>4631.67</v>
      </c>
      <c r="D279" s="38">
        <f>4541.138727+0.225904*B279</f>
        <v/>
      </c>
      <c r="E279" s="39">
        <f>C279-D279</f>
        <v/>
      </c>
      <c r="F279" s="39">
        <f>(E279-F757)^2</f>
        <v/>
      </c>
      <c r="G279" s="38">
        <f>(E279-F757)^3</f>
        <v/>
      </c>
      <c r="H279" s="38">
        <f>(E279-F757)^4</f>
        <v/>
      </c>
      <c r="I279" s="37" t="n"/>
    </row>
    <row r="280" ht="15" customHeight="1" s="28">
      <c r="A280" s="40" t="n">
        <v>268</v>
      </c>
      <c r="B280" s="40" t="n">
        <v>267</v>
      </c>
      <c r="C280" s="41" t="n">
        <v>4628</v>
      </c>
      <c r="D280" s="41">
        <f>4541.138727+0.225904*B280</f>
        <v/>
      </c>
      <c r="E280" s="42">
        <f>C280-D280</f>
        <v/>
      </c>
      <c r="F280" s="42">
        <f>(E280-F757)^2</f>
        <v/>
      </c>
      <c r="G280" s="41">
        <f>(E280-F757)^3</f>
        <v/>
      </c>
      <c r="H280" s="41">
        <f>(E280-F757)^4</f>
        <v/>
      </c>
      <c r="I280" s="40" t="n"/>
    </row>
    <row r="281" ht="15" customHeight="1" s="28">
      <c r="A281" s="37" t="n">
        <v>269</v>
      </c>
      <c r="B281" s="37" t="n">
        <v>268</v>
      </c>
      <c r="C281" s="38" t="n">
        <v>4629.43</v>
      </c>
      <c r="D281" s="38">
        <f>4541.138727+0.225904*B281</f>
        <v/>
      </c>
      <c r="E281" s="39">
        <f>C281-D281</f>
        <v/>
      </c>
      <c r="F281" s="39">
        <f>(E281-F757)^2</f>
        <v/>
      </c>
      <c r="G281" s="38">
        <f>(E281-F757)^3</f>
        <v/>
      </c>
      <c r="H281" s="38">
        <f>(E281-F757)^4</f>
        <v/>
      </c>
      <c r="I281" s="37" t="n"/>
    </row>
    <row r="282" ht="15" customHeight="1" s="28">
      <c r="A282" s="40" t="n">
        <v>270</v>
      </c>
      <c r="B282" s="40" t="n">
        <v>269</v>
      </c>
      <c r="C282" s="41" t="n">
        <v>4615.72</v>
      </c>
      <c r="D282" s="41">
        <f>4541.138727+0.225904*B282</f>
        <v/>
      </c>
      <c r="E282" s="42">
        <f>C282-D282</f>
        <v/>
      </c>
      <c r="F282" s="42">
        <f>(E282-F757)^2</f>
        <v/>
      </c>
      <c r="G282" s="41">
        <f>(E282-F757)^3</f>
        <v/>
      </c>
      <c r="H282" s="41">
        <f>(E282-F757)^4</f>
        <v/>
      </c>
      <c r="I282" s="40" t="n"/>
    </row>
    <row r="283" ht="15" customHeight="1" s="28">
      <c r="A283" s="37" t="n">
        <v>271</v>
      </c>
      <c r="B283" s="37" t="n">
        <v>270</v>
      </c>
      <c r="C283" s="38" t="n">
        <v>4623.48</v>
      </c>
      <c r="D283" s="38">
        <f>4541.138727+0.225904*B283</f>
        <v/>
      </c>
      <c r="E283" s="39">
        <f>C283-D283</f>
        <v/>
      </c>
      <c r="F283" s="39">
        <f>(E283-F757)^2</f>
        <v/>
      </c>
      <c r="G283" s="38">
        <f>(E283-F757)^3</f>
        <v/>
      </c>
      <c r="H283" s="38">
        <f>(E283-F757)^4</f>
        <v/>
      </c>
      <c r="I283" s="37" t="n"/>
    </row>
    <row r="284" ht="15" customHeight="1" s="28">
      <c r="A284" s="40" t="n">
        <v>272</v>
      </c>
      <c r="B284" s="40" t="n">
        <v>271</v>
      </c>
      <c r="C284" s="41" t="n">
        <v>4622.32</v>
      </c>
      <c r="D284" s="41">
        <f>4541.138727+0.225904*B284</f>
        <v/>
      </c>
      <c r="E284" s="42">
        <f>C284-D284</f>
        <v/>
      </c>
      <c r="F284" s="42">
        <f>(E284-F757)^2</f>
        <v/>
      </c>
      <c r="G284" s="41">
        <f>(E284-F757)^3</f>
        <v/>
      </c>
      <c r="H284" s="41">
        <f>(E284-F757)^4</f>
        <v/>
      </c>
      <c r="I284" s="40" t="n"/>
    </row>
    <row r="285" ht="15" customHeight="1" s="28">
      <c r="A285" s="37" t="n">
        <v>273</v>
      </c>
      <c r="B285" s="37" t="n">
        <v>272</v>
      </c>
      <c r="C285" s="38" t="n">
        <v>4624.35</v>
      </c>
      <c r="D285" s="38">
        <f>4541.138727+0.225904*B285</f>
        <v/>
      </c>
      <c r="E285" s="39">
        <f>C285-D285</f>
        <v/>
      </c>
      <c r="F285" s="39">
        <f>(E285-F757)^2</f>
        <v/>
      </c>
      <c r="G285" s="38">
        <f>(E285-F757)^3</f>
        <v/>
      </c>
      <c r="H285" s="38">
        <f>(E285-F757)^4</f>
        <v/>
      </c>
      <c r="I285" s="37" t="n"/>
    </row>
    <row r="286" ht="15" customHeight="1" s="28">
      <c r="A286" s="40" t="n">
        <v>274</v>
      </c>
      <c r="B286" s="40" t="n">
        <v>273</v>
      </c>
      <c r="C286" s="41" t="n">
        <v>4626.3</v>
      </c>
      <c r="D286" s="41">
        <f>4541.138727+0.225904*B286</f>
        <v/>
      </c>
      <c r="E286" s="42">
        <f>C286-D286</f>
        <v/>
      </c>
      <c r="F286" s="42">
        <f>(E286-F757)^2</f>
        <v/>
      </c>
      <c r="G286" s="41">
        <f>(E286-F757)^3</f>
        <v/>
      </c>
      <c r="H286" s="41">
        <f>(E286-F757)^4</f>
        <v/>
      </c>
      <c r="I286" s="40" t="n"/>
    </row>
    <row r="287" ht="15" customHeight="1" s="28">
      <c r="A287" s="37" t="n">
        <v>275</v>
      </c>
      <c r="B287" s="37" t="n">
        <v>274</v>
      </c>
      <c r="C287" s="38" t="n">
        <v>4624.4</v>
      </c>
      <c r="D287" s="38">
        <f>4541.138727+0.225904*B287</f>
        <v/>
      </c>
      <c r="E287" s="39">
        <f>C287-D287</f>
        <v/>
      </c>
      <c r="F287" s="39">
        <f>(E287-F757)^2</f>
        <v/>
      </c>
      <c r="G287" s="38">
        <f>(E287-F757)^3</f>
        <v/>
      </c>
      <c r="H287" s="38">
        <f>(E287-F757)^4</f>
        <v/>
      </c>
      <c r="I287" s="37" t="n"/>
    </row>
    <row r="288" ht="15" customHeight="1" s="28">
      <c r="A288" s="40" t="n">
        <v>276</v>
      </c>
      <c r="B288" s="40" t="n">
        <v>275</v>
      </c>
      <c r="C288" s="41" t="n">
        <v>4611.78</v>
      </c>
      <c r="D288" s="41">
        <f>4541.138727+0.225904*B288</f>
        <v/>
      </c>
      <c r="E288" s="42">
        <f>C288-D288</f>
        <v/>
      </c>
      <c r="F288" s="42">
        <f>(E288-F757)^2</f>
        <v/>
      </c>
      <c r="G288" s="41">
        <f>(E288-F757)^3</f>
        <v/>
      </c>
      <c r="H288" s="41">
        <f>(E288-F757)^4</f>
        <v/>
      </c>
      <c r="I288" s="40" t="n"/>
    </row>
    <row r="289" ht="15" customHeight="1" s="28">
      <c r="A289" s="37" t="n">
        <v>277</v>
      </c>
      <c r="B289" s="37" t="n">
        <v>276</v>
      </c>
      <c r="C289" s="38" t="n">
        <v>4610.06</v>
      </c>
      <c r="D289" s="38">
        <f>4541.138727+0.225904*B289</f>
        <v/>
      </c>
      <c r="E289" s="39">
        <f>C289-D289</f>
        <v/>
      </c>
      <c r="F289" s="39">
        <f>(E289-F757)^2</f>
        <v/>
      </c>
      <c r="G289" s="38">
        <f>(E289-F757)^3</f>
        <v/>
      </c>
      <c r="H289" s="38">
        <f>(E289-F757)^4</f>
        <v/>
      </c>
      <c r="I289" s="37" t="n"/>
    </row>
    <row r="290" ht="15" customHeight="1" s="28">
      <c r="A290" s="40" t="n">
        <v>278</v>
      </c>
      <c r="B290" s="40" t="n">
        <v>277</v>
      </c>
      <c r="C290" s="41" t="n">
        <v>4611.41</v>
      </c>
      <c r="D290" s="41">
        <f>4541.138727+0.225904*B290</f>
        <v/>
      </c>
      <c r="E290" s="42">
        <f>C290-D290</f>
        <v/>
      </c>
      <c r="F290" s="42">
        <f>(E290-F757)^2</f>
        <v/>
      </c>
      <c r="G290" s="41">
        <f>(E290-F757)^3</f>
        <v/>
      </c>
      <c r="H290" s="41">
        <f>(E290-F757)^4</f>
        <v/>
      </c>
      <c r="I290" s="40" t="n"/>
    </row>
    <row r="291" ht="15" customHeight="1" s="28">
      <c r="A291" s="37" t="n">
        <v>279</v>
      </c>
      <c r="B291" s="37" t="n">
        <v>278</v>
      </c>
      <c r="C291" s="38" t="n">
        <v>4613.3</v>
      </c>
      <c r="D291" s="38">
        <f>4541.138727+0.225904*B291</f>
        <v/>
      </c>
      <c r="E291" s="39">
        <f>C291-D291</f>
        <v/>
      </c>
      <c r="F291" s="39">
        <f>(E291-F757)^2</f>
        <v/>
      </c>
      <c r="G291" s="38">
        <f>(E291-F757)^3</f>
        <v/>
      </c>
      <c r="H291" s="38">
        <f>(E291-F757)^4</f>
        <v/>
      </c>
      <c r="I291" s="37" t="n"/>
    </row>
    <row r="292" ht="15" customHeight="1" s="28">
      <c r="A292" s="40" t="n">
        <v>280</v>
      </c>
      <c r="B292" s="40" t="n">
        <v>279</v>
      </c>
      <c r="C292" s="41" t="n">
        <v>4613.77</v>
      </c>
      <c r="D292" s="41">
        <f>4541.138727+0.225904*B292</f>
        <v/>
      </c>
      <c r="E292" s="42">
        <f>C292-D292</f>
        <v/>
      </c>
      <c r="F292" s="42">
        <f>(E292-F757)^2</f>
        <v/>
      </c>
      <c r="G292" s="41">
        <f>(E292-F757)^3</f>
        <v/>
      </c>
      <c r="H292" s="41">
        <f>(E292-F757)^4</f>
        <v/>
      </c>
      <c r="I292" s="40" t="n"/>
    </row>
    <row r="293" ht="15" customHeight="1" s="28">
      <c r="A293" s="37" t="n">
        <v>281</v>
      </c>
      <c r="B293" s="37" t="n">
        <v>280</v>
      </c>
      <c r="C293" s="38" t="n">
        <v>4613.98</v>
      </c>
      <c r="D293" s="38">
        <f>4541.138727+0.225904*B293</f>
        <v/>
      </c>
      <c r="E293" s="39">
        <f>C293-D293</f>
        <v/>
      </c>
      <c r="F293" s="39">
        <f>(E293-F757)^2</f>
        <v/>
      </c>
      <c r="G293" s="38">
        <f>(E293-F757)^3</f>
        <v/>
      </c>
      <c r="H293" s="38">
        <f>(E293-F757)^4</f>
        <v/>
      </c>
      <c r="I293" s="37" t="n"/>
    </row>
    <row r="294" ht="15" customHeight="1" s="28">
      <c r="A294" s="40" t="n">
        <v>282</v>
      </c>
      <c r="B294" s="40" t="n">
        <v>281</v>
      </c>
      <c r="C294" s="41" t="n">
        <v>4623.11</v>
      </c>
      <c r="D294" s="41">
        <f>4541.138727+0.225904*B294</f>
        <v/>
      </c>
      <c r="E294" s="42">
        <f>C294-D294</f>
        <v/>
      </c>
      <c r="F294" s="42">
        <f>(E294-F757)^2</f>
        <v/>
      </c>
      <c r="G294" s="41">
        <f>(E294-F757)^3</f>
        <v/>
      </c>
      <c r="H294" s="41">
        <f>(E294-F757)^4</f>
        <v/>
      </c>
      <c r="I294" s="40" t="n"/>
    </row>
    <row r="295" ht="15" customHeight="1" s="28">
      <c r="A295" s="37" t="n">
        <v>283</v>
      </c>
      <c r="B295" s="37" t="n">
        <v>282</v>
      </c>
      <c r="C295" s="38" t="n">
        <v>4620.91</v>
      </c>
      <c r="D295" s="38">
        <f>4541.138727+0.225904*B295</f>
        <v/>
      </c>
      <c r="E295" s="39">
        <f>C295-D295</f>
        <v/>
      </c>
      <c r="F295" s="39">
        <f>(E295-F757)^2</f>
        <v/>
      </c>
      <c r="G295" s="38">
        <f>(E295-F757)^3</f>
        <v/>
      </c>
      <c r="H295" s="38">
        <f>(E295-F757)^4</f>
        <v/>
      </c>
      <c r="I295" s="37" t="n"/>
    </row>
    <row r="296" ht="15" customHeight="1" s="28">
      <c r="A296" s="40" t="n">
        <v>284</v>
      </c>
      <c r="B296" s="40" t="n">
        <v>283</v>
      </c>
      <c r="C296" s="41" t="n">
        <v>4628.2</v>
      </c>
      <c r="D296" s="41">
        <f>4541.138727+0.225904*B296</f>
        <v/>
      </c>
      <c r="E296" s="42">
        <f>C296-D296</f>
        <v/>
      </c>
      <c r="F296" s="42">
        <f>(E296-F757)^2</f>
        <v/>
      </c>
      <c r="G296" s="41">
        <f>(E296-F757)^3</f>
        <v/>
      </c>
      <c r="H296" s="41">
        <f>(E296-F757)^4</f>
        <v/>
      </c>
      <c r="I296" s="40" t="n"/>
    </row>
    <row r="297" ht="15" customHeight="1" s="28">
      <c r="A297" s="37" t="n">
        <v>285</v>
      </c>
      <c r="B297" s="37" t="n">
        <v>284</v>
      </c>
      <c r="C297" s="38" t="n">
        <v>4618.95</v>
      </c>
      <c r="D297" s="38">
        <f>4541.138727+0.225904*B297</f>
        <v/>
      </c>
      <c r="E297" s="39">
        <f>C297-D297</f>
        <v/>
      </c>
      <c r="F297" s="39">
        <f>(E297-F757)^2</f>
        <v/>
      </c>
      <c r="G297" s="38">
        <f>(E297-F757)^3</f>
        <v/>
      </c>
      <c r="H297" s="38">
        <f>(E297-F757)^4</f>
        <v/>
      </c>
      <c r="I297" s="37" t="n"/>
    </row>
    <row r="298" ht="15" customHeight="1" s="28">
      <c r="A298" s="40" t="n">
        <v>286</v>
      </c>
      <c r="B298" s="40" t="n">
        <v>285</v>
      </c>
      <c r="C298" s="41" t="n">
        <v>4615.08</v>
      </c>
      <c r="D298" s="41">
        <f>4541.138727+0.225904*B298</f>
        <v/>
      </c>
      <c r="E298" s="42">
        <f>C298-D298</f>
        <v/>
      </c>
      <c r="F298" s="42">
        <f>(E298-F757)^2</f>
        <v/>
      </c>
      <c r="G298" s="41">
        <f>(E298-F757)^3</f>
        <v/>
      </c>
      <c r="H298" s="41">
        <f>(E298-F757)^4</f>
        <v/>
      </c>
      <c r="I298" s="40" t="n"/>
    </row>
    <row r="299" ht="15" customHeight="1" s="28">
      <c r="A299" s="37" t="n">
        <v>287</v>
      </c>
      <c r="B299" s="37" t="n">
        <v>286</v>
      </c>
      <c r="C299" s="38" t="n">
        <v>4617.09</v>
      </c>
      <c r="D299" s="38">
        <f>4541.138727+0.225904*B299</f>
        <v/>
      </c>
      <c r="E299" s="39">
        <f>C299-D299</f>
        <v/>
      </c>
      <c r="F299" s="39">
        <f>(E299-F757)^2</f>
        <v/>
      </c>
      <c r="G299" s="38">
        <f>(E299-F757)^3</f>
        <v/>
      </c>
      <c r="H299" s="38">
        <f>(E299-F757)^4</f>
        <v/>
      </c>
      <c r="I299" s="37" t="n"/>
    </row>
    <row r="300" ht="15" customHeight="1" s="28">
      <c r="A300" s="40" t="n">
        <v>288</v>
      </c>
      <c r="B300" s="40" t="n">
        <v>287</v>
      </c>
      <c r="C300" s="41" t="n">
        <v>4613.63</v>
      </c>
      <c r="D300" s="41">
        <f>4541.138727+0.225904*B300</f>
        <v/>
      </c>
      <c r="E300" s="42">
        <f>C300-D300</f>
        <v/>
      </c>
      <c r="F300" s="42">
        <f>(E300-F757)^2</f>
        <v/>
      </c>
      <c r="G300" s="41">
        <f>(E300-F757)^3</f>
        <v/>
      </c>
      <c r="H300" s="41">
        <f>(E300-F757)^4</f>
        <v/>
      </c>
      <c r="I300" s="40" t="n"/>
    </row>
    <row r="301" ht="15" customHeight="1" s="28">
      <c r="A301" s="37" t="n">
        <v>289</v>
      </c>
      <c r="B301" s="37" t="n">
        <v>288</v>
      </c>
      <c r="C301" s="38" t="n">
        <v>4613.86</v>
      </c>
      <c r="D301" s="38">
        <f>4541.138727+0.225904*B301</f>
        <v/>
      </c>
      <c r="E301" s="39">
        <f>C301-D301</f>
        <v/>
      </c>
      <c r="F301" s="39">
        <f>(E301-F757)^2</f>
        <v/>
      </c>
      <c r="G301" s="38">
        <f>(E301-F757)^3</f>
        <v/>
      </c>
      <c r="H301" s="38">
        <f>(E301-F757)^4</f>
        <v/>
      </c>
      <c r="I301" s="37" t="n"/>
    </row>
    <row r="302" ht="15" customHeight="1" s="28">
      <c r="A302" s="40" t="n">
        <v>290</v>
      </c>
      <c r="B302" s="40" t="n">
        <v>289</v>
      </c>
      <c r="C302" s="41" t="n">
        <v>4612.3</v>
      </c>
      <c r="D302" s="41">
        <f>4541.138727+0.225904*B302</f>
        <v/>
      </c>
      <c r="E302" s="42">
        <f>C302-D302</f>
        <v/>
      </c>
      <c r="F302" s="42">
        <f>(E302-F757)^2</f>
        <v/>
      </c>
      <c r="G302" s="41">
        <f>(E302-F757)^3</f>
        <v/>
      </c>
      <c r="H302" s="41">
        <f>(E302-F757)^4</f>
        <v/>
      </c>
      <c r="I302" s="40" t="n"/>
    </row>
    <row r="303" ht="15" customHeight="1" s="28">
      <c r="A303" s="37" t="n">
        <v>291</v>
      </c>
      <c r="B303" s="37" t="n">
        <v>290</v>
      </c>
      <c r="C303" s="38" t="n">
        <v>4606.13</v>
      </c>
      <c r="D303" s="38">
        <f>4541.138727+0.225904*B303</f>
        <v/>
      </c>
      <c r="E303" s="39">
        <f>C303-D303</f>
        <v/>
      </c>
      <c r="F303" s="39">
        <f>(E303-F757)^2</f>
        <v/>
      </c>
      <c r="G303" s="38">
        <f>(E303-F757)^3</f>
        <v/>
      </c>
      <c r="H303" s="38">
        <f>(E303-F757)^4</f>
        <v/>
      </c>
      <c r="I303" s="37" t="n"/>
    </row>
    <row r="304" ht="15" customHeight="1" s="28">
      <c r="A304" s="40" t="n">
        <v>292</v>
      </c>
      <c r="B304" s="40" t="n">
        <v>291</v>
      </c>
      <c r="C304" s="41" t="n">
        <v>4605.86</v>
      </c>
      <c r="D304" s="41">
        <f>4541.138727+0.225904*B304</f>
        <v/>
      </c>
      <c r="E304" s="42">
        <f>C304-D304</f>
        <v/>
      </c>
      <c r="F304" s="42">
        <f>(E304-F757)^2</f>
        <v/>
      </c>
      <c r="G304" s="41">
        <f>(E304-F757)^3</f>
        <v/>
      </c>
      <c r="H304" s="41">
        <f>(E304-F757)^4</f>
        <v/>
      </c>
      <c r="I304" s="40" t="n"/>
    </row>
    <row r="305" ht="15" customHeight="1" s="28">
      <c r="A305" s="37" t="n">
        <v>293</v>
      </c>
      <c r="B305" s="37" t="n">
        <v>292</v>
      </c>
      <c r="C305" s="38" t="n">
        <v>4613.01</v>
      </c>
      <c r="D305" s="38">
        <f>4541.138727+0.225904*B305</f>
        <v/>
      </c>
      <c r="E305" s="39">
        <f>C305-D305</f>
        <v/>
      </c>
      <c r="F305" s="39">
        <f>(E305-F757)^2</f>
        <v/>
      </c>
      <c r="G305" s="38">
        <f>(E305-F757)^3</f>
        <v/>
      </c>
      <c r="H305" s="38">
        <f>(E305-F757)^4</f>
        <v/>
      </c>
      <c r="I305" s="37" t="n"/>
    </row>
    <row r="306" ht="15" customHeight="1" s="28">
      <c r="A306" s="40" t="n">
        <v>294</v>
      </c>
      <c r="B306" s="40" t="n">
        <v>293</v>
      </c>
      <c r="C306" s="41" t="n">
        <v>4600.58</v>
      </c>
      <c r="D306" s="41">
        <f>4541.138727+0.225904*B306</f>
        <v/>
      </c>
      <c r="E306" s="42">
        <f>C306-D306</f>
        <v/>
      </c>
      <c r="F306" s="42">
        <f>(E306-F757)^2</f>
        <v/>
      </c>
      <c r="G306" s="41">
        <f>(E306-F757)^3</f>
        <v/>
      </c>
      <c r="H306" s="41">
        <f>(E306-F757)^4</f>
        <v/>
      </c>
      <c r="I306" s="40" t="n"/>
    </row>
    <row r="307" ht="15" customHeight="1" s="28">
      <c r="A307" s="37" t="n">
        <v>295</v>
      </c>
      <c r="B307" s="37" t="n">
        <v>294</v>
      </c>
      <c r="C307" s="38" t="n">
        <v>4594.65</v>
      </c>
      <c r="D307" s="38">
        <f>4541.138727+0.225904*B307</f>
        <v/>
      </c>
      <c r="E307" s="39">
        <f>C307-D307</f>
        <v/>
      </c>
      <c r="F307" s="39">
        <f>(E307-F757)^2</f>
        <v/>
      </c>
      <c r="G307" s="38">
        <f>(E307-F757)^3</f>
        <v/>
      </c>
      <c r="H307" s="38">
        <f>(E307-F757)^4</f>
        <v/>
      </c>
      <c r="I307" s="37" t="n"/>
    </row>
    <row r="308" ht="15" customHeight="1" s="28">
      <c r="A308" s="40" t="n">
        <v>296</v>
      </c>
      <c r="B308" s="40" t="n">
        <v>295</v>
      </c>
      <c r="C308" s="41" t="n">
        <v>4601.59</v>
      </c>
      <c r="D308" s="41">
        <f>4541.138727+0.225904*B308</f>
        <v/>
      </c>
      <c r="E308" s="42">
        <f>C308-D308</f>
        <v/>
      </c>
      <c r="F308" s="42">
        <f>(E308-F757)^2</f>
        <v/>
      </c>
      <c r="G308" s="41">
        <f>(E308-F757)^3</f>
        <v/>
      </c>
      <c r="H308" s="41">
        <f>(E308-F757)^4</f>
        <v/>
      </c>
      <c r="I308" s="40" t="n"/>
    </row>
    <row r="309" ht="15" customHeight="1" s="28">
      <c r="A309" s="37" t="n">
        <v>297</v>
      </c>
      <c r="B309" s="37" t="n">
        <v>296</v>
      </c>
      <c r="C309" s="38" t="n">
        <v>4613.14</v>
      </c>
      <c r="D309" s="38">
        <f>4541.138727+0.225904*B309</f>
        <v/>
      </c>
      <c r="E309" s="39">
        <f>C309-D309</f>
        <v/>
      </c>
      <c r="F309" s="39">
        <f>(E309-F757)^2</f>
        <v/>
      </c>
      <c r="G309" s="38">
        <f>(E309-F757)^3</f>
        <v/>
      </c>
      <c r="H309" s="38">
        <f>(E309-F757)^4</f>
        <v/>
      </c>
      <c r="I309" s="37" t="n"/>
    </row>
    <row r="310" ht="15" customHeight="1" s="28">
      <c r="A310" s="40" t="n">
        <v>298</v>
      </c>
      <c r="B310" s="40" t="n">
        <v>297</v>
      </c>
      <c r="C310" s="41" t="n">
        <v>4608.34</v>
      </c>
      <c r="D310" s="41">
        <f>4541.138727+0.225904*B310</f>
        <v/>
      </c>
      <c r="E310" s="42">
        <f>C310-D310</f>
        <v/>
      </c>
      <c r="F310" s="42">
        <f>(E310-F757)^2</f>
        <v/>
      </c>
      <c r="G310" s="41">
        <f>(E310-F757)^3</f>
        <v/>
      </c>
      <c r="H310" s="41">
        <f>(E310-F757)^4</f>
        <v/>
      </c>
      <c r="I310" s="40" t="n"/>
    </row>
    <row r="311" ht="15" customHeight="1" s="28">
      <c r="A311" s="37" t="n">
        <v>299</v>
      </c>
      <c r="B311" s="37" t="n">
        <v>298</v>
      </c>
      <c r="C311" s="38" t="n">
        <v>4593.09</v>
      </c>
      <c r="D311" s="38">
        <f>4541.138727+0.225904*B311</f>
        <v/>
      </c>
      <c r="E311" s="39">
        <f>C311-D311</f>
        <v/>
      </c>
      <c r="F311" s="39">
        <f>(E311-F757)^2</f>
        <v/>
      </c>
      <c r="G311" s="38">
        <f>(E311-F757)^3</f>
        <v/>
      </c>
      <c r="H311" s="38">
        <f>(E311-F757)^4</f>
        <v/>
      </c>
      <c r="I311" s="37" t="n"/>
    </row>
    <row r="312" ht="15" customHeight="1" s="28">
      <c r="A312" s="40" t="n">
        <v>300</v>
      </c>
      <c r="B312" s="40" t="n">
        <v>299</v>
      </c>
      <c r="C312" s="41" t="n">
        <v>4603.32</v>
      </c>
      <c r="D312" s="41">
        <f>4541.138727+0.225904*B312</f>
        <v/>
      </c>
      <c r="E312" s="42">
        <f>C312-D312</f>
        <v/>
      </c>
      <c r="F312" s="42">
        <f>(E312-F757)^2</f>
        <v/>
      </c>
      <c r="G312" s="41">
        <f>(E312-F757)^3</f>
        <v/>
      </c>
      <c r="H312" s="41">
        <f>(E312-F757)^4</f>
        <v/>
      </c>
      <c r="I312" s="40" t="n"/>
    </row>
    <row r="313" ht="15" customHeight="1" s="28">
      <c r="A313" s="37" t="n">
        <v>301</v>
      </c>
      <c r="B313" s="37" t="n">
        <v>300</v>
      </c>
      <c r="C313" s="38" t="n">
        <v>4605.77</v>
      </c>
      <c r="D313" s="38">
        <f>4541.138727+0.225904*B313</f>
        <v/>
      </c>
      <c r="E313" s="39">
        <f>C313-D313</f>
        <v/>
      </c>
      <c r="F313" s="39">
        <f>(E313-F757)^2</f>
        <v/>
      </c>
      <c r="G313" s="38">
        <f>(E313-F757)^3</f>
        <v/>
      </c>
      <c r="H313" s="38">
        <f>(E313-F757)^4</f>
        <v/>
      </c>
      <c r="I313" s="37" t="n"/>
    </row>
    <row r="314" ht="15" customHeight="1" s="28">
      <c r="A314" s="40" t="n">
        <v>302</v>
      </c>
      <c r="B314" s="40" t="n">
        <v>301</v>
      </c>
      <c r="C314" s="41" t="n">
        <v>4610.07</v>
      </c>
      <c r="D314" s="41">
        <f>4541.138727+0.225904*B314</f>
        <v/>
      </c>
      <c r="E314" s="42">
        <f>C314-D314</f>
        <v/>
      </c>
      <c r="F314" s="42">
        <f>(E314-F757)^2</f>
        <v/>
      </c>
      <c r="G314" s="41">
        <f>(E314-F757)^3</f>
        <v/>
      </c>
      <c r="H314" s="41">
        <f>(E314-F757)^4</f>
        <v/>
      </c>
      <c r="I314" s="40" t="n"/>
    </row>
    <row r="315" ht="15" customHeight="1" s="28">
      <c r="A315" s="37" t="n">
        <v>303</v>
      </c>
      <c r="B315" s="37" t="n">
        <v>302</v>
      </c>
      <c r="C315" s="38" t="n">
        <v>4610.27</v>
      </c>
      <c r="D315" s="38">
        <f>4541.138727+0.225904*B315</f>
        <v/>
      </c>
      <c r="E315" s="39">
        <f>C315-D315</f>
        <v/>
      </c>
      <c r="F315" s="39">
        <f>(E315-F757)^2</f>
        <v/>
      </c>
      <c r="G315" s="38">
        <f>(E315-F757)^3</f>
        <v/>
      </c>
      <c r="H315" s="38">
        <f>(E315-F757)^4</f>
        <v/>
      </c>
      <c r="I315" s="37" t="n"/>
    </row>
    <row r="316" ht="15" customHeight="1" s="28">
      <c r="A316" s="40" t="n">
        <v>304</v>
      </c>
      <c r="B316" s="40" t="n">
        <v>303</v>
      </c>
      <c r="C316" s="41" t="n">
        <v>4605.07</v>
      </c>
      <c r="D316" s="41">
        <f>4541.138727+0.225904*B316</f>
        <v/>
      </c>
      <c r="E316" s="42">
        <f>C316-D316</f>
        <v/>
      </c>
      <c r="F316" s="42">
        <f>(E316-F757)^2</f>
        <v/>
      </c>
      <c r="G316" s="41">
        <f>(E316-F757)^3</f>
        <v/>
      </c>
      <c r="H316" s="41">
        <f>(E316-F757)^4</f>
        <v/>
      </c>
      <c r="I316" s="40" t="n"/>
    </row>
    <row r="317" ht="15" customHeight="1" s="28">
      <c r="A317" s="37" t="n">
        <v>305</v>
      </c>
      <c r="B317" s="37" t="n">
        <v>304</v>
      </c>
      <c r="C317" s="38" t="n">
        <v>4615.09</v>
      </c>
      <c r="D317" s="38">
        <f>4541.138727+0.225904*B317</f>
        <v/>
      </c>
      <c r="E317" s="39">
        <f>C317-D317</f>
        <v/>
      </c>
      <c r="F317" s="39">
        <f>(E317-F757)^2</f>
        <v/>
      </c>
      <c r="G317" s="38">
        <f>(E317-F757)^3</f>
        <v/>
      </c>
      <c r="H317" s="38">
        <f>(E317-F757)^4</f>
        <v/>
      </c>
      <c r="I317" s="37" t="n"/>
    </row>
    <row r="318" ht="15" customHeight="1" s="28">
      <c r="A318" s="40" t="n">
        <v>306</v>
      </c>
      <c r="B318" s="40" t="n">
        <v>305</v>
      </c>
      <c r="C318" s="41" t="n">
        <v>4611.19</v>
      </c>
      <c r="D318" s="41">
        <f>4541.138727+0.225904*B318</f>
        <v/>
      </c>
      <c r="E318" s="42">
        <f>C318-D318</f>
        <v/>
      </c>
      <c r="F318" s="42">
        <f>(E318-F757)^2</f>
        <v/>
      </c>
      <c r="G318" s="41">
        <f>(E318-F757)^3</f>
        <v/>
      </c>
      <c r="H318" s="41">
        <f>(E318-F757)^4</f>
        <v/>
      </c>
      <c r="I318" s="40" t="n"/>
    </row>
    <row r="319" ht="15" customHeight="1" s="28">
      <c r="A319" s="37" t="n">
        <v>307</v>
      </c>
      <c r="B319" s="37" t="n">
        <v>306</v>
      </c>
      <c r="C319" s="38" t="n">
        <v>4608.12</v>
      </c>
      <c r="D319" s="38">
        <f>4541.138727+0.225904*B319</f>
        <v/>
      </c>
      <c r="E319" s="39">
        <f>C319-D319</f>
        <v/>
      </c>
      <c r="F319" s="39">
        <f>(E319-F757)^2</f>
        <v/>
      </c>
      <c r="G319" s="38">
        <f>(E319-F757)^3</f>
        <v/>
      </c>
      <c r="H319" s="38">
        <f>(E319-F757)^4</f>
        <v/>
      </c>
      <c r="I319" s="37" t="n"/>
    </row>
    <row r="320" ht="15" customHeight="1" s="28">
      <c r="A320" s="40" t="n">
        <v>308</v>
      </c>
      <c r="B320" s="40" t="n">
        <v>307</v>
      </c>
      <c r="C320" s="41" t="n">
        <v>4609.32</v>
      </c>
      <c r="D320" s="41">
        <f>4541.138727+0.225904*B320</f>
        <v/>
      </c>
      <c r="E320" s="42">
        <f>C320-D320</f>
        <v/>
      </c>
      <c r="F320" s="42">
        <f>(E320-F757)^2</f>
        <v/>
      </c>
      <c r="G320" s="41">
        <f>(E320-F757)^3</f>
        <v/>
      </c>
      <c r="H320" s="41">
        <f>(E320-F757)^4</f>
        <v/>
      </c>
      <c r="I320" s="40" t="n"/>
    </row>
    <row r="321" ht="15" customHeight="1" s="28">
      <c r="A321" s="37" t="n">
        <v>309</v>
      </c>
      <c r="B321" s="37" t="n">
        <v>308</v>
      </c>
      <c r="C321" s="38" t="n">
        <v>4606</v>
      </c>
      <c r="D321" s="38">
        <f>4541.138727+0.225904*B321</f>
        <v/>
      </c>
      <c r="E321" s="39">
        <f>C321-D321</f>
        <v/>
      </c>
      <c r="F321" s="39">
        <f>(E321-F757)^2</f>
        <v/>
      </c>
      <c r="G321" s="38">
        <f>(E321-F757)^3</f>
        <v/>
      </c>
      <c r="H321" s="38">
        <f>(E321-F757)^4</f>
        <v/>
      </c>
      <c r="I321" s="37" t="n"/>
    </row>
    <row r="322" ht="15" customHeight="1" s="28">
      <c r="A322" s="40" t="n">
        <v>310</v>
      </c>
      <c r="B322" s="40" t="n">
        <v>309</v>
      </c>
      <c r="C322" s="41" t="n">
        <v>4603.74</v>
      </c>
      <c r="D322" s="41">
        <f>4541.138727+0.225904*B322</f>
        <v/>
      </c>
      <c r="E322" s="42">
        <f>C322-D322</f>
        <v/>
      </c>
      <c r="F322" s="42">
        <f>(E322-F757)^2</f>
        <v/>
      </c>
      <c r="G322" s="41">
        <f>(E322-F757)^3</f>
        <v/>
      </c>
      <c r="H322" s="41">
        <f>(E322-F757)^4</f>
        <v/>
      </c>
      <c r="I322" s="40" t="n"/>
    </row>
    <row r="323" ht="15" customHeight="1" s="28">
      <c r="A323" s="37" t="n">
        <v>311</v>
      </c>
      <c r="B323" s="37" t="n">
        <v>310</v>
      </c>
      <c r="C323" s="38" t="n">
        <v>4596.32</v>
      </c>
      <c r="D323" s="38">
        <f>4541.138727+0.225904*B323</f>
        <v/>
      </c>
      <c r="E323" s="39">
        <f>C323-D323</f>
        <v/>
      </c>
      <c r="F323" s="39">
        <f>(E323-F757)^2</f>
        <v/>
      </c>
      <c r="G323" s="38">
        <f>(E323-F757)^3</f>
        <v/>
      </c>
      <c r="H323" s="38">
        <f>(E323-F757)^4</f>
        <v/>
      </c>
      <c r="I323" s="37" t="n"/>
    </row>
    <row r="324" ht="15" customHeight="1" s="28">
      <c r="A324" s="40" t="n">
        <v>312</v>
      </c>
      <c r="B324" s="40" t="n">
        <v>311</v>
      </c>
      <c r="C324" s="41" t="n">
        <v>4598.85</v>
      </c>
      <c r="D324" s="41">
        <f>4541.138727+0.225904*B324</f>
        <v/>
      </c>
      <c r="E324" s="42">
        <f>C324-D324</f>
        <v/>
      </c>
      <c r="F324" s="42">
        <f>(E324-F757)^2</f>
        <v/>
      </c>
      <c r="G324" s="41">
        <f>(E324-F757)^3</f>
        <v/>
      </c>
      <c r="H324" s="41">
        <f>(E324-F757)^4</f>
        <v/>
      </c>
      <c r="I324" s="40" t="n"/>
    </row>
    <row r="325" ht="15" customHeight="1" s="28">
      <c r="A325" s="37" t="n">
        <v>313</v>
      </c>
      <c r="B325" s="37" t="n">
        <v>312</v>
      </c>
      <c r="C325" s="38" t="n">
        <v>4599.12</v>
      </c>
      <c r="D325" s="38">
        <f>4541.138727+0.225904*B325</f>
        <v/>
      </c>
      <c r="E325" s="39">
        <f>C325-D325</f>
        <v/>
      </c>
      <c r="F325" s="39">
        <f>(E325-F757)^2</f>
        <v/>
      </c>
      <c r="G325" s="38">
        <f>(E325-F757)^3</f>
        <v/>
      </c>
      <c r="H325" s="38">
        <f>(E325-F757)^4</f>
        <v/>
      </c>
      <c r="I325" s="37" t="n"/>
    </row>
    <row r="326" ht="15" customHeight="1" s="28">
      <c r="A326" s="40" t="n">
        <v>314</v>
      </c>
      <c r="B326" s="40" t="n">
        <v>313</v>
      </c>
      <c r="C326" s="41" t="n">
        <v>4597.44</v>
      </c>
      <c r="D326" s="41">
        <f>4541.138727+0.225904*B326</f>
        <v/>
      </c>
      <c r="E326" s="42">
        <f>C326-D326</f>
        <v/>
      </c>
      <c r="F326" s="42">
        <f>(E326-F757)^2</f>
        <v/>
      </c>
      <c r="G326" s="41">
        <f>(E326-F757)^3</f>
        <v/>
      </c>
      <c r="H326" s="41">
        <f>(E326-F757)^4</f>
        <v/>
      </c>
      <c r="I326" s="40" t="n"/>
    </row>
    <row r="327" ht="15" customHeight="1" s="28">
      <c r="A327" s="37" t="n">
        <v>315</v>
      </c>
      <c r="B327" s="37" t="n">
        <v>314</v>
      </c>
      <c r="C327" s="38" t="n">
        <v>4594.08</v>
      </c>
      <c r="D327" s="38">
        <f>4541.138727+0.225904*B327</f>
        <v/>
      </c>
      <c r="E327" s="39">
        <f>C327-D327</f>
        <v/>
      </c>
      <c r="F327" s="39">
        <f>(E327-F757)^2</f>
        <v/>
      </c>
      <c r="G327" s="38">
        <f>(E327-F757)^3</f>
        <v/>
      </c>
      <c r="H327" s="38">
        <f>(E327-F757)^4</f>
        <v/>
      </c>
      <c r="I327" s="37" t="n"/>
    </row>
    <row r="328" ht="15" customHeight="1" s="28">
      <c r="A328" s="40" t="n">
        <v>316</v>
      </c>
      <c r="B328" s="40" t="n">
        <v>315</v>
      </c>
      <c r="C328" s="41" t="n">
        <v>4585.46</v>
      </c>
      <c r="D328" s="41">
        <f>4541.138727+0.225904*B328</f>
        <v/>
      </c>
      <c r="E328" s="42">
        <f>C328-D328</f>
        <v/>
      </c>
      <c r="F328" s="42">
        <f>(E328-F757)^2</f>
        <v/>
      </c>
      <c r="G328" s="41">
        <f>(E328-F757)^3</f>
        <v/>
      </c>
      <c r="H328" s="41">
        <f>(E328-F757)^4</f>
        <v/>
      </c>
      <c r="I328" s="40" t="n"/>
    </row>
    <row r="329" ht="15" customHeight="1" s="28">
      <c r="A329" s="37" t="n">
        <v>317</v>
      </c>
      <c r="B329" s="37" t="n">
        <v>316</v>
      </c>
      <c r="C329" s="38" t="n">
        <v>4588.54</v>
      </c>
      <c r="D329" s="38">
        <f>4541.138727+0.225904*B329</f>
        <v/>
      </c>
      <c r="E329" s="39">
        <f>C329-D329</f>
        <v/>
      </c>
      <c r="F329" s="39">
        <f>(E329-F757)^2</f>
        <v/>
      </c>
      <c r="G329" s="38">
        <f>(E329-F757)^3</f>
        <v/>
      </c>
      <c r="H329" s="38">
        <f>(E329-F757)^4</f>
        <v/>
      </c>
      <c r="I329" s="37" t="n"/>
    </row>
    <row r="330" ht="15" customHeight="1" s="28">
      <c r="A330" s="40" t="n">
        <v>318</v>
      </c>
      <c r="B330" s="40" t="n">
        <v>317</v>
      </c>
      <c r="C330" s="41" t="n">
        <v>4592.16</v>
      </c>
      <c r="D330" s="41">
        <f>4541.138727+0.225904*B330</f>
        <v/>
      </c>
      <c r="E330" s="42">
        <f>C330-D330</f>
        <v/>
      </c>
      <c r="F330" s="42">
        <f>(E330-F757)^2</f>
        <v/>
      </c>
      <c r="G330" s="41">
        <f>(E330-F757)^3</f>
        <v/>
      </c>
      <c r="H330" s="41">
        <f>(E330-F757)^4</f>
        <v/>
      </c>
      <c r="I330" s="40" t="n"/>
    </row>
    <row r="331" ht="15" customHeight="1" s="28">
      <c r="A331" s="37" t="n">
        <v>319</v>
      </c>
      <c r="B331" s="37" t="n">
        <v>318</v>
      </c>
      <c r="C331" s="38" t="n">
        <v>4585.82</v>
      </c>
      <c r="D331" s="38">
        <f>4541.138727+0.225904*B331</f>
        <v/>
      </c>
      <c r="E331" s="39">
        <f>C331-D331</f>
        <v/>
      </c>
      <c r="F331" s="39">
        <f>(E331-F757)^2</f>
        <v/>
      </c>
      <c r="G331" s="38">
        <f>(E331-F757)^3</f>
        <v/>
      </c>
      <c r="H331" s="38">
        <f>(E331-F757)^4</f>
        <v/>
      </c>
      <c r="I331" s="37" t="n"/>
    </row>
    <row r="332" ht="15" customHeight="1" s="28">
      <c r="A332" s="40" t="n">
        <v>320</v>
      </c>
      <c r="B332" s="40" t="n">
        <v>319</v>
      </c>
      <c r="C332" s="41" t="n">
        <v>4587.99</v>
      </c>
      <c r="D332" s="41">
        <f>4541.138727+0.225904*B332</f>
        <v/>
      </c>
      <c r="E332" s="42">
        <f>C332-D332</f>
        <v/>
      </c>
      <c r="F332" s="42">
        <f>(E332-F757)^2</f>
        <v/>
      </c>
      <c r="G332" s="41">
        <f>(E332-F757)^3</f>
        <v/>
      </c>
      <c r="H332" s="41">
        <f>(E332-F757)^4</f>
        <v/>
      </c>
      <c r="I332" s="40" t="n"/>
    </row>
    <row r="333" ht="15" customHeight="1" s="28">
      <c r="A333" s="37" t="n">
        <v>321</v>
      </c>
      <c r="B333" s="37" t="n">
        <v>320</v>
      </c>
      <c r="C333" s="38" t="n">
        <v>4579.06</v>
      </c>
      <c r="D333" s="38">
        <f>4541.138727+0.225904*B333</f>
        <v/>
      </c>
      <c r="E333" s="39">
        <f>C333-D333</f>
        <v/>
      </c>
      <c r="F333" s="39">
        <f>(E333-F757)^2</f>
        <v/>
      </c>
      <c r="G333" s="38">
        <f>(E333-F757)^3</f>
        <v/>
      </c>
      <c r="H333" s="38">
        <f>(E333-F757)^4</f>
        <v/>
      </c>
      <c r="I333" s="37" t="n"/>
    </row>
    <row r="334" ht="15" customHeight="1" s="28">
      <c r="A334" s="40" t="n">
        <v>322</v>
      </c>
      <c r="B334" s="40" t="n">
        <v>321</v>
      </c>
      <c r="C334" s="41" t="n">
        <v>4580.25</v>
      </c>
      <c r="D334" s="41">
        <f>4541.138727+0.225904*B334</f>
        <v/>
      </c>
      <c r="E334" s="42">
        <f>C334-D334</f>
        <v/>
      </c>
      <c r="F334" s="42">
        <f>(E334-F757)^2</f>
        <v/>
      </c>
      <c r="G334" s="41">
        <f>(E334-F757)^3</f>
        <v/>
      </c>
      <c r="H334" s="41">
        <f>(E334-F757)^4</f>
        <v/>
      </c>
      <c r="I334" s="40" t="n"/>
    </row>
    <row r="335" ht="15" customHeight="1" s="28">
      <c r="A335" s="37" t="n">
        <v>323</v>
      </c>
      <c r="B335" s="37" t="n">
        <v>322</v>
      </c>
      <c r="C335" s="38" t="n">
        <v>4575.07</v>
      </c>
      <c r="D335" s="38">
        <f>4541.138727+0.225904*B335</f>
        <v/>
      </c>
      <c r="E335" s="39">
        <f>C335-D335</f>
        <v/>
      </c>
      <c r="F335" s="39">
        <f>(E335-F757)^2</f>
        <v/>
      </c>
      <c r="G335" s="38">
        <f>(E335-F757)^3</f>
        <v/>
      </c>
      <c r="H335" s="38">
        <f>(E335-F757)^4</f>
        <v/>
      </c>
      <c r="I335" s="37" t="n"/>
    </row>
    <row r="336" ht="15" customHeight="1" s="28">
      <c r="A336" s="40" t="n">
        <v>324</v>
      </c>
      <c r="B336" s="40" t="n">
        <v>323</v>
      </c>
      <c r="C336" s="41" t="n">
        <v>4578.09</v>
      </c>
      <c r="D336" s="41">
        <f>4541.138727+0.225904*B336</f>
        <v/>
      </c>
      <c r="E336" s="42">
        <f>C336-D336</f>
        <v/>
      </c>
      <c r="F336" s="42">
        <f>(E336-F757)^2</f>
        <v/>
      </c>
      <c r="G336" s="41">
        <f>(E336-F757)^3</f>
        <v/>
      </c>
      <c r="H336" s="41">
        <f>(E336-F757)^4</f>
        <v/>
      </c>
      <c r="I336" s="40" t="n"/>
    </row>
    <row r="337" ht="15" customHeight="1" s="28">
      <c r="A337" s="37" t="n">
        <v>325</v>
      </c>
      <c r="B337" s="37" t="n">
        <v>324</v>
      </c>
      <c r="C337" s="38" t="n">
        <v>4577.11</v>
      </c>
      <c r="D337" s="38">
        <f>4541.138727+0.225904*B337</f>
        <v/>
      </c>
      <c r="E337" s="39">
        <f>C337-D337</f>
        <v/>
      </c>
      <c r="F337" s="39">
        <f>(E337-F757)^2</f>
        <v/>
      </c>
      <c r="G337" s="38">
        <f>(E337-F757)^3</f>
        <v/>
      </c>
      <c r="H337" s="38">
        <f>(E337-F757)^4</f>
        <v/>
      </c>
      <c r="I337" s="37" t="n"/>
    </row>
    <row r="338" ht="15" customHeight="1" s="28">
      <c r="A338" s="40" t="n">
        <v>326</v>
      </c>
      <c r="B338" s="40" t="n">
        <v>325</v>
      </c>
      <c r="C338" s="41" t="n">
        <v>4584.21</v>
      </c>
      <c r="D338" s="41">
        <f>4541.138727+0.225904*B338</f>
        <v/>
      </c>
      <c r="E338" s="42">
        <f>C338-D338</f>
        <v/>
      </c>
      <c r="F338" s="42">
        <f>(E338-F757)^2</f>
        <v/>
      </c>
      <c r="G338" s="41">
        <f>(E338-F757)^3</f>
        <v/>
      </c>
      <c r="H338" s="41">
        <f>(E338-F757)^4</f>
        <v/>
      </c>
      <c r="I338" s="40" t="n"/>
    </row>
    <row r="339" ht="15" customHeight="1" s="28">
      <c r="A339" s="37" t="n">
        <v>327</v>
      </c>
      <c r="B339" s="37" t="n">
        <v>326</v>
      </c>
      <c r="C339" s="38" t="n">
        <v>4581.15</v>
      </c>
      <c r="D339" s="38">
        <f>4541.138727+0.225904*B339</f>
        <v/>
      </c>
      <c r="E339" s="39">
        <f>C339-D339</f>
        <v/>
      </c>
      <c r="F339" s="39">
        <f>(E339-F757)^2</f>
        <v/>
      </c>
      <c r="G339" s="38">
        <f>(E339-F757)^3</f>
        <v/>
      </c>
      <c r="H339" s="38">
        <f>(E339-F757)^4</f>
        <v/>
      </c>
      <c r="I339" s="37" t="n"/>
    </row>
    <row r="340" ht="15" customHeight="1" s="28">
      <c r="A340" s="40" t="n">
        <v>328</v>
      </c>
      <c r="B340" s="40" t="n">
        <v>327</v>
      </c>
      <c r="C340" s="41" t="n">
        <v>4581.26</v>
      </c>
      <c r="D340" s="41">
        <f>4541.138727+0.225904*B340</f>
        <v/>
      </c>
      <c r="E340" s="42">
        <f>C340-D340</f>
        <v/>
      </c>
      <c r="F340" s="42">
        <f>(E340-F757)^2</f>
        <v/>
      </c>
      <c r="G340" s="41">
        <f>(E340-F757)^3</f>
        <v/>
      </c>
      <c r="H340" s="41">
        <f>(E340-F757)^4</f>
        <v/>
      </c>
      <c r="I340" s="40" t="n"/>
    </row>
    <row r="341" ht="15" customHeight="1" s="28">
      <c r="A341" s="37" t="n">
        <v>329</v>
      </c>
      <c r="B341" s="37" t="n">
        <v>328</v>
      </c>
      <c r="C341" s="38" t="n">
        <v>4575.47</v>
      </c>
      <c r="D341" s="38">
        <f>4541.138727+0.225904*B341</f>
        <v/>
      </c>
      <c r="E341" s="39">
        <f>C341-D341</f>
        <v/>
      </c>
      <c r="F341" s="39">
        <f>(E341-F757)^2</f>
        <v/>
      </c>
      <c r="G341" s="38">
        <f>(E341-F757)^3</f>
        <v/>
      </c>
      <c r="H341" s="38">
        <f>(E341-F757)^4</f>
        <v/>
      </c>
      <c r="I341" s="37" t="n"/>
    </row>
    <row r="342" ht="15" customHeight="1" s="28">
      <c r="A342" s="40" t="n">
        <v>330</v>
      </c>
      <c r="B342" s="40" t="n">
        <v>329</v>
      </c>
      <c r="C342" s="41" t="n">
        <v>4541.79</v>
      </c>
      <c r="D342" s="41">
        <f>4541.138727+0.225904*B342</f>
        <v/>
      </c>
      <c r="E342" s="42">
        <f>C342-D342</f>
        <v/>
      </c>
      <c r="F342" s="42">
        <f>(E342-F757)^2</f>
        <v/>
      </c>
      <c r="G342" s="41">
        <f>(E342-F757)^3</f>
        <v/>
      </c>
      <c r="H342" s="41">
        <f>(E342-F757)^4</f>
        <v/>
      </c>
      <c r="I342" s="40" t="n"/>
    </row>
    <row r="343" ht="15" customHeight="1" s="28">
      <c r="A343" s="37" t="n">
        <v>331</v>
      </c>
      <c r="B343" s="37" t="n">
        <v>330</v>
      </c>
      <c r="C343" s="38" t="n">
        <v>4545</v>
      </c>
      <c r="D343" s="38">
        <f>4541.138727+0.225904*B343</f>
        <v/>
      </c>
      <c r="E343" s="39">
        <f>C343-D343</f>
        <v/>
      </c>
      <c r="F343" s="39">
        <f>(E343-F757)^2</f>
        <v/>
      </c>
      <c r="G343" s="38">
        <f>(E343-F757)^3</f>
        <v/>
      </c>
      <c r="H343" s="38">
        <f>(E343-F757)^4</f>
        <v/>
      </c>
      <c r="I343" s="37" t="n"/>
    </row>
    <row r="344" ht="15" customHeight="1" s="28">
      <c r="A344" s="40" t="n">
        <v>332</v>
      </c>
      <c r="B344" s="40" t="n">
        <v>331</v>
      </c>
      <c r="C344" s="41" t="n">
        <v>4558.64</v>
      </c>
      <c r="D344" s="41">
        <f>4541.138727+0.225904*B344</f>
        <v/>
      </c>
      <c r="E344" s="42">
        <f>C344-D344</f>
        <v/>
      </c>
      <c r="F344" s="42">
        <f>(E344-F757)^2</f>
        <v/>
      </c>
      <c r="G344" s="41">
        <f>(E344-F757)^3</f>
        <v/>
      </c>
      <c r="H344" s="41">
        <f>(E344-F757)^4</f>
        <v/>
      </c>
      <c r="I344" s="40" t="n"/>
    </row>
    <row r="345" ht="15" customHeight="1" s="28">
      <c r="A345" s="37" t="n">
        <v>333</v>
      </c>
      <c r="B345" s="37" t="n">
        <v>332</v>
      </c>
      <c r="C345" s="38" t="n">
        <v>4562.67</v>
      </c>
      <c r="D345" s="38">
        <f>4541.138727+0.225904*B345</f>
        <v/>
      </c>
      <c r="E345" s="39">
        <f>C345-D345</f>
        <v/>
      </c>
      <c r="F345" s="39">
        <f>(E345-F757)^2</f>
        <v/>
      </c>
      <c r="G345" s="38">
        <f>(E345-F757)^3</f>
        <v/>
      </c>
      <c r="H345" s="38">
        <f>(E345-F757)^4</f>
        <v/>
      </c>
      <c r="I345" s="37" t="n"/>
    </row>
    <row r="346" ht="15" customHeight="1" s="28">
      <c r="A346" s="40" t="n">
        <v>334</v>
      </c>
      <c r="B346" s="40" t="n">
        <v>333</v>
      </c>
      <c r="C346" s="41" t="n">
        <v>4565.34</v>
      </c>
      <c r="D346" s="41">
        <f>4541.138727+0.225904*B346</f>
        <v/>
      </c>
      <c r="E346" s="42">
        <f>C346-D346</f>
        <v/>
      </c>
      <c r="F346" s="42">
        <f>(E346-F757)^2</f>
        <v/>
      </c>
      <c r="G346" s="41">
        <f>(E346-F757)^3</f>
        <v/>
      </c>
      <c r="H346" s="41">
        <f>(E346-F757)^4</f>
        <v/>
      </c>
      <c r="I346" s="40" t="n"/>
    </row>
    <row r="347" ht="15" customHeight="1" s="28">
      <c r="A347" s="37" t="n">
        <v>335</v>
      </c>
      <c r="B347" s="37" t="n">
        <v>334</v>
      </c>
      <c r="C347" s="38" t="n">
        <v>4562.26</v>
      </c>
      <c r="D347" s="38">
        <f>4541.138727+0.225904*B347</f>
        <v/>
      </c>
      <c r="E347" s="39">
        <f>C347-D347</f>
        <v/>
      </c>
      <c r="F347" s="39">
        <f>(E347-F757)^2</f>
        <v/>
      </c>
      <c r="G347" s="38">
        <f>(E347-F757)^3</f>
        <v/>
      </c>
      <c r="H347" s="38">
        <f>(E347-F757)^4</f>
        <v/>
      </c>
      <c r="I347" s="37" t="n"/>
    </row>
    <row r="348" ht="15" customHeight="1" s="28">
      <c r="A348" s="40" t="n">
        <v>336</v>
      </c>
      <c r="B348" s="40" t="n">
        <v>335</v>
      </c>
      <c r="C348" s="41" t="n">
        <v>4553.65</v>
      </c>
      <c r="D348" s="41">
        <f>4541.138727+0.225904*B348</f>
        <v/>
      </c>
      <c r="E348" s="42">
        <f>C348-D348</f>
        <v/>
      </c>
      <c r="F348" s="42">
        <f>(E348-F757)^2</f>
        <v/>
      </c>
      <c r="G348" s="41">
        <f>(E348-F757)^3</f>
        <v/>
      </c>
      <c r="H348" s="41">
        <f>(E348-F757)^4</f>
        <v/>
      </c>
      <c r="I348" s="40" t="n"/>
    </row>
    <row r="349" ht="15" customHeight="1" s="28">
      <c r="A349" s="37" t="n">
        <v>337</v>
      </c>
      <c r="B349" s="37" t="n">
        <v>336</v>
      </c>
      <c r="C349" s="38" t="n">
        <v>4559.94</v>
      </c>
      <c r="D349" s="38">
        <f>4541.138727+0.225904*B349</f>
        <v/>
      </c>
      <c r="E349" s="39">
        <f>C349-D349</f>
        <v/>
      </c>
      <c r="F349" s="39">
        <f>(E349-F757)^2</f>
        <v/>
      </c>
      <c r="G349" s="38">
        <f>(E349-F757)^3</f>
        <v/>
      </c>
      <c r="H349" s="38">
        <f>(E349-F757)^4</f>
        <v/>
      </c>
      <c r="I349" s="37" t="n"/>
    </row>
    <row r="350" ht="15" customHeight="1" s="28">
      <c r="A350" s="40" t="n">
        <v>338</v>
      </c>
      <c r="B350" s="40" t="n">
        <v>337</v>
      </c>
      <c r="C350" s="41" t="n">
        <v>4563.67</v>
      </c>
      <c r="D350" s="41">
        <f>4541.138727+0.225904*B350</f>
        <v/>
      </c>
      <c r="E350" s="42">
        <f>C350-D350</f>
        <v/>
      </c>
      <c r="F350" s="42">
        <f>(E350-F757)^2</f>
        <v/>
      </c>
      <c r="G350" s="41">
        <f>(E350-F757)^3</f>
        <v/>
      </c>
      <c r="H350" s="41">
        <f>(E350-F757)^4</f>
        <v/>
      </c>
      <c r="I350" s="40" t="n"/>
    </row>
    <row r="351" ht="15" customHeight="1" s="28">
      <c r="A351" s="37" t="n">
        <v>339</v>
      </c>
      <c r="B351" s="37" t="n">
        <v>338</v>
      </c>
      <c r="C351" s="38" t="n">
        <v>4568.68</v>
      </c>
      <c r="D351" s="38">
        <f>4541.138727+0.225904*B351</f>
        <v/>
      </c>
      <c r="E351" s="39">
        <f>C351-D351</f>
        <v/>
      </c>
      <c r="F351" s="39">
        <f>(E351-F757)^2</f>
        <v/>
      </c>
      <c r="G351" s="38">
        <f>(E351-F757)^3</f>
        <v/>
      </c>
      <c r="H351" s="38">
        <f>(E351-F757)^4</f>
        <v/>
      </c>
      <c r="I351" s="37" t="n"/>
    </row>
    <row r="352" ht="15" customHeight="1" s="28">
      <c r="A352" s="40" t="n">
        <v>340</v>
      </c>
      <c r="B352" s="40" t="n">
        <v>339</v>
      </c>
      <c r="C352" s="41" t="n">
        <v>4570.1</v>
      </c>
      <c r="D352" s="41">
        <f>4541.138727+0.225904*B352</f>
        <v/>
      </c>
      <c r="E352" s="42">
        <f>C352-D352</f>
        <v/>
      </c>
      <c r="F352" s="42">
        <f>(E352-F757)^2</f>
        <v/>
      </c>
      <c r="G352" s="41">
        <f>(E352-F757)^3</f>
        <v/>
      </c>
      <c r="H352" s="41">
        <f>(E352-F757)^4</f>
        <v/>
      </c>
      <c r="I352" s="40" t="n"/>
    </row>
    <row r="353" ht="15" customHeight="1" s="28">
      <c r="A353" s="37" t="n">
        <v>341</v>
      </c>
      <c r="B353" s="37" t="n">
        <v>340</v>
      </c>
      <c r="C353" s="38" t="n">
        <v>4568.79</v>
      </c>
      <c r="D353" s="38">
        <f>4541.138727+0.225904*B353</f>
        <v/>
      </c>
      <c r="E353" s="39">
        <f>C353-D353</f>
        <v/>
      </c>
      <c r="F353" s="39">
        <f>(E353-F757)^2</f>
        <v/>
      </c>
      <c r="G353" s="38">
        <f>(E353-F757)^3</f>
        <v/>
      </c>
      <c r="H353" s="38">
        <f>(E353-F757)^4</f>
        <v/>
      </c>
      <c r="I353" s="37" t="n"/>
    </row>
    <row r="354" ht="15" customHeight="1" s="28">
      <c r="A354" s="40" t="n">
        <v>342</v>
      </c>
      <c r="B354" s="40" t="n">
        <v>341</v>
      </c>
      <c r="C354" s="41" t="n">
        <v>4565.98</v>
      </c>
      <c r="D354" s="41">
        <f>4541.138727+0.225904*B354</f>
        <v/>
      </c>
      <c r="E354" s="42">
        <f>C354-D354</f>
        <v/>
      </c>
      <c r="F354" s="42">
        <f>(E354-F757)^2</f>
        <v/>
      </c>
      <c r="G354" s="41">
        <f>(E354-F757)^3</f>
        <v/>
      </c>
      <c r="H354" s="41">
        <f>(E354-F757)^4</f>
        <v/>
      </c>
      <c r="I354" s="40" t="n"/>
    </row>
    <row r="355" ht="15" customHeight="1" s="28">
      <c r="A355" s="37" t="n">
        <v>343</v>
      </c>
      <c r="B355" s="37" t="n">
        <v>342</v>
      </c>
      <c r="C355" s="38" t="n">
        <v>4561.09</v>
      </c>
      <c r="D355" s="38">
        <f>4541.138727+0.225904*B355</f>
        <v/>
      </c>
      <c r="E355" s="39">
        <f>C355-D355</f>
        <v/>
      </c>
      <c r="F355" s="39">
        <f>(E355-F757)^2</f>
        <v/>
      </c>
      <c r="G355" s="38">
        <f>(E355-F757)^3</f>
        <v/>
      </c>
      <c r="H355" s="38">
        <f>(E355-F757)^4</f>
        <v/>
      </c>
      <c r="I355" s="37" t="n"/>
    </row>
    <row r="356" ht="15" customHeight="1" s="28">
      <c r="A356" s="40" t="n">
        <v>344</v>
      </c>
      <c r="B356" s="40" t="n">
        <v>343</v>
      </c>
      <c r="C356" s="41" t="n">
        <v>4565.51</v>
      </c>
      <c r="D356" s="41">
        <f>4541.138727+0.225904*B356</f>
        <v/>
      </c>
      <c r="E356" s="42">
        <f>C356-D356</f>
        <v/>
      </c>
      <c r="F356" s="42">
        <f>(E356-F757)^2</f>
        <v/>
      </c>
      <c r="G356" s="41">
        <f>(E356-F757)^3</f>
        <v/>
      </c>
      <c r="H356" s="41">
        <f>(E356-F757)^4</f>
        <v/>
      </c>
      <c r="I356" s="40" t="n"/>
    </row>
    <row r="357" ht="15" customHeight="1" s="28">
      <c r="A357" s="37" t="n">
        <v>345</v>
      </c>
      <c r="B357" s="37" t="n">
        <v>344</v>
      </c>
      <c r="C357" s="38" t="n">
        <v>4563.85</v>
      </c>
      <c r="D357" s="38">
        <f>4541.138727+0.225904*B357</f>
        <v/>
      </c>
      <c r="E357" s="39">
        <f>C357-D357</f>
        <v/>
      </c>
      <c r="F357" s="39">
        <f>(E357-F757)^2</f>
        <v/>
      </c>
      <c r="G357" s="38">
        <f>(E357-F757)^3</f>
        <v/>
      </c>
      <c r="H357" s="38">
        <f>(E357-F757)^4</f>
        <v/>
      </c>
      <c r="I357" s="37" t="n"/>
    </row>
    <row r="358" ht="15" customHeight="1" s="28">
      <c r="A358" s="40" t="n">
        <v>346</v>
      </c>
      <c r="B358" s="40" t="n">
        <v>345</v>
      </c>
      <c r="C358" s="41" t="n">
        <v>4560.18</v>
      </c>
      <c r="D358" s="41">
        <f>4541.138727+0.225904*B358</f>
        <v/>
      </c>
      <c r="E358" s="42">
        <f>C358-D358</f>
        <v/>
      </c>
      <c r="F358" s="42">
        <f>(E358-F757)^2</f>
        <v/>
      </c>
      <c r="G358" s="41">
        <f>(E358-F757)^3</f>
        <v/>
      </c>
      <c r="H358" s="41">
        <f>(E358-F757)^4</f>
        <v/>
      </c>
      <c r="I358" s="40" t="n"/>
    </row>
    <row r="359" ht="15" customHeight="1" s="28">
      <c r="A359" s="37" t="n">
        <v>347</v>
      </c>
      <c r="B359" s="37" t="n">
        <v>346</v>
      </c>
      <c r="C359" s="38" t="n">
        <v>4571.2</v>
      </c>
      <c r="D359" s="38">
        <f>4541.138727+0.225904*B359</f>
        <v/>
      </c>
      <c r="E359" s="39">
        <f>C359-D359</f>
        <v/>
      </c>
      <c r="F359" s="39">
        <f>(E359-F757)^2</f>
        <v/>
      </c>
      <c r="G359" s="38">
        <f>(E359-F757)^3</f>
        <v/>
      </c>
      <c r="H359" s="38">
        <f>(E359-F757)^4</f>
        <v/>
      </c>
      <c r="I359" s="37" t="n"/>
    </row>
    <row r="360" ht="15" customHeight="1" s="28">
      <c r="A360" s="40" t="n">
        <v>348</v>
      </c>
      <c r="B360" s="40" t="n">
        <v>347</v>
      </c>
      <c r="C360" s="41" t="n">
        <v>4574.38</v>
      </c>
      <c r="D360" s="41">
        <f>4541.138727+0.225904*B360</f>
        <v/>
      </c>
      <c r="E360" s="42">
        <f>C360-D360</f>
        <v/>
      </c>
      <c r="F360" s="42">
        <f>(E360-F757)^2</f>
        <v/>
      </c>
      <c r="G360" s="41">
        <f>(E360-F757)^3</f>
        <v/>
      </c>
      <c r="H360" s="41">
        <f>(E360-F757)^4</f>
        <v/>
      </c>
      <c r="I360" s="40" t="n"/>
    </row>
    <row r="361" ht="15" customHeight="1" s="28">
      <c r="A361" s="37" t="n">
        <v>349</v>
      </c>
      <c r="B361" s="37" t="n">
        <v>348</v>
      </c>
      <c r="C361" s="38" t="n">
        <v>4561.26</v>
      </c>
      <c r="D361" s="38">
        <f>4541.138727+0.225904*B361</f>
        <v/>
      </c>
      <c r="E361" s="39">
        <f>C361-D361</f>
        <v/>
      </c>
      <c r="F361" s="39">
        <f>(E361-F757)^2</f>
        <v/>
      </c>
      <c r="G361" s="38">
        <f>(E361-F757)^3</f>
        <v/>
      </c>
      <c r="H361" s="38">
        <f>(E361-F757)^4</f>
        <v/>
      </c>
      <c r="I361" s="37" t="n"/>
    </row>
    <row r="362" ht="15" customHeight="1" s="28">
      <c r="A362" s="40" t="n">
        <v>350</v>
      </c>
      <c r="B362" s="40" t="n">
        <v>349</v>
      </c>
      <c r="C362" s="41" t="n">
        <v>4548.46</v>
      </c>
      <c r="D362" s="41">
        <f>4541.138727+0.225904*B362</f>
        <v/>
      </c>
      <c r="E362" s="42">
        <f>C362-D362</f>
        <v/>
      </c>
      <c r="F362" s="42">
        <f>(E362-F757)^2</f>
        <v/>
      </c>
      <c r="G362" s="41">
        <f>(E362-F757)^3</f>
        <v/>
      </c>
      <c r="H362" s="41">
        <f>(E362-F757)^4</f>
        <v/>
      </c>
      <c r="I362" s="40" t="n"/>
    </row>
    <row r="363" ht="15" customHeight="1" s="28">
      <c r="A363" s="37" t="n">
        <v>351</v>
      </c>
      <c r="B363" s="37" t="n">
        <v>350</v>
      </c>
      <c r="C363" s="38" t="n">
        <v>4537.95</v>
      </c>
      <c r="D363" s="38">
        <f>4541.138727+0.225904*B363</f>
        <v/>
      </c>
      <c r="E363" s="39">
        <f>C363-D363</f>
        <v/>
      </c>
      <c r="F363" s="39">
        <f>(E363-F757)^2</f>
        <v/>
      </c>
      <c r="G363" s="38">
        <f>(E363-F757)^3</f>
        <v/>
      </c>
      <c r="H363" s="38">
        <f>(E363-F757)^4</f>
        <v/>
      </c>
      <c r="I363" s="37" t="n"/>
    </row>
    <row r="364" ht="15" customHeight="1" s="28">
      <c r="A364" s="40" t="n">
        <v>352</v>
      </c>
      <c r="B364" s="40" t="n">
        <v>351</v>
      </c>
      <c r="C364" s="41" t="n">
        <v>4535.1</v>
      </c>
      <c r="D364" s="41">
        <f>4541.138727+0.225904*B364</f>
        <v/>
      </c>
      <c r="E364" s="42">
        <f>C364-D364</f>
        <v/>
      </c>
      <c r="F364" s="42">
        <f>(E364-F757)^2</f>
        <v/>
      </c>
      <c r="G364" s="41">
        <f>(E364-F757)^3</f>
        <v/>
      </c>
      <c r="H364" s="41">
        <f>(E364-F757)^4</f>
        <v/>
      </c>
      <c r="I364" s="40" t="n"/>
    </row>
    <row r="365" ht="15" customHeight="1" s="28">
      <c r="A365" s="37" t="n">
        <v>353</v>
      </c>
      <c r="B365" s="37" t="n">
        <v>352</v>
      </c>
      <c r="C365" s="38" t="n">
        <v>4521.33</v>
      </c>
      <c r="D365" s="38">
        <f>4541.138727+0.225904*B365</f>
        <v/>
      </c>
      <c r="E365" s="39">
        <f>C365-D365</f>
        <v/>
      </c>
      <c r="F365" s="39">
        <f>(E365-F757)^2</f>
        <v/>
      </c>
      <c r="G365" s="38">
        <f>(E365-F757)^3</f>
        <v/>
      </c>
      <c r="H365" s="38">
        <f>(E365-F757)^4</f>
        <v/>
      </c>
      <c r="I365" s="37" t="n"/>
    </row>
    <row r="366" ht="15" customHeight="1" s="28">
      <c r="A366" s="40" t="n">
        <v>354</v>
      </c>
      <c r="B366" s="40" t="n">
        <v>353</v>
      </c>
      <c r="C366" s="41" t="n">
        <v>4509.88</v>
      </c>
      <c r="D366" s="41">
        <f>4541.138727+0.225904*B366</f>
        <v/>
      </c>
      <c r="E366" s="42">
        <f>C366-D366</f>
        <v/>
      </c>
      <c r="F366" s="42">
        <f>(E366-F757)^2</f>
        <v/>
      </c>
      <c r="G366" s="41">
        <f>(E366-F757)^3</f>
        <v/>
      </c>
      <c r="H366" s="41">
        <f>(E366-F757)^4</f>
        <v/>
      </c>
      <c r="I366" s="40" t="n"/>
    </row>
    <row r="367" ht="15" customHeight="1" s="28">
      <c r="A367" s="37" t="n">
        <v>355</v>
      </c>
      <c r="B367" s="37" t="n">
        <v>354</v>
      </c>
      <c r="C367" s="38" t="n">
        <v>4515.03</v>
      </c>
      <c r="D367" s="38">
        <f>4541.138727+0.225904*B367</f>
        <v/>
      </c>
      <c r="E367" s="39">
        <f>C367-D367</f>
        <v/>
      </c>
      <c r="F367" s="39">
        <f>(E367-F757)^2</f>
        <v/>
      </c>
      <c r="G367" s="38">
        <f>(E367-F757)^3</f>
        <v/>
      </c>
      <c r="H367" s="38">
        <f>(E367-F757)^4</f>
        <v/>
      </c>
      <c r="I367" s="37" t="n"/>
    </row>
    <row r="368" ht="15" customHeight="1" s="28">
      <c r="A368" s="40" t="n">
        <v>356</v>
      </c>
      <c r="B368" s="40" t="n">
        <v>355</v>
      </c>
      <c r="C368" s="41" t="n">
        <v>4512.59</v>
      </c>
      <c r="D368" s="41">
        <f>4541.138727+0.225904*B368</f>
        <v/>
      </c>
      <c r="E368" s="42">
        <f>C368-D368</f>
        <v/>
      </c>
      <c r="F368" s="42">
        <f>(E368-F757)^2</f>
        <v/>
      </c>
      <c r="G368" s="41">
        <f>(E368-F757)^3</f>
        <v/>
      </c>
      <c r="H368" s="41">
        <f>(E368-F757)^4</f>
        <v/>
      </c>
      <c r="I368" s="40" t="n"/>
    </row>
    <row r="369" ht="15" customHeight="1" s="28">
      <c r="A369" s="37" t="n">
        <v>357</v>
      </c>
      <c r="B369" s="37" t="n">
        <v>356</v>
      </c>
      <c r="C369" s="38" t="n">
        <v>4510.69</v>
      </c>
      <c r="D369" s="38">
        <f>4541.138727+0.225904*B369</f>
        <v/>
      </c>
      <c r="E369" s="39">
        <f>C369-D369</f>
        <v/>
      </c>
      <c r="F369" s="39">
        <f>(E369-F757)^2</f>
        <v/>
      </c>
      <c r="G369" s="38">
        <f>(E369-F757)^3</f>
        <v/>
      </c>
      <c r="H369" s="38">
        <f>(E369-F757)^4</f>
        <v/>
      </c>
      <c r="I369" s="37" t="n"/>
    </row>
    <row r="370" ht="15" customHeight="1" s="28">
      <c r="A370" s="40" t="n">
        <v>358</v>
      </c>
      <c r="B370" s="40" t="n">
        <v>357</v>
      </c>
      <c r="C370" s="41" t="n">
        <v>4522.39</v>
      </c>
      <c r="D370" s="41">
        <f>4541.138727+0.225904*B370</f>
        <v/>
      </c>
      <c r="E370" s="42">
        <f>C370-D370</f>
        <v/>
      </c>
      <c r="F370" s="42">
        <f>(E370-F757)^2</f>
        <v/>
      </c>
      <c r="G370" s="41">
        <f>(E370-F757)^3</f>
        <v/>
      </c>
      <c r="H370" s="41">
        <f>(E370-F757)^4</f>
        <v/>
      </c>
      <c r="I370" s="40" t="n"/>
    </row>
    <row r="371" ht="15" customHeight="1" s="28">
      <c r="A371" s="37" t="n">
        <v>359</v>
      </c>
      <c r="B371" s="37" t="n">
        <v>358</v>
      </c>
      <c r="C371" s="38" t="n">
        <v>4524.38</v>
      </c>
      <c r="D371" s="38">
        <f>4541.138727+0.225904*B371</f>
        <v/>
      </c>
      <c r="E371" s="39">
        <f>C371-D371</f>
        <v/>
      </c>
      <c r="F371" s="39">
        <f>(E371-F757)^2</f>
        <v/>
      </c>
      <c r="G371" s="38">
        <f>(E371-F757)^3</f>
        <v/>
      </c>
      <c r="H371" s="38">
        <f>(E371-F757)^4</f>
        <v/>
      </c>
      <c r="I371" s="37" t="n"/>
    </row>
    <row r="372" ht="15" customHeight="1" s="28">
      <c r="A372" s="40" t="n">
        <v>360</v>
      </c>
      <c r="B372" s="40" t="n">
        <v>359</v>
      </c>
      <c r="C372" s="41" t="n">
        <v>4526.1</v>
      </c>
      <c r="D372" s="41">
        <f>4541.138727+0.225904*B372</f>
        <v/>
      </c>
      <c r="E372" s="42">
        <f>C372-D372</f>
        <v/>
      </c>
      <c r="F372" s="42">
        <f>(E372-F757)^2</f>
        <v/>
      </c>
      <c r="G372" s="41">
        <f>(E372-F757)^3</f>
        <v/>
      </c>
      <c r="H372" s="41">
        <f>(E372-F757)^4</f>
        <v/>
      </c>
      <c r="I372" s="40" t="n"/>
    </row>
    <row r="373" ht="15" customHeight="1" s="28">
      <c r="A373" s="37" t="n">
        <v>361</v>
      </c>
      <c r="B373" s="37" t="n">
        <v>360</v>
      </c>
      <c r="C373" s="38" t="n">
        <v>4522.35</v>
      </c>
      <c r="D373" s="38">
        <f>4541.138727+0.225904*B373</f>
        <v/>
      </c>
      <c r="E373" s="39">
        <f>C373-D373</f>
        <v/>
      </c>
      <c r="F373" s="39">
        <f>(E373-F757)^2</f>
        <v/>
      </c>
      <c r="G373" s="38">
        <f>(E373-F757)^3</f>
        <v/>
      </c>
      <c r="H373" s="38">
        <f>(E373-F757)^4</f>
        <v/>
      </c>
      <c r="I373" s="37" t="n"/>
    </row>
    <row r="374" ht="15" customHeight="1" s="28">
      <c r="A374" s="40" t="n">
        <v>362</v>
      </c>
      <c r="B374" s="40" t="n">
        <v>361</v>
      </c>
      <c r="C374" s="41" t="n">
        <v>4520.01</v>
      </c>
      <c r="D374" s="41">
        <f>4541.138727+0.225904*B374</f>
        <v/>
      </c>
      <c r="E374" s="42">
        <f>C374-D374</f>
        <v/>
      </c>
      <c r="F374" s="42">
        <f>(E374-F757)^2</f>
        <v/>
      </c>
      <c r="G374" s="41">
        <f>(E374-F757)^3</f>
        <v/>
      </c>
      <c r="H374" s="41">
        <f>(E374-F757)^4</f>
        <v/>
      </c>
      <c r="I374" s="40" t="n"/>
    </row>
    <row r="375" ht="15" customHeight="1" s="28">
      <c r="A375" s="37" t="n">
        <v>363</v>
      </c>
      <c r="B375" s="37" t="n">
        <v>362</v>
      </c>
      <c r="C375" s="38" t="n">
        <v>4511.95</v>
      </c>
      <c r="D375" s="38">
        <f>4541.138727+0.225904*B375</f>
        <v/>
      </c>
      <c r="E375" s="39">
        <f>C375-D375</f>
        <v/>
      </c>
      <c r="F375" s="39">
        <f>(E375-F757)^2</f>
        <v/>
      </c>
      <c r="G375" s="38">
        <f>(E375-F757)^3</f>
        <v/>
      </c>
      <c r="H375" s="38">
        <f>(E375-F757)^4</f>
        <v/>
      </c>
      <c r="I375" s="37" t="n"/>
    </row>
    <row r="376" ht="15" customHeight="1" s="28">
      <c r="A376" s="40" t="n">
        <v>364</v>
      </c>
      <c r="B376" s="40" t="n">
        <v>363</v>
      </c>
      <c r="C376" s="41" t="n">
        <v>4511.86</v>
      </c>
      <c r="D376" s="41">
        <f>4541.138727+0.225904*B376</f>
        <v/>
      </c>
      <c r="E376" s="42">
        <f>C376-D376</f>
        <v/>
      </c>
      <c r="F376" s="42">
        <f>(E376-F757)^2</f>
        <v/>
      </c>
      <c r="G376" s="41">
        <f>(E376-F757)^3</f>
        <v/>
      </c>
      <c r="H376" s="41">
        <f>(E376-F757)^4</f>
        <v/>
      </c>
      <c r="I376" s="40" t="n"/>
    </row>
    <row r="377" ht="15" customHeight="1" s="28">
      <c r="A377" s="37" t="n">
        <v>365</v>
      </c>
      <c r="B377" s="37" t="n">
        <v>364</v>
      </c>
      <c r="C377" s="38" t="n">
        <v>4516.4</v>
      </c>
      <c r="D377" s="38">
        <f>4541.138727+0.225904*B377</f>
        <v/>
      </c>
      <c r="E377" s="39">
        <f>C377-D377</f>
        <v/>
      </c>
      <c r="F377" s="39">
        <f>(E377-F757)^2</f>
        <v/>
      </c>
      <c r="G377" s="38">
        <f>(E377-F757)^3</f>
        <v/>
      </c>
      <c r="H377" s="38">
        <f>(E377-F757)^4</f>
        <v/>
      </c>
      <c r="I377" s="37" t="n"/>
    </row>
    <row r="378" ht="15" customHeight="1" s="28">
      <c r="A378" s="40" t="n">
        <v>366</v>
      </c>
      <c r="B378" s="40" t="n">
        <v>365</v>
      </c>
      <c r="C378" s="41" t="n">
        <v>4519.05</v>
      </c>
      <c r="D378" s="41">
        <f>4541.138727+0.225904*B378</f>
        <v/>
      </c>
      <c r="E378" s="42">
        <f>C378-D378</f>
        <v/>
      </c>
      <c r="F378" s="42">
        <f>(E378-F757)^2</f>
        <v/>
      </c>
      <c r="G378" s="41">
        <f>(E378-F757)^3</f>
        <v/>
      </c>
      <c r="H378" s="41">
        <f>(E378-F757)^4</f>
        <v/>
      </c>
      <c r="I378" s="40" t="n"/>
    </row>
    <row r="379" ht="15" customHeight="1" s="28">
      <c r="A379" s="37" t="n">
        <v>367</v>
      </c>
      <c r="B379" s="37" t="n">
        <v>366</v>
      </c>
      <c r="C379" s="38" t="n">
        <v>4522.42</v>
      </c>
      <c r="D379" s="38">
        <f>4541.138727+0.225904*B379</f>
        <v/>
      </c>
      <c r="E379" s="39">
        <f>C379-D379</f>
        <v/>
      </c>
      <c r="F379" s="39">
        <f>(E379-F757)^2</f>
        <v/>
      </c>
      <c r="G379" s="38">
        <f>(E379-F757)^3</f>
        <v/>
      </c>
      <c r="H379" s="38">
        <f>(E379-F757)^4</f>
        <v/>
      </c>
      <c r="I379" s="37" t="n"/>
    </row>
    <row r="380" ht="15" customHeight="1" s="28">
      <c r="A380" s="40" t="n">
        <v>368</v>
      </c>
      <c r="B380" s="40" t="n">
        <v>367</v>
      </c>
      <c r="C380" s="41" t="n">
        <v>4521.16</v>
      </c>
      <c r="D380" s="41">
        <f>4541.138727+0.225904*B380</f>
        <v/>
      </c>
      <c r="E380" s="42">
        <f>C380-D380</f>
        <v/>
      </c>
      <c r="F380" s="42">
        <f>(E380-F757)^2</f>
        <v/>
      </c>
      <c r="G380" s="41">
        <f>(E380-F757)^3</f>
        <v/>
      </c>
      <c r="H380" s="41">
        <f>(E380-F757)^4</f>
        <v/>
      </c>
      <c r="I380" s="40" t="n"/>
    </row>
    <row r="381" ht="15" customHeight="1" s="28">
      <c r="A381" s="37" t="n">
        <v>369</v>
      </c>
      <c r="B381" s="37" t="n">
        <v>368</v>
      </c>
      <c r="C381" s="38" t="n">
        <v>4517.46</v>
      </c>
      <c r="D381" s="38">
        <f>4541.138727+0.225904*B381</f>
        <v/>
      </c>
      <c r="E381" s="39">
        <f>C381-D381</f>
        <v/>
      </c>
      <c r="F381" s="39">
        <f>(E381-F757)^2</f>
        <v/>
      </c>
      <c r="G381" s="38">
        <f>(E381-F757)^3</f>
        <v/>
      </c>
      <c r="H381" s="38">
        <f>(E381-F757)^4</f>
        <v/>
      </c>
      <c r="I381" s="37" t="n"/>
    </row>
    <row r="382" ht="15" customHeight="1" s="28">
      <c r="A382" s="40" t="n">
        <v>370</v>
      </c>
      <c r="B382" s="40" t="n">
        <v>369</v>
      </c>
      <c r="C382" s="41" t="n">
        <v>4514.74</v>
      </c>
      <c r="D382" s="41">
        <f>4541.138727+0.225904*B382</f>
        <v/>
      </c>
      <c r="E382" s="42">
        <f>C382-D382</f>
        <v/>
      </c>
      <c r="F382" s="42">
        <f>(E382-F757)^2</f>
        <v/>
      </c>
      <c r="G382" s="41">
        <f>(E382-F757)^3</f>
        <v/>
      </c>
      <c r="H382" s="41">
        <f>(E382-F757)^4</f>
        <v/>
      </c>
      <c r="I382" s="40" t="n"/>
    </row>
    <row r="383" ht="15" customHeight="1" s="28">
      <c r="A383" s="37" t="n">
        <v>371</v>
      </c>
      <c r="B383" s="37" t="n">
        <v>370</v>
      </c>
      <c r="C383" s="38" t="n">
        <v>4515.21</v>
      </c>
      <c r="D383" s="38">
        <f>4541.138727+0.225904*B383</f>
        <v/>
      </c>
      <c r="E383" s="39">
        <f>C383-D383</f>
        <v/>
      </c>
      <c r="F383" s="39">
        <f>(E383-F757)^2</f>
        <v/>
      </c>
      <c r="G383" s="38">
        <f>(E383-F757)^3</f>
        <v/>
      </c>
      <c r="H383" s="38">
        <f>(E383-F757)^4</f>
        <v/>
      </c>
      <c r="I383" s="37" t="n"/>
    </row>
    <row r="384" ht="15" customHeight="1" s="28">
      <c r="A384" s="40" t="n">
        <v>372</v>
      </c>
      <c r="B384" s="40" t="n">
        <v>371</v>
      </c>
      <c r="C384" s="41" t="n">
        <v>4518.75</v>
      </c>
      <c r="D384" s="41">
        <f>4541.138727+0.225904*B384</f>
        <v/>
      </c>
      <c r="E384" s="42">
        <f>C384-D384</f>
        <v/>
      </c>
      <c r="F384" s="42">
        <f>(E384-F757)^2</f>
        <v/>
      </c>
      <c r="G384" s="41">
        <f>(E384-F757)^3</f>
        <v/>
      </c>
      <c r="H384" s="41">
        <f>(E384-F757)^4</f>
        <v/>
      </c>
      <c r="I384" s="40" t="n"/>
    </row>
    <row r="385" ht="15" customHeight="1" s="28">
      <c r="A385" s="37" t="n">
        <v>373</v>
      </c>
      <c r="B385" s="37" t="n">
        <v>372</v>
      </c>
      <c r="C385" s="38" t="n">
        <v>4523.84</v>
      </c>
      <c r="D385" s="38">
        <f>4541.138727+0.225904*B385</f>
        <v/>
      </c>
      <c r="E385" s="39">
        <f>C385-D385</f>
        <v/>
      </c>
      <c r="F385" s="39">
        <f>(E385-F757)^2</f>
        <v/>
      </c>
      <c r="G385" s="38">
        <f>(E385-F757)^3</f>
        <v/>
      </c>
      <c r="H385" s="38">
        <f>(E385-F757)^4</f>
        <v/>
      </c>
      <c r="I385" s="37" t="n"/>
    </row>
    <row r="386" ht="15" customHeight="1" s="28">
      <c r="A386" s="40" t="n">
        <v>374</v>
      </c>
      <c r="B386" s="40" t="n">
        <v>373</v>
      </c>
      <c r="C386" s="41" t="n">
        <v>4521.1</v>
      </c>
      <c r="D386" s="41">
        <f>4541.138727+0.225904*B386</f>
        <v/>
      </c>
      <c r="E386" s="42">
        <f>C386-D386</f>
        <v/>
      </c>
      <c r="F386" s="42">
        <f>(E386-F757)^2</f>
        <v/>
      </c>
      <c r="G386" s="41">
        <f>(E386-F757)^3</f>
        <v/>
      </c>
      <c r="H386" s="41">
        <f>(E386-F757)^4</f>
        <v/>
      </c>
      <c r="I386" s="40" t="n"/>
    </row>
    <row r="387" ht="15" customHeight="1" s="28">
      <c r="A387" s="37" t="n">
        <v>375</v>
      </c>
      <c r="B387" s="37" t="n">
        <v>374</v>
      </c>
      <c r="C387" s="38" t="n">
        <v>4519.66</v>
      </c>
      <c r="D387" s="38">
        <f>4541.138727+0.225904*B387</f>
        <v/>
      </c>
      <c r="E387" s="39">
        <f>C387-D387</f>
        <v/>
      </c>
      <c r="F387" s="39">
        <f>(E387-F757)^2</f>
        <v/>
      </c>
      <c r="G387" s="38">
        <f>(E387-F757)^3</f>
        <v/>
      </c>
      <c r="H387" s="38">
        <f>(E387-F757)^4</f>
        <v/>
      </c>
      <c r="I387" s="37" t="n"/>
    </row>
    <row r="388" ht="15" customHeight="1" s="28">
      <c r="A388" s="40" t="n">
        <v>376</v>
      </c>
      <c r="B388" s="40" t="n">
        <v>375</v>
      </c>
      <c r="C388" s="41" t="n">
        <v>4519.02</v>
      </c>
      <c r="D388" s="41">
        <f>4541.138727+0.225904*B388</f>
        <v/>
      </c>
      <c r="E388" s="42">
        <f>C388-D388</f>
        <v/>
      </c>
      <c r="F388" s="42">
        <f>(E388-F757)^2</f>
        <v/>
      </c>
      <c r="G388" s="41">
        <f>(E388-F757)^3</f>
        <v/>
      </c>
      <c r="H388" s="41">
        <f>(E388-F757)^4</f>
        <v/>
      </c>
      <c r="I388" s="40" t="n"/>
    </row>
    <row r="389" ht="15" customHeight="1" s="28">
      <c r="A389" s="37" t="n">
        <v>377</v>
      </c>
      <c r="B389" s="37" t="n">
        <v>376</v>
      </c>
      <c r="C389" s="38" t="n">
        <v>4517.52</v>
      </c>
      <c r="D389" s="38">
        <f>4541.138727+0.225904*B389</f>
        <v/>
      </c>
      <c r="E389" s="39">
        <f>C389-D389</f>
        <v/>
      </c>
      <c r="F389" s="39">
        <f>(E389-F757)^2</f>
        <v/>
      </c>
      <c r="G389" s="38">
        <f>(E389-F757)^3</f>
        <v/>
      </c>
      <c r="H389" s="38">
        <f>(E389-F757)^4</f>
        <v/>
      </c>
      <c r="I389" s="37" t="n"/>
    </row>
    <row r="390" ht="15" customHeight="1" s="28">
      <c r="A390" s="40" t="n">
        <v>378</v>
      </c>
      <c r="B390" s="40" t="n">
        <v>377</v>
      </c>
      <c r="C390" s="41" t="n">
        <v>4520.44</v>
      </c>
      <c r="D390" s="41">
        <f>4541.138727+0.225904*B390</f>
        <v/>
      </c>
      <c r="E390" s="42">
        <f>C390-D390</f>
        <v/>
      </c>
      <c r="F390" s="42">
        <f>(E390-F757)^2</f>
        <v/>
      </c>
      <c r="G390" s="41">
        <f>(E390-F757)^3</f>
        <v/>
      </c>
      <c r="H390" s="41">
        <f>(E390-F757)^4</f>
        <v/>
      </c>
      <c r="I390" s="40" t="n"/>
    </row>
    <row r="391" ht="15" customHeight="1" s="28">
      <c r="A391" s="37" t="n">
        <v>379</v>
      </c>
      <c r="B391" s="37" t="n">
        <v>378</v>
      </c>
      <c r="C391" s="38" t="n">
        <v>4521.13</v>
      </c>
      <c r="D391" s="38">
        <f>4541.138727+0.225904*B391</f>
        <v/>
      </c>
      <c r="E391" s="39">
        <f>C391-D391</f>
        <v/>
      </c>
      <c r="F391" s="39">
        <f>(E391-F757)^2</f>
        <v/>
      </c>
      <c r="G391" s="38">
        <f>(E391-F757)^3</f>
        <v/>
      </c>
      <c r="H391" s="38">
        <f>(E391-F757)^4</f>
        <v/>
      </c>
      <c r="I391" s="37" t="n"/>
    </row>
    <row r="392" ht="15" customHeight="1" s="28">
      <c r="A392" s="40" t="n">
        <v>380</v>
      </c>
      <c r="B392" s="40" t="n">
        <v>379</v>
      </c>
      <c r="C392" s="41" t="n">
        <v>4518.52</v>
      </c>
      <c r="D392" s="41">
        <f>4541.138727+0.225904*B392</f>
        <v/>
      </c>
      <c r="E392" s="42">
        <f>C392-D392</f>
        <v/>
      </c>
      <c r="F392" s="42">
        <f>(E392-F757)^2</f>
        <v/>
      </c>
      <c r="G392" s="41">
        <f>(E392-F757)^3</f>
        <v/>
      </c>
      <c r="H392" s="41">
        <f>(E392-F757)^4</f>
        <v/>
      </c>
      <c r="I392" s="40" t="n"/>
    </row>
    <row r="393" ht="15" customHeight="1" s="28">
      <c r="A393" s="37" t="n">
        <v>381</v>
      </c>
      <c r="B393" s="37" t="n">
        <v>380</v>
      </c>
      <c r="C393" s="38" t="n">
        <v>4519.04</v>
      </c>
      <c r="D393" s="38">
        <f>4541.138727+0.225904*B393</f>
        <v/>
      </c>
      <c r="E393" s="39">
        <f>C393-D393</f>
        <v/>
      </c>
      <c r="F393" s="39">
        <f>(E393-F757)^2</f>
        <v/>
      </c>
      <c r="G393" s="38">
        <f>(E393-F757)^3</f>
        <v/>
      </c>
      <c r="H393" s="38">
        <f>(E393-F757)^4</f>
        <v/>
      </c>
      <c r="I393" s="37" t="n"/>
    </row>
    <row r="394" ht="15" customHeight="1" s="28">
      <c r="A394" s="40" t="n">
        <v>382</v>
      </c>
      <c r="B394" s="40" t="n">
        <v>381</v>
      </c>
      <c r="C394" s="41" t="n">
        <v>4527.77</v>
      </c>
      <c r="D394" s="41">
        <f>4541.138727+0.225904*B394</f>
        <v/>
      </c>
      <c r="E394" s="42">
        <f>C394-D394</f>
        <v/>
      </c>
      <c r="F394" s="42">
        <f>(E394-F757)^2</f>
        <v/>
      </c>
      <c r="G394" s="41">
        <f>(E394-F757)^3</f>
        <v/>
      </c>
      <c r="H394" s="41">
        <f>(E394-F757)^4</f>
        <v/>
      </c>
      <c r="I394" s="40" t="n"/>
    </row>
    <row r="395" ht="15" customHeight="1" s="28">
      <c r="A395" s="37" t="n">
        <v>383</v>
      </c>
      <c r="B395" s="37" t="n">
        <v>382</v>
      </c>
      <c r="C395" s="38" t="n">
        <v>4517.12</v>
      </c>
      <c r="D395" s="38">
        <f>4541.138727+0.225904*B395</f>
        <v/>
      </c>
      <c r="E395" s="39">
        <f>C395-D395</f>
        <v/>
      </c>
      <c r="F395" s="39">
        <f>(E395-F757)^2</f>
        <v/>
      </c>
      <c r="G395" s="38">
        <f>(E395-F757)^3</f>
        <v/>
      </c>
      <c r="H395" s="38">
        <f>(E395-F757)^4</f>
        <v/>
      </c>
      <c r="I395" s="37" t="n"/>
    </row>
    <row r="396" ht="15" customHeight="1" s="28">
      <c r="A396" s="40" t="n">
        <v>384</v>
      </c>
      <c r="B396" s="40" t="n">
        <v>383</v>
      </c>
      <c r="C396" s="41" t="n">
        <v>4523.87</v>
      </c>
      <c r="D396" s="41">
        <f>4541.138727+0.225904*B396</f>
        <v/>
      </c>
      <c r="E396" s="42">
        <f>C396-D396</f>
        <v/>
      </c>
      <c r="F396" s="42">
        <f>(E396-F757)^2</f>
        <v/>
      </c>
      <c r="G396" s="41">
        <f>(E396-F757)^3</f>
        <v/>
      </c>
      <c r="H396" s="41">
        <f>(E396-F757)^4</f>
        <v/>
      </c>
      <c r="I396" s="40" t="n"/>
    </row>
    <row r="397" ht="15" customHeight="1" s="28">
      <c r="A397" s="37" t="n">
        <v>385</v>
      </c>
      <c r="B397" s="37" t="n">
        <v>384</v>
      </c>
      <c r="C397" s="38" t="n">
        <v>4530.12</v>
      </c>
      <c r="D397" s="38">
        <f>4541.138727+0.225904*B397</f>
        <v/>
      </c>
      <c r="E397" s="39">
        <f>C397-D397</f>
        <v/>
      </c>
      <c r="F397" s="39">
        <f>(E397-F757)^2</f>
        <v/>
      </c>
      <c r="G397" s="38">
        <f>(E397-F757)^3</f>
        <v/>
      </c>
      <c r="H397" s="38">
        <f>(E397-F757)^4</f>
        <v/>
      </c>
      <c r="I397" s="37" t="n"/>
    </row>
    <row r="398" ht="15" customHeight="1" s="28">
      <c r="A398" s="40" t="n">
        <v>386</v>
      </c>
      <c r="B398" s="40" t="n">
        <v>385</v>
      </c>
      <c r="C398" s="41" t="n">
        <v>4538.86</v>
      </c>
      <c r="D398" s="41">
        <f>4541.138727+0.225904*B398</f>
        <v/>
      </c>
      <c r="E398" s="42">
        <f>C398-D398</f>
        <v/>
      </c>
      <c r="F398" s="42">
        <f>(E398-F757)^2</f>
        <v/>
      </c>
      <c r="G398" s="41">
        <f>(E398-F757)^3</f>
        <v/>
      </c>
      <c r="H398" s="41">
        <f>(E398-F757)^4</f>
        <v/>
      </c>
      <c r="I398" s="40" t="n"/>
    </row>
    <row r="399" ht="15" customHeight="1" s="28">
      <c r="A399" s="37" t="n">
        <v>387</v>
      </c>
      <c r="B399" s="37" t="n">
        <v>386</v>
      </c>
      <c r="C399" s="38" t="n">
        <v>4537.8</v>
      </c>
      <c r="D399" s="38">
        <f>4541.138727+0.225904*B399</f>
        <v/>
      </c>
      <c r="E399" s="39">
        <f>C399-D399</f>
        <v/>
      </c>
      <c r="F399" s="39">
        <f>(E399-F757)^2</f>
        <v/>
      </c>
      <c r="G399" s="38">
        <f>(E399-F757)^3</f>
        <v/>
      </c>
      <c r="H399" s="38">
        <f>(E399-F757)^4</f>
        <v/>
      </c>
      <c r="I399" s="37" t="n"/>
    </row>
    <row r="400" ht="15" customHeight="1" s="28">
      <c r="A400" s="40" t="n">
        <v>388</v>
      </c>
      <c r="B400" s="40" t="n">
        <v>387</v>
      </c>
      <c r="C400" s="41" t="n">
        <v>4536.92</v>
      </c>
      <c r="D400" s="41">
        <f>4541.138727+0.225904*B400</f>
        <v/>
      </c>
      <c r="E400" s="42">
        <f>C400-D400</f>
        <v/>
      </c>
      <c r="F400" s="42">
        <f>(E400-F757)^2</f>
        <v/>
      </c>
      <c r="G400" s="41">
        <f>(E400-F757)^3</f>
        <v/>
      </c>
      <c r="H400" s="41">
        <f>(E400-F757)^4</f>
        <v/>
      </c>
      <c r="I400" s="40" t="n"/>
    </row>
    <row r="401" ht="15" customHeight="1" s="28">
      <c r="A401" s="37" t="n">
        <v>389</v>
      </c>
      <c r="B401" s="37" t="n">
        <v>388</v>
      </c>
      <c r="C401" s="38" t="n">
        <v>4541.02</v>
      </c>
      <c r="D401" s="38">
        <f>4541.138727+0.225904*B401</f>
        <v/>
      </c>
      <c r="E401" s="39">
        <f>C401-D401</f>
        <v/>
      </c>
      <c r="F401" s="39">
        <f>(E401-F757)^2</f>
        <v/>
      </c>
      <c r="G401" s="38">
        <f>(E401-F757)^3</f>
        <v/>
      </c>
      <c r="H401" s="38">
        <f>(E401-F757)^4</f>
        <v/>
      </c>
      <c r="I401" s="37" t="n"/>
    </row>
    <row r="402" ht="15" customHeight="1" s="28">
      <c r="A402" s="40" t="n">
        <v>390</v>
      </c>
      <c r="B402" s="40" t="n">
        <v>389</v>
      </c>
      <c r="C402" s="41" t="n">
        <v>4538.55</v>
      </c>
      <c r="D402" s="41">
        <f>4541.138727+0.225904*B402</f>
        <v/>
      </c>
      <c r="E402" s="42">
        <f>C402-D402</f>
        <v/>
      </c>
      <c r="F402" s="42">
        <f>(E402-F757)^2</f>
        <v/>
      </c>
      <c r="G402" s="41">
        <f>(E402-F757)^3</f>
        <v/>
      </c>
      <c r="H402" s="41">
        <f>(E402-F757)^4</f>
        <v/>
      </c>
      <c r="I402" s="40" t="n"/>
    </row>
    <row r="403" ht="15" customHeight="1" s="28">
      <c r="A403" s="37" t="n">
        <v>391</v>
      </c>
      <c r="B403" s="37" t="n">
        <v>390</v>
      </c>
      <c r="C403" s="38" t="n">
        <v>4541.49</v>
      </c>
      <c r="D403" s="38">
        <f>4541.138727+0.225904*B403</f>
        <v/>
      </c>
      <c r="E403" s="39">
        <f>C403-D403</f>
        <v/>
      </c>
      <c r="F403" s="39">
        <f>(E403-F757)^2</f>
        <v/>
      </c>
      <c r="G403" s="38">
        <f>(E403-F757)^3</f>
        <v/>
      </c>
      <c r="H403" s="38">
        <f>(E403-F757)^4</f>
        <v/>
      </c>
      <c r="I403" s="37" t="n"/>
    </row>
    <row r="404" ht="15" customHeight="1" s="28">
      <c r="A404" s="40" t="n">
        <v>392</v>
      </c>
      <c r="B404" s="40" t="n">
        <v>391</v>
      </c>
      <c r="C404" s="41" t="n">
        <v>4544.58</v>
      </c>
      <c r="D404" s="41">
        <f>4541.138727+0.225904*B404</f>
        <v/>
      </c>
      <c r="E404" s="42">
        <f>C404-D404</f>
        <v/>
      </c>
      <c r="F404" s="42">
        <f>(E404-F757)^2</f>
        <v/>
      </c>
      <c r="G404" s="41">
        <f>(E404-F757)^3</f>
        <v/>
      </c>
      <c r="H404" s="41">
        <f>(E404-F757)^4</f>
        <v/>
      </c>
      <c r="I404" s="40" t="n"/>
    </row>
    <row r="405" ht="15" customHeight="1" s="28">
      <c r="A405" s="37" t="n">
        <v>393</v>
      </c>
      <c r="B405" s="37" t="n">
        <v>392</v>
      </c>
      <c r="C405" s="38" t="n">
        <v>4539.17</v>
      </c>
      <c r="D405" s="38">
        <f>4541.138727+0.225904*B405</f>
        <v/>
      </c>
      <c r="E405" s="39">
        <f>C405-D405</f>
        <v/>
      </c>
      <c r="F405" s="39">
        <f>(E405-F757)^2</f>
        <v/>
      </c>
      <c r="G405" s="38">
        <f>(E405-F757)^3</f>
        <v/>
      </c>
      <c r="H405" s="38">
        <f>(E405-F757)^4</f>
        <v/>
      </c>
      <c r="I405" s="37" t="n"/>
    </row>
    <row r="406" ht="15" customHeight="1" s="28">
      <c r="A406" s="40" t="n">
        <v>394</v>
      </c>
      <c r="B406" s="40" t="n">
        <v>393</v>
      </c>
      <c r="C406" s="41" t="n">
        <v>4542.12</v>
      </c>
      <c r="D406" s="41">
        <f>4541.138727+0.225904*B406</f>
        <v/>
      </c>
      <c r="E406" s="42">
        <f>C406-D406</f>
        <v/>
      </c>
      <c r="F406" s="42">
        <f>(E406-F757)^2</f>
        <v/>
      </c>
      <c r="G406" s="41">
        <f>(E406-F757)^3</f>
        <v/>
      </c>
      <c r="H406" s="41">
        <f>(E406-F757)^4</f>
        <v/>
      </c>
      <c r="I406" s="40" t="n"/>
    </row>
    <row r="407" ht="15" customHeight="1" s="28">
      <c r="A407" s="37" t="n">
        <v>395</v>
      </c>
      <c r="B407" s="37" t="n">
        <v>394</v>
      </c>
      <c r="C407" s="38" t="n">
        <v>4538.07</v>
      </c>
      <c r="D407" s="38">
        <f>4541.138727+0.225904*B407</f>
        <v/>
      </c>
      <c r="E407" s="39">
        <f>C407-D407</f>
        <v/>
      </c>
      <c r="F407" s="39">
        <f>(E407-F757)^2</f>
        <v/>
      </c>
      <c r="G407" s="38">
        <f>(E407-F757)^3</f>
        <v/>
      </c>
      <c r="H407" s="38">
        <f>(E407-F757)^4</f>
        <v/>
      </c>
      <c r="I407" s="37" t="n"/>
    </row>
    <row r="408" ht="15" customHeight="1" s="28">
      <c r="A408" s="40" t="n">
        <v>396</v>
      </c>
      <c r="B408" s="40" t="n">
        <v>395</v>
      </c>
      <c r="C408" s="41" t="n">
        <v>4535.98</v>
      </c>
      <c r="D408" s="41">
        <f>4541.138727+0.225904*B408</f>
        <v/>
      </c>
      <c r="E408" s="42">
        <f>C408-D408</f>
        <v/>
      </c>
      <c r="F408" s="42">
        <f>(E408-F757)^2</f>
        <v/>
      </c>
      <c r="G408" s="41">
        <f>(E408-F757)^3</f>
        <v/>
      </c>
      <c r="H408" s="41">
        <f>(E408-F757)^4</f>
        <v/>
      </c>
      <c r="I408" s="40" t="n"/>
    </row>
    <row r="409" ht="15" customHeight="1" s="28">
      <c r="A409" s="37" t="n">
        <v>397</v>
      </c>
      <c r="B409" s="37" t="n">
        <v>396</v>
      </c>
      <c r="C409" s="38" t="n">
        <v>4534.67</v>
      </c>
      <c r="D409" s="38">
        <f>4541.138727+0.225904*B409</f>
        <v/>
      </c>
      <c r="E409" s="39">
        <f>C409-D409</f>
        <v/>
      </c>
      <c r="F409" s="39">
        <f>(E409-F757)^2</f>
        <v/>
      </c>
      <c r="G409" s="38">
        <f>(E409-F757)^3</f>
        <v/>
      </c>
      <c r="H409" s="38">
        <f>(E409-F757)^4</f>
        <v/>
      </c>
      <c r="I409" s="37" t="n"/>
    </row>
    <row r="410" ht="15" customHeight="1" s="28">
      <c r="A410" s="40" t="n">
        <v>398</v>
      </c>
      <c r="B410" s="40" t="n">
        <v>397</v>
      </c>
      <c r="C410" s="41" t="n">
        <v>4532.97</v>
      </c>
      <c r="D410" s="41">
        <f>4541.138727+0.225904*B410</f>
        <v/>
      </c>
      <c r="E410" s="42">
        <f>C410-D410</f>
        <v/>
      </c>
      <c r="F410" s="42">
        <f>(E410-F757)^2</f>
        <v/>
      </c>
      <c r="G410" s="41">
        <f>(E410-F757)^3</f>
        <v/>
      </c>
      <c r="H410" s="41">
        <f>(E410-F757)^4</f>
        <v/>
      </c>
      <c r="I410" s="40" t="n"/>
    </row>
    <row r="411" ht="15" customHeight="1" s="28">
      <c r="A411" s="37" t="n">
        <v>399</v>
      </c>
      <c r="B411" s="37" t="n">
        <v>398</v>
      </c>
      <c r="C411" s="38" t="n">
        <v>4529.71</v>
      </c>
      <c r="D411" s="38">
        <f>4541.138727+0.225904*B411</f>
        <v/>
      </c>
      <c r="E411" s="39">
        <f>C411-D411</f>
        <v/>
      </c>
      <c r="F411" s="39">
        <f>(E411-F757)^2</f>
        <v/>
      </c>
      <c r="G411" s="38">
        <f>(E411-F757)^3</f>
        <v/>
      </c>
      <c r="H411" s="38">
        <f>(E411-F757)^4</f>
        <v/>
      </c>
      <c r="I411" s="37" t="n"/>
    </row>
    <row r="412" ht="15" customHeight="1" s="28">
      <c r="A412" s="40" t="n">
        <v>400</v>
      </c>
      <c r="B412" s="40" t="n">
        <v>399</v>
      </c>
      <c r="C412" s="41" t="n">
        <v>4531.71</v>
      </c>
      <c r="D412" s="41">
        <f>4541.138727+0.225904*B412</f>
        <v/>
      </c>
      <c r="E412" s="42">
        <f>C412-D412</f>
        <v/>
      </c>
      <c r="F412" s="42">
        <f>(E412-F757)^2</f>
        <v/>
      </c>
      <c r="G412" s="41">
        <f>(E412-F757)^3</f>
        <v/>
      </c>
      <c r="H412" s="41">
        <f>(E412-F757)^4</f>
        <v/>
      </c>
      <c r="I412" s="40" t="n"/>
    </row>
    <row r="413" ht="15" customHeight="1" s="28">
      <c r="A413" s="37" t="n">
        <v>401</v>
      </c>
      <c r="B413" s="37" t="n">
        <v>400</v>
      </c>
      <c r="C413" s="38" t="n">
        <v>4533.58</v>
      </c>
      <c r="D413" s="38">
        <f>4541.138727+0.225904*B413</f>
        <v/>
      </c>
      <c r="E413" s="39">
        <f>C413-D413</f>
        <v/>
      </c>
      <c r="F413" s="39">
        <f>(E413-F757)^2</f>
        <v/>
      </c>
      <c r="G413" s="38">
        <f>(E413-F757)^3</f>
        <v/>
      </c>
      <c r="H413" s="38">
        <f>(E413-F757)^4</f>
        <v/>
      </c>
      <c r="I413" s="37" t="n"/>
    </row>
    <row r="414" ht="15" customHeight="1" s="28">
      <c r="A414" s="40" t="n">
        <v>402</v>
      </c>
      <c r="B414" s="40" t="n">
        <v>401</v>
      </c>
      <c r="C414" s="41" t="n">
        <v>4540.2</v>
      </c>
      <c r="D414" s="41">
        <f>4541.138727+0.225904*B414</f>
        <v/>
      </c>
      <c r="E414" s="42">
        <f>C414-D414</f>
        <v/>
      </c>
      <c r="F414" s="42">
        <f>(E414-F757)^2</f>
        <v/>
      </c>
      <c r="G414" s="41">
        <f>(E414-F757)^3</f>
        <v/>
      </c>
      <c r="H414" s="41">
        <f>(E414-F757)^4</f>
        <v/>
      </c>
      <c r="I414" s="40" t="n"/>
    </row>
    <row r="415" ht="15" customHeight="1" s="28">
      <c r="A415" s="37" t="n">
        <v>403</v>
      </c>
      <c r="B415" s="37" t="n">
        <v>402</v>
      </c>
      <c r="C415" s="38" t="n">
        <v>4540.11</v>
      </c>
      <c r="D415" s="38">
        <f>4541.138727+0.225904*B415</f>
        <v/>
      </c>
      <c r="E415" s="39">
        <f>C415-D415</f>
        <v/>
      </c>
      <c r="F415" s="39">
        <f>(E415-F757)^2</f>
        <v/>
      </c>
      <c r="G415" s="38">
        <f>(E415-F757)^3</f>
        <v/>
      </c>
      <c r="H415" s="38">
        <f>(E415-F757)^4</f>
        <v/>
      </c>
      <c r="I415" s="37" t="n"/>
    </row>
    <row r="416" ht="15" customHeight="1" s="28">
      <c r="A416" s="40" t="n">
        <v>404</v>
      </c>
      <c r="B416" s="40" t="n">
        <v>403</v>
      </c>
      <c r="C416" s="41" t="n">
        <v>4545.86</v>
      </c>
      <c r="D416" s="41">
        <f>4541.138727+0.225904*B416</f>
        <v/>
      </c>
      <c r="E416" s="42">
        <f>C416-D416</f>
        <v/>
      </c>
      <c r="F416" s="42">
        <f>(E416-F757)^2</f>
        <v/>
      </c>
      <c r="G416" s="41">
        <f>(E416-F757)^3</f>
        <v/>
      </c>
      <c r="H416" s="41">
        <f>(E416-F757)^4</f>
        <v/>
      </c>
      <c r="I416" s="40" t="n"/>
    </row>
    <row r="417" ht="15" customHeight="1" s="28">
      <c r="A417" s="37" t="n">
        <v>405</v>
      </c>
      <c r="B417" s="37" t="n">
        <v>404</v>
      </c>
      <c r="C417" s="38" t="n">
        <v>4545.73</v>
      </c>
      <c r="D417" s="38">
        <f>4541.138727+0.225904*B417</f>
        <v/>
      </c>
      <c r="E417" s="39">
        <f>C417-D417</f>
        <v/>
      </c>
      <c r="F417" s="39">
        <f>(E417-F757)^2</f>
        <v/>
      </c>
      <c r="G417" s="38">
        <f>(E417-F757)^3</f>
        <v/>
      </c>
      <c r="H417" s="38">
        <f>(E417-F757)^4</f>
        <v/>
      </c>
      <c r="I417" s="37" t="n"/>
    </row>
    <row r="418" ht="15" customHeight="1" s="28">
      <c r="A418" s="40" t="n">
        <v>406</v>
      </c>
      <c r="B418" s="40" t="n">
        <v>405</v>
      </c>
      <c r="C418" s="41" t="n">
        <v>4543.66</v>
      </c>
      <c r="D418" s="41">
        <f>4541.138727+0.225904*B418</f>
        <v/>
      </c>
      <c r="E418" s="42">
        <f>C418-D418</f>
        <v/>
      </c>
      <c r="F418" s="42">
        <f>(E418-F757)^2</f>
        <v/>
      </c>
      <c r="G418" s="41">
        <f>(E418-F757)^3</f>
        <v/>
      </c>
      <c r="H418" s="41">
        <f>(E418-F757)^4</f>
        <v/>
      </c>
      <c r="I418" s="40" t="n"/>
    </row>
    <row r="419" ht="15" customHeight="1" s="28">
      <c r="A419" s="37" t="n">
        <v>407</v>
      </c>
      <c r="B419" s="37" t="n">
        <v>406</v>
      </c>
      <c r="C419" s="38" t="n">
        <v>4536.86</v>
      </c>
      <c r="D419" s="38">
        <f>4541.138727+0.225904*B419</f>
        <v/>
      </c>
      <c r="E419" s="39">
        <f>C419-D419</f>
        <v/>
      </c>
      <c r="F419" s="39">
        <f>(E419-F757)^2</f>
        <v/>
      </c>
      <c r="G419" s="38">
        <f>(E419-F757)^3</f>
        <v/>
      </c>
      <c r="H419" s="38">
        <f>(E419-F757)^4</f>
        <v/>
      </c>
      <c r="I419" s="37" t="n"/>
    </row>
    <row r="420" ht="15" customHeight="1" s="28">
      <c r="A420" s="40" t="n">
        <v>408</v>
      </c>
      <c r="B420" s="40" t="n">
        <v>407</v>
      </c>
      <c r="C420" s="41" t="n">
        <v>4546.17</v>
      </c>
      <c r="D420" s="41">
        <f>4541.138727+0.225904*B420</f>
        <v/>
      </c>
      <c r="E420" s="42">
        <f>C420-D420</f>
        <v/>
      </c>
      <c r="F420" s="42">
        <f>(E420-F757)^2</f>
        <v/>
      </c>
      <c r="G420" s="41">
        <f>(E420-F757)^3</f>
        <v/>
      </c>
      <c r="H420" s="41">
        <f>(E420-F757)^4</f>
        <v/>
      </c>
      <c r="I420" s="40" t="n"/>
    </row>
    <row r="421" ht="15" customHeight="1" s="28">
      <c r="A421" s="37" t="n">
        <v>409</v>
      </c>
      <c r="B421" s="37" t="n">
        <v>408</v>
      </c>
      <c r="C421" s="38" t="n">
        <v>4548.12</v>
      </c>
      <c r="D421" s="38">
        <f>4541.138727+0.225904*B421</f>
        <v/>
      </c>
      <c r="E421" s="39">
        <f>C421-D421</f>
        <v/>
      </c>
      <c r="F421" s="39">
        <f>(E421-F757)^2</f>
        <v/>
      </c>
      <c r="G421" s="38">
        <f>(E421-F757)^3</f>
        <v/>
      </c>
      <c r="H421" s="38">
        <f>(E421-F757)^4</f>
        <v/>
      </c>
      <c r="I421" s="37" t="n"/>
    </row>
    <row r="422" ht="15" customHeight="1" s="28">
      <c r="A422" s="40" t="n">
        <v>410</v>
      </c>
      <c r="B422" s="40" t="n">
        <v>409</v>
      </c>
      <c r="C422" s="41" t="n">
        <v>4554.04</v>
      </c>
      <c r="D422" s="41">
        <f>4541.138727+0.225904*B422</f>
        <v/>
      </c>
      <c r="E422" s="42">
        <f>C422-D422</f>
        <v/>
      </c>
      <c r="F422" s="42">
        <f>(E422-F757)^2</f>
        <v/>
      </c>
      <c r="G422" s="41">
        <f>(E422-F757)^3</f>
        <v/>
      </c>
      <c r="H422" s="41">
        <f>(E422-F757)^4</f>
        <v/>
      </c>
      <c r="I422" s="40" t="n"/>
    </row>
    <row r="423" ht="15" customHeight="1" s="28">
      <c r="A423" s="37" t="n">
        <v>411</v>
      </c>
      <c r="B423" s="37" t="n">
        <v>410</v>
      </c>
      <c r="C423" s="38" t="n">
        <v>4548.94</v>
      </c>
      <c r="D423" s="38">
        <f>4541.138727+0.225904*B423</f>
        <v/>
      </c>
      <c r="E423" s="39">
        <f>C423-D423</f>
        <v/>
      </c>
      <c r="F423" s="39">
        <f>(E423-F757)^2</f>
        <v/>
      </c>
      <c r="G423" s="38">
        <f>(E423-F757)^3</f>
        <v/>
      </c>
      <c r="H423" s="38">
        <f>(E423-F757)^4</f>
        <v/>
      </c>
      <c r="I423" s="37" t="n"/>
    </row>
    <row r="424" ht="15" customHeight="1" s="28">
      <c r="A424" s="40" t="n">
        <v>412</v>
      </c>
      <c r="B424" s="40" t="n">
        <v>411</v>
      </c>
      <c r="C424" s="41" t="n">
        <v>4551.29</v>
      </c>
      <c r="D424" s="41">
        <f>4541.138727+0.225904*B424</f>
        <v/>
      </c>
      <c r="E424" s="42">
        <f>C424-D424</f>
        <v/>
      </c>
      <c r="F424" s="42">
        <f>(E424-F757)^2</f>
        <v/>
      </c>
      <c r="G424" s="41">
        <f>(E424-F757)^3</f>
        <v/>
      </c>
      <c r="H424" s="41">
        <f>(E424-F757)^4</f>
        <v/>
      </c>
      <c r="I424" s="40" t="n"/>
    </row>
    <row r="425" ht="15" customHeight="1" s="28">
      <c r="A425" s="37" t="n">
        <v>413</v>
      </c>
      <c r="B425" s="37" t="n">
        <v>412</v>
      </c>
      <c r="C425" s="38" t="n">
        <v>4545.57</v>
      </c>
      <c r="D425" s="38">
        <f>4541.138727+0.225904*B425</f>
        <v/>
      </c>
      <c r="E425" s="39">
        <f>C425-D425</f>
        <v/>
      </c>
      <c r="F425" s="39">
        <f>(E425-F757)^2</f>
        <v/>
      </c>
      <c r="G425" s="38">
        <f>(E425-F757)^3</f>
        <v/>
      </c>
      <c r="H425" s="38">
        <f>(E425-F757)^4</f>
        <v/>
      </c>
      <c r="I425" s="37" t="n"/>
    </row>
    <row r="426" ht="15" customHeight="1" s="28">
      <c r="A426" s="40" t="n">
        <v>414</v>
      </c>
      <c r="B426" s="40" t="n">
        <v>413</v>
      </c>
      <c r="C426" s="41" t="n">
        <v>4551.12</v>
      </c>
      <c r="D426" s="41">
        <f>4541.138727+0.225904*B426</f>
        <v/>
      </c>
      <c r="E426" s="42">
        <f>C426-D426</f>
        <v/>
      </c>
      <c r="F426" s="42">
        <f>(E426-F757)^2</f>
        <v/>
      </c>
      <c r="G426" s="41">
        <f>(E426-F757)^3</f>
        <v/>
      </c>
      <c r="H426" s="41">
        <f>(E426-F757)^4</f>
        <v/>
      </c>
      <c r="I426" s="40" t="n"/>
    </row>
    <row r="427" ht="15" customHeight="1" s="28">
      <c r="A427" s="37" t="n">
        <v>415</v>
      </c>
      <c r="B427" s="37" t="n">
        <v>414</v>
      </c>
      <c r="C427" s="38" t="n">
        <v>4551.48</v>
      </c>
      <c r="D427" s="38">
        <f>4541.138727+0.225904*B427</f>
        <v/>
      </c>
      <c r="E427" s="39">
        <f>C427-D427</f>
        <v/>
      </c>
      <c r="F427" s="39">
        <f>(E427-F757)^2</f>
        <v/>
      </c>
      <c r="G427" s="38">
        <f>(E427-F757)^3</f>
        <v/>
      </c>
      <c r="H427" s="38">
        <f>(E427-F757)^4</f>
        <v/>
      </c>
      <c r="I427" s="37" t="n"/>
    </row>
    <row r="428" ht="15" customHeight="1" s="28">
      <c r="A428" s="40" t="n">
        <v>416</v>
      </c>
      <c r="B428" s="40" t="n">
        <v>415</v>
      </c>
      <c r="C428" s="41" t="n">
        <v>4550.32</v>
      </c>
      <c r="D428" s="41">
        <f>4541.138727+0.225904*B428</f>
        <v/>
      </c>
      <c r="E428" s="42">
        <f>C428-D428</f>
        <v/>
      </c>
      <c r="F428" s="42">
        <f>(E428-F757)^2</f>
        <v/>
      </c>
      <c r="G428" s="41">
        <f>(E428-F757)^3</f>
        <v/>
      </c>
      <c r="H428" s="41">
        <f>(E428-F757)^4</f>
        <v/>
      </c>
      <c r="I428" s="40" t="n"/>
    </row>
    <row r="429" ht="15" customHeight="1" s="28">
      <c r="A429" s="37" t="n">
        <v>417</v>
      </c>
      <c r="B429" s="37" t="n">
        <v>416</v>
      </c>
      <c r="C429" s="38" t="n">
        <v>4558.34</v>
      </c>
      <c r="D429" s="38">
        <f>4541.138727+0.225904*B429</f>
        <v/>
      </c>
      <c r="E429" s="39">
        <f>C429-D429</f>
        <v/>
      </c>
      <c r="F429" s="39">
        <f>(E429-F757)^2</f>
        <v/>
      </c>
      <c r="G429" s="38">
        <f>(E429-F757)^3</f>
        <v/>
      </c>
      <c r="H429" s="38">
        <f>(E429-F757)^4</f>
        <v/>
      </c>
      <c r="I429" s="37" t="n"/>
    </row>
    <row r="430" ht="15" customHeight="1" s="28">
      <c r="A430" s="40" t="n">
        <v>418</v>
      </c>
      <c r="B430" s="40" t="n">
        <v>417</v>
      </c>
      <c r="C430" s="41" t="n">
        <v>4557.61</v>
      </c>
      <c r="D430" s="41">
        <f>4541.138727+0.225904*B430</f>
        <v/>
      </c>
      <c r="E430" s="42">
        <f>C430-D430</f>
        <v/>
      </c>
      <c r="F430" s="42">
        <f>(E430-F757)^2</f>
        <v/>
      </c>
      <c r="G430" s="41">
        <f>(E430-F757)^3</f>
        <v/>
      </c>
      <c r="H430" s="41">
        <f>(E430-F757)^4</f>
        <v/>
      </c>
      <c r="I430" s="40" t="n"/>
    </row>
    <row r="431" ht="15" customHeight="1" s="28">
      <c r="A431" s="37" t="n">
        <v>419</v>
      </c>
      <c r="B431" s="37" t="n">
        <v>418</v>
      </c>
      <c r="C431" s="38" t="n">
        <v>4552.3</v>
      </c>
      <c r="D431" s="38">
        <f>4541.138727+0.225904*B431</f>
        <v/>
      </c>
      <c r="E431" s="39">
        <f>C431-D431</f>
        <v/>
      </c>
      <c r="F431" s="39">
        <f>(E431-F757)^2</f>
        <v/>
      </c>
      <c r="G431" s="38">
        <f>(E431-F757)^3</f>
        <v/>
      </c>
      <c r="H431" s="38">
        <f>(E431-F757)^4</f>
        <v/>
      </c>
      <c r="I431" s="37" t="n"/>
    </row>
    <row r="432" ht="15" customHeight="1" s="28">
      <c r="A432" s="40" t="n">
        <v>420</v>
      </c>
      <c r="B432" s="40" t="n">
        <v>419</v>
      </c>
      <c r="C432" s="41" t="n">
        <v>4555.5</v>
      </c>
      <c r="D432" s="41">
        <f>4541.138727+0.225904*B432</f>
        <v/>
      </c>
      <c r="E432" s="42">
        <f>C432-D432</f>
        <v/>
      </c>
      <c r="F432" s="42">
        <f>(E432-F757)^2</f>
        <v/>
      </c>
      <c r="G432" s="41">
        <f>(E432-F757)^3</f>
        <v/>
      </c>
      <c r="H432" s="41">
        <f>(E432-F757)^4</f>
        <v/>
      </c>
      <c r="I432" s="40" t="n"/>
    </row>
    <row r="433" ht="15" customHeight="1" s="28">
      <c r="A433" s="37" t="n">
        <v>421</v>
      </c>
      <c r="B433" s="37" t="n">
        <v>420</v>
      </c>
      <c r="C433" s="38" t="n">
        <v>4556.21</v>
      </c>
      <c r="D433" s="38">
        <f>4541.138727+0.225904*B433</f>
        <v/>
      </c>
      <c r="E433" s="39">
        <f>C433-D433</f>
        <v/>
      </c>
      <c r="F433" s="39">
        <f>(E433-F757)^2</f>
        <v/>
      </c>
      <c r="G433" s="38">
        <f>(E433-F757)^3</f>
        <v/>
      </c>
      <c r="H433" s="38">
        <f>(E433-F757)^4</f>
        <v/>
      </c>
      <c r="I433" s="37" t="n"/>
    </row>
    <row r="434" ht="15" customHeight="1" s="28">
      <c r="A434" s="40" t="n">
        <v>422</v>
      </c>
      <c r="B434" s="40" t="n">
        <v>421</v>
      </c>
      <c r="C434" s="41" t="n">
        <v>4553.01</v>
      </c>
      <c r="D434" s="41">
        <f>4541.138727+0.225904*B434</f>
        <v/>
      </c>
      <c r="E434" s="42">
        <f>C434-D434</f>
        <v/>
      </c>
      <c r="F434" s="42">
        <f>(E434-F757)^2</f>
        <v/>
      </c>
      <c r="G434" s="41">
        <f>(E434-F757)^3</f>
        <v/>
      </c>
      <c r="H434" s="41">
        <f>(E434-F757)^4</f>
        <v/>
      </c>
      <c r="I434" s="40" t="n"/>
    </row>
    <row r="435" ht="15" customHeight="1" s="28">
      <c r="A435" s="37" t="n">
        <v>423</v>
      </c>
      <c r="B435" s="37" t="n">
        <v>422</v>
      </c>
      <c r="C435" s="38" t="n">
        <v>4547.92</v>
      </c>
      <c r="D435" s="38">
        <f>4541.138727+0.225904*B435</f>
        <v/>
      </c>
      <c r="E435" s="39">
        <f>C435-D435</f>
        <v/>
      </c>
      <c r="F435" s="39">
        <f>(E435-F757)^2</f>
        <v/>
      </c>
      <c r="G435" s="38">
        <f>(E435-F757)^3</f>
        <v/>
      </c>
      <c r="H435" s="38">
        <f>(E435-F757)^4</f>
        <v/>
      </c>
      <c r="I435" s="37" t="n"/>
    </row>
    <row r="436" ht="15" customHeight="1" s="28">
      <c r="A436" s="40" t="n">
        <v>424</v>
      </c>
      <c r="B436" s="40" t="n">
        <v>423</v>
      </c>
      <c r="C436" s="41" t="n">
        <v>4545.13</v>
      </c>
      <c r="D436" s="41">
        <f>4541.138727+0.225904*B436</f>
        <v/>
      </c>
      <c r="E436" s="42">
        <f>C436-D436</f>
        <v/>
      </c>
      <c r="F436" s="42">
        <f>(E436-F757)^2</f>
        <v/>
      </c>
      <c r="G436" s="41">
        <f>(E436-F757)^3</f>
        <v/>
      </c>
      <c r="H436" s="41">
        <f>(E436-F757)^4</f>
        <v/>
      </c>
      <c r="I436" s="40" t="n"/>
    </row>
    <row r="437" ht="15" customHeight="1" s="28">
      <c r="A437" s="37" t="n">
        <v>425</v>
      </c>
      <c r="B437" s="37" t="n">
        <v>424</v>
      </c>
      <c r="C437" s="38" t="n">
        <v>4543.73</v>
      </c>
      <c r="D437" s="38">
        <f>4541.138727+0.225904*B437</f>
        <v/>
      </c>
      <c r="E437" s="39">
        <f>C437-D437</f>
        <v/>
      </c>
      <c r="F437" s="39">
        <f>(E437-F757)^2</f>
        <v/>
      </c>
      <c r="G437" s="38">
        <f>(E437-F757)^3</f>
        <v/>
      </c>
      <c r="H437" s="38">
        <f>(E437-F757)^4</f>
        <v/>
      </c>
      <c r="I437" s="37" t="n"/>
    </row>
    <row r="438" ht="15" customHeight="1" s="28">
      <c r="A438" s="40" t="n">
        <v>426</v>
      </c>
      <c r="B438" s="40" t="n">
        <v>425</v>
      </c>
      <c r="C438" s="41" t="n">
        <v>4552.62</v>
      </c>
      <c r="D438" s="41">
        <f>4541.138727+0.225904*B438</f>
        <v/>
      </c>
      <c r="E438" s="42">
        <f>C438-D438</f>
        <v/>
      </c>
      <c r="F438" s="42">
        <f>(E438-F757)^2</f>
        <v/>
      </c>
      <c r="G438" s="41">
        <f>(E438-F757)^3</f>
        <v/>
      </c>
      <c r="H438" s="41">
        <f>(E438-F757)^4</f>
        <v/>
      </c>
      <c r="I438" s="40" t="n"/>
    </row>
    <row r="439" ht="15" customHeight="1" s="28">
      <c r="A439" s="37" t="n">
        <v>427</v>
      </c>
      <c r="B439" s="37" t="n">
        <v>426</v>
      </c>
      <c r="C439" s="38" t="n">
        <v>4556.17</v>
      </c>
      <c r="D439" s="38">
        <f>4541.138727+0.225904*B439</f>
        <v/>
      </c>
      <c r="E439" s="39">
        <f>C439-D439</f>
        <v/>
      </c>
      <c r="F439" s="39">
        <f>(E439-F757)^2</f>
        <v/>
      </c>
      <c r="G439" s="38">
        <f>(E439-F757)^3</f>
        <v/>
      </c>
      <c r="H439" s="38">
        <f>(E439-F757)^4</f>
        <v/>
      </c>
      <c r="I439" s="37" t="n"/>
    </row>
    <row r="440" ht="15" customHeight="1" s="28">
      <c r="A440" s="40" t="n">
        <v>428</v>
      </c>
      <c r="B440" s="40" t="n">
        <v>427</v>
      </c>
      <c r="C440" s="41" t="n">
        <v>4563.32</v>
      </c>
      <c r="D440" s="41">
        <f>4541.138727+0.225904*B440</f>
        <v/>
      </c>
      <c r="E440" s="42">
        <f>C440-D440</f>
        <v/>
      </c>
      <c r="F440" s="42">
        <f>(E440-F757)^2</f>
        <v/>
      </c>
      <c r="G440" s="41">
        <f>(E440-F757)^3</f>
        <v/>
      </c>
      <c r="H440" s="41">
        <f>(E440-F757)^4</f>
        <v/>
      </c>
      <c r="I440" s="40" t="n"/>
    </row>
    <row r="441" ht="15" customHeight="1" s="28">
      <c r="A441" s="37" t="n">
        <v>429</v>
      </c>
      <c r="B441" s="37" t="n">
        <v>428</v>
      </c>
      <c r="C441" s="38" t="n">
        <v>4562.6</v>
      </c>
      <c r="D441" s="38">
        <f>4541.138727+0.225904*B441</f>
        <v/>
      </c>
      <c r="E441" s="39">
        <f>C441-D441</f>
        <v/>
      </c>
      <c r="F441" s="39">
        <f>(E441-F757)^2</f>
        <v/>
      </c>
      <c r="G441" s="38">
        <f>(E441-F757)^3</f>
        <v/>
      </c>
      <c r="H441" s="38">
        <f>(E441-F757)^4</f>
        <v/>
      </c>
      <c r="I441" s="37" t="n"/>
    </row>
    <row r="442" ht="15" customHeight="1" s="28">
      <c r="A442" s="40" t="n">
        <v>430</v>
      </c>
      <c r="B442" s="40" t="n">
        <v>429</v>
      </c>
      <c r="C442" s="41" t="n">
        <v>4565</v>
      </c>
      <c r="D442" s="41">
        <f>4541.138727+0.225904*B442</f>
        <v/>
      </c>
      <c r="E442" s="42">
        <f>C442-D442</f>
        <v/>
      </c>
      <c r="F442" s="42">
        <f>(E442-F757)^2</f>
        <v/>
      </c>
      <c r="G442" s="41">
        <f>(E442-F757)^3</f>
        <v/>
      </c>
      <c r="H442" s="41">
        <f>(E442-F757)^4</f>
        <v/>
      </c>
      <c r="I442" s="40" t="n"/>
    </row>
    <row r="443" ht="15" customHeight="1" s="28">
      <c r="A443" s="37" t="n">
        <v>431</v>
      </c>
      <c r="B443" s="37" t="n">
        <v>430</v>
      </c>
      <c r="C443" s="38" t="n">
        <v>4573.81</v>
      </c>
      <c r="D443" s="38">
        <f>4541.138727+0.225904*B443</f>
        <v/>
      </c>
      <c r="E443" s="39">
        <f>C443-D443</f>
        <v/>
      </c>
      <c r="F443" s="39">
        <f>(E443-F757)^2</f>
        <v/>
      </c>
      <c r="G443" s="38">
        <f>(E443-F757)^3</f>
        <v/>
      </c>
      <c r="H443" s="38">
        <f>(E443-F757)^4</f>
        <v/>
      </c>
      <c r="I443" s="37" t="n"/>
    </row>
    <row r="444" ht="15" customHeight="1" s="28">
      <c r="A444" s="40" t="n">
        <v>432</v>
      </c>
      <c r="B444" s="40" t="n">
        <v>431</v>
      </c>
      <c r="C444" s="41" t="n">
        <v>4567.11</v>
      </c>
      <c r="D444" s="41">
        <f>4541.138727+0.225904*B444</f>
        <v/>
      </c>
      <c r="E444" s="42">
        <f>C444-D444</f>
        <v/>
      </c>
      <c r="F444" s="42">
        <f>(E444-F757)^2</f>
        <v/>
      </c>
      <c r="G444" s="41">
        <f>(E444-F757)^3</f>
        <v/>
      </c>
      <c r="H444" s="41">
        <f>(E444-F757)^4</f>
        <v/>
      </c>
      <c r="I444" s="40" t="n"/>
    </row>
    <row r="445" ht="15" customHeight="1" s="28">
      <c r="A445" s="37" t="n">
        <v>433</v>
      </c>
      <c r="B445" s="37" t="n">
        <v>432</v>
      </c>
      <c r="C445" s="38" t="n">
        <v>4564.68</v>
      </c>
      <c r="D445" s="38">
        <f>4541.138727+0.225904*B445</f>
        <v/>
      </c>
      <c r="E445" s="39">
        <f>C445-D445</f>
        <v/>
      </c>
      <c r="F445" s="39">
        <f>(E445-F757)^2</f>
        <v/>
      </c>
      <c r="G445" s="38">
        <f>(E445-F757)^3</f>
        <v/>
      </c>
      <c r="H445" s="38">
        <f>(E445-F757)^4</f>
        <v/>
      </c>
      <c r="I445" s="37" t="n"/>
    </row>
    <row r="446" ht="15" customHeight="1" s="28">
      <c r="A446" s="40" t="n">
        <v>434</v>
      </c>
      <c r="B446" s="40" t="n">
        <v>433</v>
      </c>
      <c r="C446" s="41" t="n">
        <v>4578.78</v>
      </c>
      <c r="D446" s="41">
        <f>4541.138727+0.225904*B446</f>
        <v/>
      </c>
      <c r="E446" s="42">
        <f>C446-D446</f>
        <v/>
      </c>
      <c r="F446" s="42">
        <f>(E446-F757)^2</f>
        <v/>
      </c>
      <c r="G446" s="41">
        <f>(E446-F757)^3</f>
        <v/>
      </c>
      <c r="H446" s="41">
        <f>(E446-F757)^4</f>
        <v/>
      </c>
      <c r="I446" s="40" t="n"/>
    </row>
    <row r="447" ht="15" customHeight="1" s="28">
      <c r="A447" s="37" t="n">
        <v>435</v>
      </c>
      <c r="B447" s="37" t="n">
        <v>434</v>
      </c>
      <c r="C447" s="38" t="n">
        <v>4576.85</v>
      </c>
      <c r="D447" s="38">
        <f>4541.138727+0.225904*B447</f>
        <v/>
      </c>
      <c r="E447" s="39">
        <f>C447-D447</f>
        <v/>
      </c>
      <c r="F447" s="39">
        <f>(E447-F757)^2</f>
        <v/>
      </c>
      <c r="G447" s="38">
        <f>(E447-F757)^3</f>
        <v/>
      </c>
      <c r="H447" s="38">
        <f>(E447-F757)^4</f>
        <v/>
      </c>
      <c r="I447" s="37" t="n"/>
    </row>
    <row r="448" ht="15" customHeight="1" s="28">
      <c r="A448" s="40" t="n">
        <v>436</v>
      </c>
      <c r="B448" s="40" t="n">
        <v>435</v>
      </c>
      <c r="C448" s="41" t="n">
        <v>4574.12</v>
      </c>
      <c r="D448" s="41">
        <f>4541.138727+0.225904*B448</f>
        <v/>
      </c>
      <c r="E448" s="42">
        <f>C448-D448</f>
        <v/>
      </c>
      <c r="F448" s="42">
        <f>(E448-F757)^2</f>
        <v/>
      </c>
      <c r="G448" s="41">
        <f>(E448-F757)^3</f>
        <v/>
      </c>
      <c r="H448" s="41">
        <f>(E448-F757)^4</f>
        <v/>
      </c>
      <c r="I448" s="40" t="n"/>
    </row>
    <row r="449" ht="15" customHeight="1" s="28">
      <c r="A449" s="37" t="n">
        <v>437</v>
      </c>
      <c r="B449" s="37" t="n">
        <v>436</v>
      </c>
      <c r="C449" s="38" t="n">
        <v>4579.4</v>
      </c>
      <c r="D449" s="38">
        <f>4541.138727+0.225904*B449</f>
        <v/>
      </c>
      <c r="E449" s="39">
        <f>C449-D449</f>
        <v/>
      </c>
      <c r="F449" s="39">
        <f>(E449-F757)^2</f>
        <v/>
      </c>
      <c r="G449" s="38">
        <f>(E449-F757)^3</f>
        <v/>
      </c>
      <c r="H449" s="38">
        <f>(E449-F757)^4</f>
        <v/>
      </c>
      <c r="I449" s="37" t="n"/>
    </row>
    <row r="450" ht="15" customHeight="1" s="28">
      <c r="A450" s="40" t="n">
        <v>438</v>
      </c>
      <c r="B450" s="40" t="n">
        <v>437</v>
      </c>
      <c r="C450" s="41" t="n">
        <v>4573.57</v>
      </c>
      <c r="D450" s="41">
        <f>4541.138727+0.225904*B450</f>
        <v/>
      </c>
      <c r="E450" s="42">
        <f>C450-D450</f>
        <v/>
      </c>
      <c r="F450" s="42">
        <f>(E450-F757)^2</f>
        <v/>
      </c>
      <c r="G450" s="41">
        <f>(E450-F757)^3</f>
        <v/>
      </c>
      <c r="H450" s="41">
        <f>(E450-F757)^4</f>
        <v/>
      </c>
      <c r="I450" s="40" t="n"/>
    </row>
    <row r="451" ht="15" customHeight="1" s="28">
      <c r="A451" s="37" t="n">
        <v>439</v>
      </c>
      <c r="B451" s="37" t="n">
        <v>438</v>
      </c>
      <c r="C451" s="38" t="n">
        <v>4584.37</v>
      </c>
      <c r="D451" s="38">
        <f>4541.138727+0.225904*B451</f>
        <v/>
      </c>
      <c r="E451" s="39">
        <f>C451-D451</f>
        <v/>
      </c>
      <c r="F451" s="39">
        <f>(E451-F757)^2</f>
        <v/>
      </c>
      <c r="G451" s="38">
        <f>(E451-F757)^3</f>
        <v/>
      </c>
      <c r="H451" s="38">
        <f>(E451-F757)^4</f>
        <v/>
      </c>
      <c r="I451" s="37" t="n"/>
    </row>
    <row r="452" ht="15" customHeight="1" s="28">
      <c r="A452" s="40" t="n">
        <v>440</v>
      </c>
      <c r="B452" s="40" t="n">
        <v>439</v>
      </c>
      <c r="C452" s="41" t="n">
        <v>4582.96</v>
      </c>
      <c r="D452" s="41">
        <f>4541.138727+0.225904*B452</f>
        <v/>
      </c>
      <c r="E452" s="42">
        <f>C452-D452</f>
        <v/>
      </c>
      <c r="F452" s="42">
        <f>(E452-F757)^2</f>
        <v/>
      </c>
      <c r="G452" s="41">
        <f>(E452-F757)^3</f>
        <v/>
      </c>
      <c r="H452" s="41">
        <f>(E452-F757)^4</f>
        <v/>
      </c>
      <c r="I452" s="40" t="n"/>
    </row>
    <row r="453" ht="15" customHeight="1" s="28">
      <c r="A453" s="37" t="n">
        <v>441</v>
      </c>
      <c r="B453" s="37" t="n">
        <v>440</v>
      </c>
      <c r="C453" s="38" t="n">
        <v>4582.46</v>
      </c>
      <c r="D453" s="38">
        <f>4541.138727+0.225904*B453</f>
        <v/>
      </c>
      <c r="E453" s="39">
        <f>C453-D453</f>
        <v/>
      </c>
      <c r="F453" s="39">
        <f>(E453-F757)^2</f>
        <v/>
      </c>
      <c r="G453" s="38">
        <f>(E453-F757)^3</f>
        <v/>
      </c>
      <c r="H453" s="38">
        <f>(E453-F757)^4</f>
        <v/>
      </c>
      <c r="I453" s="37" t="n"/>
    </row>
    <row r="454" ht="15" customHeight="1" s="28">
      <c r="A454" s="40" t="n">
        <v>442</v>
      </c>
      <c r="B454" s="40" t="n">
        <v>441</v>
      </c>
      <c r="C454" s="41" t="n">
        <v>4580.89</v>
      </c>
      <c r="D454" s="41">
        <f>4541.138727+0.225904*B454</f>
        <v/>
      </c>
      <c r="E454" s="42">
        <f>C454-D454</f>
        <v/>
      </c>
      <c r="F454" s="42">
        <f>(E454-F757)^2</f>
        <v/>
      </c>
      <c r="G454" s="41">
        <f>(E454-F757)^3</f>
        <v/>
      </c>
      <c r="H454" s="41">
        <f>(E454-F757)^4</f>
        <v/>
      </c>
      <c r="I454" s="40" t="n"/>
    </row>
    <row r="455" ht="15" customHeight="1" s="28">
      <c r="A455" s="37" t="n">
        <v>443</v>
      </c>
      <c r="B455" s="37" t="n">
        <v>442</v>
      </c>
      <c r="C455" s="38" t="n">
        <v>4578.99</v>
      </c>
      <c r="D455" s="38">
        <f>4541.138727+0.225904*B455</f>
        <v/>
      </c>
      <c r="E455" s="39">
        <f>C455-D455</f>
        <v/>
      </c>
      <c r="F455" s="39">
        <f>(E455-F757)^2</f>
        <v/>
      </c>
      <c r="G455" s="38">
        <f>(E455-F757)^3</f>
        <v/>
      </c>
      <c r="H455" s="38">
        <f>(E455-F757)^4</f>
        <v/>
      </c>
      <c r="I455" s="37" t="n"/>
    </row>
    <row r="456" ht="15" customHeight="1" s="28">
      <c r="A456" s="40" t="n">
        <v>444</v>
      </c>
      <c r="B456" s="40" t="n">
        <v>443</v>
      </c>
      <c r="C456" s="41" t="n">
        <v>4572.95</v>
      </c>
      <c r="D456" s="41">
        <f>4541.138727+0.225904*B456</f>
        <v/>
      </c>
      <c r="E456" s="42">
        <f>C456-D456</f>
        <v/>
      </c>
      <c r="F456" s="42">
        <f>(E456-F757)^2</f>
        <v/>
      </c>
      <c r="G456" s="41">
        <f>(E456-F757)^3</f>
        <v/>
      </c>
      <c r="H456" s="41">
        <f>(E456-F757)^4</f>
        <v/>
      </c>
      <c r="I456" s="40" t="n"/>
    </row>
    <row r="457" ht="15" customHeight="1" s="28">
      <c r="A457" s="37" t="n">
        <v>445</v>
      </c>
      <c r="B457" s="37" t="n">
        <v>444</v>
      </c>
      <c r="C457" s="38" t="n">
        <v>4568.49</v>
      </c>
      <c r="D457" s="38">
        <f>4541.138727+0.225904*B457</f>
        <v/>
      </c>
      <c r="E457" s="39">
        <f>C457-D457</f>
        <v/>
      </c>
      <c r="F457" s="39">
        <f>(E457-F757)^2</f>
        <v/>
      </c>
      <c r="G457" s="38">
        <f>(E457-F757)^3</f>
        <v/>
      </c>
      <c r="H457" s="38">
        <f>(E457-F757)^4</f>
        <v/>
      </c>
      <c r="I457" s="37" t="n"/>
    </row>
    <row r="458" ht="15" customHeight="1" s="28">
      <c r="A458" s="40" t="n">
        <v>446</v>
      </c>
      <c r="B458" s="40" t="n">
        <v>445</v>
      </c>
      <c r="C458" s="41" t="n">
        <v>4566.28</v>
      </c>
      <c r="D458" s="41">
        <f>4541.138727+0.225904*B458</f>
        <v/>
      </c>
      <c r="E458" s="42">
        <f>C458-D458</f>
        <v/>
      </c>
      <c r="F458" s="42">
        <f>(E458-F757)^2</f>
        <v/>
      </c>
      <c r="G458" s="41">
        <f>(E458-F757)^3</f>
        <v/>
      </c>
      <c r="H458" s="41">
        <f>(E458-F757)^4</f>
        <v/>
      </c>
      <c r="I458" s="40" t="n"/>
    </row>
    <row r="459" ht="15" customHeight="1" s="28">
      <c r="A459" s="37" t="n">
        <v>447</v>
      </c>
      <c r="B459" s="37" t="n">
        <v>446</v>
      </c>
      <c r="C459" s="38" t="n">
        <v>4559.7</v>
      </c>
      <c r="D459" s="38">
        <f>4541.138727+0.225904*B459</f>
        <v/>
      </c>
      <c r="E459" s="39">
        <f>C459-D459</f>
        <v/>
      </c>
      <c r="F459" s="39">
        <f>(E459-F757)^2</f>
        <v/>
      </c>
      <c r="G459" s="38">
        <f>(E459-F757)^3</f>
        <v/>
      </c>
      <c r="H459" s="38">
        <f>(E459-F757)^4</f>
        <v/>
      </c>
      <c r="I459" s="37" t="n"/>
    </row>
    <row r="460" ht="15" customHeight="1" s="28">
      <c r="A460" s="40" t="n">
        <v>448</v>
      </c>
      <c r="B460" s="40" t="n">
        <v>447</v>
      </c>
      <c r="C460" s="41" t="n">
        <v>4556.78</v>
      </c>
      <c r="D460" s="41">
        <f>4541.138727+0.225904*B460</f>
        <v/>
      </c>
      <c r="E460" s="42">
        <f>C460-D460</f>
        <v/>
      </c>
      <c r="F460" s="42">
        <f>(E460-F757)^2</f>
        <v/>
      </c>
      <c r="G460" s="41">
        <f>(E460-F757)^3</f>
        <v/>
      </c>
      <c r="H460" s="41">
        <f>(E460-F757)^4</f>
        <v/>
      </c>
      <c r="I460" s="40" t="n"/>
    </row>
    <row r="461" ht="15" customHeight="1" s="28">
      <c r="A461" s="37" t="n">
        <v>449</v>
      </c>
      <c r="B461" s="37" t="n">
        <v>448</v>
      </c>
      <c r="C461" s="38" t="n">
        <v>4561.35</v>
      </c>
      <c r="D461" s="38">
        <f>4541.138727+0.225904*B461</f>
        <v/>
      </c>
      <c r="E461" s="39">
        <f>C461-D461</f>
        <v/>
      </c>
      <c r="F461" s="39">
        <f>(E461-F757)^2</f>
        <v/>
      </c>
      <c r="G461" s="38">
        <f>(E461-F757)^3</f>
        <v/>
      </c>
      <c r="H461" s="38">
        <f>(E461-F757)^4</f>
        <v/>
      </c>
      <c r="I461" s="37" t="n"/>
    </row>
    <row r="462" ht="15" customHeight="1" s="28">
      <c r="A462" s="40" t="n">
        <v>450</v>
      </c>
      <c r="B462" s="40" t="n">
        <v>449</v>
      </c>
      <c r="C462" s="41" t="n">
        <v>4556.2</v>
      </c>
      <c r="D462" s="41">
        <f>4541.138727+0.225904*B462</f>
        <v/>
      </c>
      <c r="E462" s="42">
        <f>C462-D462</f>
        <v/>
      </c>
      <c r="F462" s="42">
        <f>(E462-F757)^2</f>
        <v/>
      </c>
      <c r="G462" s="41">
        <f>(E462-F757)^3</f>
        <v/>
      </c>
      <c r="H462" s="41">
        <f>(E462-F757)^4</f>
        <v/>
      </c>
      <c r="I462" s="40" t="n"/>
    </row>
    <row r="463" ht="15" customHeight="1" s="28">
      <c r="A463" s="37" t="n">
        <v>451</v>
      </c>
      <c r="B463" s="37" t="n">
        <v>450</v>
      </c>
      <c r="C463" s="38" t="n">
        <v>4558.57</v>
      </c>
      <c r="D463" s="38">
        <f>4541.138727+0.225904*B463</f>
        <v/>
      </c>
      <c r="E463" s="39">
        <f>C463-D463</f>
        <v/>
      </c>
      <c r="F463" s="39">
        <f>(E463-F757)^2</f>
        <v/>
      </c>
      <c r="G463" s="38">
        <f>(E463-F757)^3</f>
        <v/>
      </c>
      <c r="H463" s="38">
        <f>(E463-F757)^4</f>
        <v/>
      </c>
      <c r="I463" s="37" t="n"/>
    </row>
    <row r="464" ht="15" customHeight="1" s="28">
      <c r="A464" s="40" t="n">
        <v>452</v>
      </c>
      <c r="B464" s="40" t="n">
        <v>451</v>
      </c>
      <c r="C464" s="41" t="n">
        <v>4560.43</v>
      </c>
      <c r="D464" s="41">
        <f>4541.138727+0.225904*B464</f>
        <v/>
      </c>
      <c r="E464" s="42">
        <f>C464-D464</f>
        <v/>
      </c>
      <c r="F464" s="42">
        <f>(E464-F757)^2</f>
        <v/>
      </c>
      <c r="G464" s="41">
        <f>(E464-F757)^3</f>
        <v/>
      </c>
      <c r="H464" s="41">
        <f>(E464-F757)^4</f>
        <v/>
      </c>
      <c r="I464" s="40" t="n"/>
    </row>
    <row r="465" ht="15" customHeight="1" s="28">
      <c r="A465" s="37" t="n">
        <v>453</v>
      </c>
      <c r="B465" s="37" t="n">
        <v>452</v>
      </c>
      <c r="C465" s="38" t="n">
        <v>4559.93</v>
      </c>
      <c r="D465" s="38">
        <f>4541.138727+0.225904*B465</f>
        <v/>
      </c>
      <c r="E465" s="39">
        <f>C465-D465</f>
        <v/>
      </c>
      <c r="F465" s="39">
        <f>(E465-F757)^2</f>
        <v/>
      </c>
      <c r="G465" s="38">
        <f>(E465-F757)^3</f>
        <v/>
      </c>
      <c r="H465" s="38">
        <f>(E465-F757)^4</f>
        <v/>
      </c>
      <c r="I465" s="37" t="n"/>
    </row>
    <row r="466" ht="15" customHeight="1" s="28">
      <c r="A466" s="40" t="n">
        <v>454</v>
      </c>
      <c r="B466" s="40" t="n">
        <v>453</v>
      </c>
      <c r="C466" s="41" t="n">
        <v>4564.29</v>
      </c>
      <c r="D466" s="41">
        <f>4541.138727+0.225904*B466</f>
        <v/>
      </c>
      <c r="E466" s="42">
        <f>C466-D466</f>
        <v/>
      </c>
      <c r="F466" s="42">
        <f>(E466-F757)^2</f>
        <v/>
      </c>
      <c r="G466" s="41">
        <f>(E466-F757)^3</f>
        <v/>
      </c>
      <c r="H466" s="41">
        <f>(E466-F757)^4</f>
        <v/>
      </c>
      <c r="I466" s="40" t="n"/>
    </row>
    <row r="467" ht="15" customHeight="1" s="28">
      <c r="A467" s="37" t="n">
        <v>455</v>
      </c>
      <c r="B467" s="37" t="n">
        <v>454</v>
      </c>
      <c r="C467" s="38" t="n">
        <v>4562.18</v>
      </c>
      <c r="D467" s="38">
        <f>4541.138727+0.225904*B467</f>
        <v/>
      </c>
      <c r="E467" s="39">
        <f>C467-D467</f>
        <v/>
      </c>
      <c r="F467" s="39">
        <f>(E467-F757)^2</f>
        <v/>
      </c>
      <c r="G467" s="38">
        <f>(E467-F757)^3</f>
        <v/>
      </c>
      <c r="H467" s="38">
        <f>(E467-F757)^4</f>
        <v/>
      </c>
      <c r="I467" s="37" t="n"/>
    </row>
    <row r="468" ht="15" customHeight="1" s="28">
      <c r="A468" s="40" t="n">
        <v>456</v>
      </c>
      <c r="B468" s="40" t="n">
        <v>455</v>
      </c>
      <c r="C468" s="41" t="n">
        <v>4561.56</v>
      </c>
      <c r="D468" s="41">
        <f>4541.138727+0.225904*B468</f>
        <v/>
      </c>
      <c r="E468" s="42">
        <f>C468-D468</f>
        <v/>
      </c>
      <c r="F468" s="42">
        <f>(E468-F757)^2</f>
        <v/>
      </c>
      <c r="G468" s="41">
        <f>(E468-F757)^3</f>
        <v/>
      </c>
      <c r="H468" s="41">
        <f>(E468-F757)^4</f>
        <v/>
      </c>
      <c r="I468" s="40" t="n"/>
    </row>
    <row r="469" ht="15" customHeight="1" s="28">
      <c r="A469" s="37" t="n">
        <v>457</v>
      </c>
      <c r="B469" s="37" t="n">
        <v>456</v>
      </c>
      <c r="C469" s="38" t="n">
        <v>4561.04</v>
      </c>
      <c r="D469" s="38">
        <f>4541.138727+0.225904*B469</f>
        <v/>
      </c>
      <c r="E469" s="39">
        <f>C469-D469</f>
        <v/>
      </c>
      <c r="F469" s="39">
        <f>(E469-F757)^2</f>
        <v/>
      </c>
      <c r="G469" s="38">
        <f>(E469-F757)^3</f>
        <v/>
      </c>
      <c r="H469" s="38">
        <f>(E469-F757)^4</f>
        <v/>
      </c>
      <c r="I469" s="37" t="n"/>
    </row>
    <row r="470" ht="15" customHeight="1" s="28">
      <c r="A470" s="40" t="n">
        <v>458</v>
      </c>
      <c r="B470" s="40" t="n">
        <v>457</v>
      </c>
      <c r="C470" s="41" t="n">
        <v>4557.24</v>
      </c>
      <c r="D470" s="41">
        <f>4541.138727+0.225904*B470</f>
        <v/>
      </c>
      <c r="E470" s="42">
        <f>C470-D470</f>
        <v/>
      </c>
      <c r="F470" s="42">
        <f>(E470-F757)^2</f>
        <v/>
      </c>
      <c r="G470" s="41">
        <f>(E470-F757)^3</f>
        <v/>
      </c>
      <c r="H470" s="41">
        <f>(E470-F757)^4</f>
        <v/>
      </c>
      <c r="I470" s="40" t="n"/>
    </row>
    <row r="471" ht="15" customHeight="1" s="28">
      <c r="A471" s="37" t="n">
        <v>459</v>
      </c>
      <c r="B471" s="37" t="n">
        <v>458</v>
      </c>
      <c r="C471" s="38" t="n">
        <v>4556.32</v>
      </c>
      <c r="D471" s="38">
        <f>4541.138727+0.225904*B471</f>
        <v/>
      </c>
      <c r="E471" s="39">
        <f>C471-D471</f>
        <v/>
      </c>
      <c r="F471" s="39">
        <f>(E471-F757)^2</f>
        <v/>
      </c>
      <c r="G471" s="38">
        <f>(E471-F757)^3</f>
        <v/>
      </c>
      <c r="H471" s="38">
        <f>(E471-F757)^4</f>
        <v/>
      </c>
      <c r="I471" s="37" t="n"/>
    </row>
    <row r="472" ht="15" customHeight="1" s="28">
      <c r="A472" s="40" t="n">
        <v>460</v>
      </c>
      <c r="B472" s="40" t="n">
        <v>459</v>
      </c>
      <c r="C472" s="41" t="n">
        <v>4555.64</v>
      </c>
      <c r="D472" s="41">
        <f>4541.138727+0.225904*B472</f>
        <v/>
      </c>
      <c r="E472" s="42">
        <f>C472-D472</f>
        <v/>
      </c>
      <c r="F472" s="42">
        <f>(E472-F757)^2</f>
        <v/>
      </c>
      <c r="G472" s="41">
        <f>(E472-F757)^3</f>
        <v/>
      </c>
      <c r="H472" s="41">
        <f>(E472-F757)^4</f>
        <v/>
      </c>
      <c r="I472" s="40" t="n"/>
    </row>
    <row r="473" ht="15" customHeight="1" s="28">
      <c r="A473" s="37" t="n">
        <v>461</v>
      </c>
      <c r="B473" s="37" t="n">
        <v>460</v>
      </c>
      <c r="C473" s="38" t="n">
        <v>4554.64</v>
      </c>
      <c r="D473" s="38">
        <f>4541.138727+0.225904*B473</f>
        <v/>
      </c>
      <c r="E473" s="39">
        <f>C473-D473</f>
        <v/>
      </c>
      <c r="F473" s="39">
        <f>(E473-F757)^2</f>
        <v/>
      </c>
      <c r="G473" s="38">
        <f>(E473-F757)^3</f>
        <v/>
      </c>
      <c r="H473" s="38">
        <f>(E473-F757)^4</f>
        <v/>
      </c>
      <c r="I473" s="37" t="n"/>
    </row>
    <row r="474" ht="15" customHeight="1" s="28">
      <c r="A474" s="40" t="n">
        <v>462</v>
      </c>
      <c r="B474" s="40" t="n">
        <v>461</v>
      </c>
      <c r="C474" s="41" t="n">
        <v>4557.01</v>
      </c>
      <c r="D474" s="41">
        <f>4541.138727+0.225904*B474</f>
        <v/>
      </c>
      <c r="E474" s="42">
        <f>C474-D474</f>
        <v/>
      </c>
      <c r="F474" s="42">
        <f>(E474-F757)^2</f>
        <v/>
      </c>
      <c r="G474" s="41">
        <f>(E474-F757)^3</f>
        <v/>
      </c>
      <c r="H474" s="41">
        <f>(E474-F757)^4</f>
        <v/>
      </c>
      <c r="I474" s="40" t="n"/>
    </row>
    <row r="475" ht="15" customHeight="1" s="28">
      <c r="A475" s="37" t="n">
        <v>463</v>
      </c>
      <c r="B475" s="37" t="n">
        <v>462</v>
      </c>
      <c r="C475" s="38" t="n">
        <v>4559.18</v>
      </c>
      <c r="D475" s="38">
        <f>4541.138727+0.225904*B475</f>
        <v/>
      </c>
      <c r="E475" s="39">
        <f>C475-D475</f>
        <v/>
      </c>
      <c r="F475" s="39">
        <f>(E475-F757)^2</f>
        <v/>
      </c>
      <c r="G475" s="38">
        <f>(E475-F757)^3</f>
        <v/>
      </c>
      <c r="H475" s="38">
        <f>(E475-F757)^4</f>
        <v/>
      </c>
      <c r="I475" s="37" t="n"/>
    </row>
    <row r="476" ht="15" customHeight="1" s="28">
      <c r="A476" s="40" t="n">
        <v>464</v>
      </c>
      <c r="B476" s="40" t="n">
        <v>463</v>
      </c>
      <c r="C476" s="41" t="n">
        <v>4555.63</v>
      </c>
      <c r="D476" s="41">
        <f>4541.138727+0.225904*B476</f>
        <v/>
      </c>
      <c r="E476" s="42">
        <f>C476-D476</f>
        <v/>
      </c>
      <c r="F476" s="42">
        <f>(E476-F757)^2</f>
        <v/>
      </c>
      <c r="G476" s="41">
        <f>(E476-F757)^3</f>
        <v/>
      </c>
      <c r="H476" s="41">
        <f>(E476-F757)^4</f>
        <v/>
      </c>
      <c r="I476" s="40" t="n"/>
    </row>
    <row r="477" ht="15" customHeight="1" s="28">
      <c r="A477" s="37" t="n">
        <v>465</v>
      </c>
      <c r="B477" s="37" t="n">
        <v>464</v>
      </c>
      <c r="C477" s="38" t="n">
        <v>4557.58</v>
      </c>
      <c r="D477" s="38">
        <f>4541.138727+0.225904*B477</f>
        <v/>
      </c>
      <c r="E477" s="39">
        <f>C477-D477</f>
        <v/>
      </c>
      <c r="F477" s="39">
        <f>(E477-F757)^2</f>
        <v/>
      </c>
      <c r="G477" s="38">
        <f>(E477-F757)^3</f>
        <v/>
      </c>
      <c r="H477" s="38">
        <f>(E477-F757)^4</f>
        <v/>
      </c>
      <c r="I477" s="37" t="n"/>
    </row>
    <row r="478" ht="15" customHeight="1" s="28">
      <c r="A478" s="40" t="n">
        <v>466</v>
      </c>
      <c r="B478" s="40" t="n">
        <v>465</v>
      </c>
      <c r="C478" s="41" t="n">
        <v>4550.67</v>
      </c>
      <c r="D478" s="41">
        <f>4541.138727+0.225904*B478</f>
        <v/>
      </c>
      <c r="E478" s="42">
        <f>C478-D478</f>
        <v/>
      </c>
      <c r="F478" s="42">
        <f>(E478-F757)^2</f>
        <v/>
      </c>
      <c r="G478" s="41">
        <f>(E478-F757)^3</f>
        <v/>
      </c>
      <c r="H478" s="41">
        <f>(E478-F757)^4</f>
        <v/>
      </c>
      <c r="I478" s="40" t="n"/>
    </row>
    <row r="479" ht="15" customHeight="1" s="28">
      <c r="A479" s="37" t="n">
        <v>467</v>
      </c>
      <c r="B479" s="37" t="n">
        <v>466</v>
      </c>
      <c r="C479" s="38" t="n">
        <v>4546.68</v>
      </c>
      <c r="D479" s="38">
        <f>4541.138727+0.225904*B479</f>
        <v/>
      </c>
      <c r="E479" s="39">
        <f>C479-D479</f>
        <v/>
      </c>
      <c r="F479" s="39">
        <f>(E479-F757)^2</f>
        <v/>
      </c>
      <c r="G479" s="38">
        <f>(E479-F757)^3</f>
        <v/>
      </c>
      <c r="H479" s="38">
        <f>(E479-F757)^4</f>
        <v/>
      </c>
      <c r="I479" s="37" t="n"/>
    </row>
    <row r="480" ht="15" customHeight="1" s="28">
      <c r="A480" s="40" t="n">
        <v>468</v>
      </c>
      <c r="B480" s="40" t="n">
        <v>467</v>
      </c>
      <c r="C480" s="41" t="n">
        <v>4548.82</v>
      </c>
      <c r="D480" s="41">
        <f>4541.138727+0.225904*B480</f>
        <v/>
      </c>
      <c r="E480" s="42">
        <f>C480-D480</f>
        <v/>
      </c>
      <c r="F480" s="42">
        <f>(E480-F757)^2</f>
        <v/>
      </c>
      <c r="G480" s="41">
        <f>(E480-F757)^3</f>
        <v/>
      </c>
      <c r="H480" s="41">
        <f>(E480-F757)^4</f>
        <v/>
      </c>
      <c r="I480" s="40" t="n"/>
    </row>
    <row r="481" ht="15" customHeight="1" s="28">
      <c r="A481" s="37" t="n">
        <v>469</v>
      </c>
      <c r="B481" s="37" t="n">
        <v>468</v>
      </c>
      <c r="C481" s="38" t="n">
        <v>4573.43</v>
      </c>
      <c r="D481" s="38">
        <f>4541.138727+0.225904*B481</f>
        <v/>
      </c>
      <c r="E481" s="39">
        <f>C481-D481</f>
        <v/>
      </c>
      <c r="F481" s="39">
        <f>(E481-F757)^2</f>
        <v/>
      </c>
      <c r="G481" s="38">
        <f>(E481-F757)^3</f>
        <v/>
      </c>
      <c r="H481" s="38">
        <f>(E481-F757)^4</f>
        <v/>
      </c>
      <c r="I481" s="37" t="n"/>
    </row>
    <row r="482" ht="15" customHeight="1" s="28">
      <c r="A482" s="40" t="n">
        <v>470</v>
      </c>
      <c r="B482" s="40" t="n">
        <v>469</v>
      </c>
      <c r="C482" s="41" t="n">
        <v>4588.62</v>
      </c>
      <c r="D482" s="41">
        <f>4541.138727+0.225904*B482</f>
        <v/>
      </c>
      <c r="E482" s="42">
        <f>C482-D482</f>
        <v/>
      </c>
      <c r="F482" s="42">
        <f>(E482-F757)^2</f>
        <v/>
      </c>
      <c r="G482" s="41">
        <f>(E482-F757)^3</f>
        <v/>
      </c>
      <c r="H482" s="41">
        <f>(E482-F757)^4</f>
        <v/>
      </c>
      <c r="I482" s="40" t="n"/>
    </row>
    <row r="483" ht="15" customHeight="1" s="28">
      <c r="A483" s="37" t="n">
        <v>471</v>
      </c>
      <c r="B483" s="37" t="n">
        <v>470</v>
      </c>
      <c r="C483" s="38" t="n">
        <v>4582.1</v>
      </c>
      <c r="D483" s="38">
        <f>4541.138727+0.225904*B483</f>
        <v/>
      </c>
      <c r="E483" s="39">
        <f>C483-D483</f>
        <v/>
      </c>
      <c r="F483" s="39">
        <f>(E483-F757)^2</f>
        <v/>
      </c>
      <c r="G483" s="38">
        <f>(E483-F757)^3</f>
        <v/>
      </c>
      <c r="H483" s="38">
        <f>(E483-F757)^4</f>
        <v/>
      </c>
      <c r="I483" s="37" t="n"/>
    </row>
    <row r="484" ht="15" customHeight="1" s="28">
      <c r="A484" s="40" t="n">
        <v>472</v>
      </c>
      <c r="B484" s="40" t="n">
        <v>471</v>
      </c>
      <c r="C484" s="41" t="n">
        <v>4584.84</v>
      </c>
      <c r="D484" s="41">
        <f>4541.138727+0.225904*B484</f>
        <v/>
      </c>
      <c r="E484" s="42">
        <f>C484-D484</f>
        <v/>
      </c>
      <c r="F484" s="42">
        <f>(E484-F757)^2</f>
        <v/>
      </c>
      <c r="G484" s="41">
        <f>(E484-F757)^3</f>
        <v/>
      </c>
      <c r="H484" s="41">
        <f>(E484-F757)^4</f>
        <v/>
      </c>
      <c r="I484" s="40" t="n"/>
    </row>
    <row r="485" ht="15" customHeight="1" s="28">
      <c r="A485" s="37" t="n">
        <v>473</v>
      </c>
      <c r="B485" s="37" t="n">
        <v>472</v>
      </c>
      <c r="C485" s="38" t="n">
        <v>4593.92</v>
      </c>
      <c r="D485" s="38">
        <f>4541.138727+0.225904*B485</f>
        <v/>
      </c>
      <c r="E485" s="39">
        <f>C485-D485</f>
        <v/>
      </c>
      <c r="F485" s="39">
        <f>(E485-F757)^2</f>
        <v/>
      </c>
      <c r="G485" s="38">
        <f>(E485-F757)^3</f>
        <v/>
      </c>
      <c r="H485" s="38">
        <f>(E485-F757)^4</f>
        <v/>
      </c>
      <c r="I485" s="37" t="n"/>
    </row>
    <row r="486" ht="15" customHeight="1" s="28">
      <c r="A486" s="40" t="n">
        <v>474</v>
      </c>
      <c r="B486" s="40" t="n">
        <v>473</v>
      </c>
      <c r="C486" s="41" t="n">
        <v>4591.76</v>
      </c>
      <c r="D486" s="41">
        <f>4541.138727+0.225904*B486</f>
        <v/>
      </c>
      <c r="E486" s="42">
        <f>C486-D486</f>
        <v/>
      </c>
      <c r="F486" s="42">
        <f>(E486-F757)^2</f>
        <v/>
      </c>
      <c r="G486" s="41">
        <f>(E486-F757)^3</f>
        <v/>
      </c>
      <c r="H486" s="41">
        <f>(E486-F757)^4</f>
        <v/>
      </c>
      <c r="I486" s="40" t="n"/>
    </row>
    <row r="487" ht="15" customHeight="1" s="28">
      <c r="A487" s="37" t="n">
        <v>475</v>
      </c>
      <c r="B487" s="37" t="n">
        <v>474</v>
      </c>
      <c r="C487" s="38" t="n">
        <v>4602.23</v>
      </c>
      <c r="D487" s="38">
        <f>4541.138727+0.225904*B487</f>
        <v/>
      </c>
      <c r="E487" s="39">
        <f>C487-D487</f>
        <v/>
      </c>
      <c r="F487" s="39">
        <f>(E487-F757)^2</f>
        <v/>
      </c>
      <c r="G487" s="38">
        <f>(E487-F757)^3</f>
        <v/>
      </c>
      <c r="H487" s="38">
        <f>(E487-F757)^4</f>
        <v/>
      </c>
      <c r="I487" s="37" t="n"/>
    </row>
    <row r="488" ht="15" customHeight="1" s="28">
      <c r="A488" s="40" t="n">
        <v>476</v>
      </c>
      <c r="B488" s="40" t="n">
        <v>475</v>
      </c>
      <c r="C488" s="41" t="n">
        <v>4610.32</v>
      </c>
      <c r="D488" s="41">
        <f>4541.138727+0.225904*B488</f>
        <v/>
      </c>
      <c r="E488" s="42">
        <f>C488-D488</f>
        <v/>
      </c>
      <c r="F488" s="42">
        <f>(E488-F757)^2</f>
        <v/>
      </c>
      <c r="G488" s="41">
        <f>(E488-F757)^3</f>
        <v/>
      </c>
      <c r="H488" s="41">
        <f>(E488-F757)^4</f>
        <v/>
      </c>
      <c r="I488" s="40" t="n"/>
    </row>
    <row r="489" ht="15" customHeight="1" s="28">
      <c r="A489" s="37" t="n">
        <v>477</v>
      </c>
      <c r="B489" s="37" t="n">
        <v>476</v>
      </c>
      <c r="C489" s="38" t="n">
        <v>4618.87</v>
      </c>
      <c r="D489" s="38">
        <f>4541.138727+0.225904*B489</f>
        <v/>
      </c>
      <c r="E489" s="39">
        <f>C489-D489</f>
        <v/>
      </c>
      <c r="F489" s="39">
        <f>(E489-F757)^2</f>
        <v/>
      </c>
      <c r="G489" s="38">
        <f>(E489-F757)^3</f>
        <v/>
      </c>
      <c r="H489" s="38">
        <f>(E489-F757)^4</f>
        <v/>
      </c>
      <c r="I489" s="37" t="n"/>
    </row>
    <row r="490" ht="15" customHeight="1" s="28">
      <c r="A490" s="40" t="n">
        <v>478</v>
      </c>
      <c r="B490" s="40" t="n">
        <v>477</v>
      </c>
      <c r="C490" s="41" t="n">
        <v>4611.55</v>
      </c>
      <c r="D490" s="41">
        <f>4541.138727+0.225904*B490</f>
        <v/>
      </c>
      <c r="E490" s="42">
        <f>C490-D490</f>
        <v/>
      </c>
      <c r="F490" s="42">
        <f>(E490-F757)^2</f>
        <v/>
      </c>
      <c r="G490" s="41">
        <f>(E490-F757)^3</f>
        <v/>
      </c>
      <c r="H490" s="41">
        <f>(E490-F757)^4</f>
        <v/>
      </c>
      <c r="I490" s="40" t="n"/>
    </row>
    <row r="491" ht="15" customHeight="1" s="28">
      <c r="A491" s="37" t="n">
        <v>479</v>
      </c>
      <c r="B491" s="37" t="n">
        <v>478</v>
      </c>
      <c r="C491" s="38" t="n">
        <v>4625</v>
      </c>
      <c r="D491" s="38">
        <f>4541.138727+0.225904*B491</f>
        <v/>
      </c>
      <c r="E491" s="39">
        <f>C491-D491</f>
        <v/>
      </c>
      <c r="F491" s="39">
        <f>(E491-F757)^2</f>
        <v/>
      </c>
      <c r="G491" s="38">
        <f>(E491-F757)^3</f>
        <v/>
      </c>
      <c r="H491" s="38">
        <f>(E491-F757)^4</f>
        <v/>
      </c>
      <c r="I491" s="37" t="n"/>
    </row>
    <row r="492" ht="15" customHeight="1" s="28">
      <c r="A492" s="40" t="n">
        <v>480</v>
      </c>
      <c r="B492" s="40" t="n">
        <v>479</v>
      </c>
      <c r="C492" s="41" t="n">
        <v>4624.12</v>
      </c>
      <c r="D492" s="41">
        <f>4541.138727+0.225904*B492</f>
        <v/>
      </c>
      <c r="E492" s="42">
        <f>C492-D492</f>
        <v/>
      </c>
      <c r="F492" s="42">
        <f>(E492-F757)^2</f>
        <v/>
      </c>
      <c r="G492" s="41">
        <f>(E492-F757)^3</f>
        <v/>
      </c>
      <c r="H492" s="41">
        <f>(E492-F757)^4</f>
        <v/>
      </c>
      <c r="I492" s="40" t="n"/>
    </row>
    <row r="493" ht="15" customHeight="1" s="28">
      <c r="A493" s="37" t="n">
        <v>481</v>
      </c>
      <c r="B493" s="37" t="n">
        <v>480</v>
      </c>
      <c r="C493" s="38" t="n">
        <v>4626.18</v>
      </c>
      <c r="D493" s="38">
        <f>4541.138727+0.225904*B493</f>
        <v/>
      </c>
      <c r="E493" s="39">
        <f>C493-D493</f>
        <v/>
      </c>
      <c r="F493" s="39">
        <f>(E493-F757)^2</f>
        <v/>
      </c>
      <c r="G493" s="38">
        <f>(E493-F757)^3</f>
        <v/>
      </c>
      <c r="H493" s="38">
        <f>(E493-F757)^4</f>
        <v/>
      </c>
      <c r="I493" s="37" t="n"/>
    </row>
    <row r="494" ht="15" customHeight="1" s="28">
      <c r="A494" s="40" t="n">
        <v>482</v>
      </c>
      <c r="B494" s="40" t="n">
        <v>481</v>
      </c>
      <c r="C494" s="41" t="n">
        <v>4633.69</v>
      </c>
      <c r="D494" s="41">
        <f>4541.138727+0.225904*B494</f>
        <v/>
      </c>
      <c r="E494" s="42">
        <f>C494-D494</f>
        <v/>
      </c>
      <c r="F494" s="42">
        <f>(E494-F757)^2</f>
        <v/>
      </c>
      <c r="G494" s="41">
        <f>(E494-F757)^3</f>
        <v/>
      </c>
      <c r="H494" s="41">
        <f>(E494-F757)^4</f>
        <v/>
      </c>
      <c r="I494" s="40" t="n"/>
    </row>
    <row r="495" ht="15" customHeight="1" s="28">
      <c r="A495" s="37" t="n">
        <v>483</v>
      </c>
      <c r="B495" s="37" t="n">
        <v>482</v>
      </c>
      <c r="C495" s="38" t="n">
        <v>4630.22</v>
      </c>
      <c r="D495" s="38">
        <f>4541.138727+0.225904*B495</f>
        <v/>
      </c>
      <c r="E495" s="39">
        <f>C495-D495</f>
        <v/>
      </c>
      <c r="F495" s="39">
        <f>(E495-F757)^2</f>
        <v/>
      </c>
      <c r="G495" s="38">
        <f>(E495-F757)^3</f>
        <v/>
      </c>
      <c r="H495" s="38">
        <f>(E495-F757)^4</f>
        <v/>
      </c>
      <c r="I495" s="37" t="n"/>
    </row>
    <row r="496" ht="15" customHeight="1" s="28">
      <c r="A496" s="40" t="n">
        <v>484</v>
      </c>
      <c r="B496" s="40" t="n">
        <v>483</v>
      </c>
      <c r="C496" s="41" t="n">
        <v>4635.01</v>
      </c>
      <c r="D496" s="41">
        <f>4541.138727+0.225904*B496</f>
        <v/>
      </c>
      <c r="E496" s="42">
        <f>C496-D496</f>
        <v/>
      </c>
      <c r="F496" s="42">
        <f>(E496-F757)^2</f>
        <v/>
      </c>
      <c r="G496" s="41">
        <f>(E496-F757)^3</f>
        <v/>
      </c>
      <c r="H496" s="41">
        <f>(E496-F757)^4</f>
        <v/>
      </c>
      <c r="I496" s="40" t="n"/>
    </row>
    <row r="497" ht="15" customHeight="1" s="28">
      <c r="A497" s="37" t="n">
        <v>485</v>
      </c>
      <c r="B497" s="37" t="n">
        <v>484</v>
      </c>
      <c r="C497" s="38" t="n">
        <v>4640.94</v>
      </c>
      <c r="D497" s="38">
        <f>4541.138727+0.225904*B497</f>
        <v/>
      </c>
      <c r="E497" s="39">
        <f>C497-D497</f>
        <v/>
      </c>
      <c r="F497" s="39">
        <f>(E497-F757)^2</f>
        <v/>
      </c>
      <c r="G497" s="38">
        <f>(E497-F757)^3</f>
        <v/>
      </c>
      <c r="H497" s="38">
        <f>(E497-F757)^4</f>
        <v/>
      </c>
      <c r="I497" s="37" t="n"/>
    </row>
    <row r="498" ht="15" customHeight="1" s="28">
      <c r="A498" s="40" t="n">
        <v>486</v>
      </c>
      <c r="B498" s="40" t="n">
        <v>485</v>
      </c>
      <c r="C498" s="41" t="n">
        <v>4647.89</v>
      </c>
      <c r="D498" s="41">
        <f>4541.138727+0.225904*B498</f>
        <v/>
      </c>
      <c r="E498" s="42">
        <f>C498-D498</f>
        <v/>
      </c>
      <c r="F498" s="42">
        <f>(E498-F757)^2</f>
        <v/>
      </c>
      <c r="G498" s="41">
        <f>(E498-F757)^3</f>
        <v/>
      </c>
      <c r="H498" s="41">
        <f>(E498-F757)^4</f>
        <v/>
      </c>
      <c r="I498" s="40" t="n"/>
    </row>
    <row r="499" ht="15" customHeight="1" s="28">
      <c r="A499" s="37" t="n">
        <v>487</v>
      </c>
      <c r="B499" s="37" t="n">
        <v>486</v>
      </c>
      <c r="C499" s="38" t="n">
        <v>4645.81</v>
      </c>
      <c r="D499" s="38">
        <f>4541.138727+0.225904*B499</f>
        <v/>
      </c>
      <c r="E499" s="39">
        <f>C499-D499</f>
        <v/>
      </c>
      <c r="F499" s="39">
        <f>(E499-F757)^2</f>
        <v/>
      </c>
      <c r="G499" s="38">
        <f>(E499-F757)^3</f>
        <v/>
      </c>
      <c r="H499" s="38">
        <f>(E499-F757)^4</f>
        <v/>
      </c>
      <c r="I499" s="37" t="n"/>
    </row>
    <row r="500" ht="15" customHeight="1" s="28">
      <c r="A500" s="40" t="n">
        <v>488</v>
      </c>
      <c r="B500" s="40" t="n">
        <v>487</v>
      </c>
      <c r="C500" s="41" t="n">
        <v>4647.74</v>
      </c>
      <c r="D500" s="41">
        <f>4541.138727+0.225904*B500</f>
        <v/>
      </c>
      <c r="E500" s="42">
        <f>C500-D500</f>
        <v/>
      </c>
      <c r="F500" s="42">
        <f>(E500-F757)^2</f>
        <v/>
      </c>
      <c r="G500" s="41">
        <f>(E500-F757)^3</f>
        <v/>
      </c>
      <c r="H500" s="41">
        <f>(E500-F757)^4</f>
        <v/>
      </c>
      <c r="I500" s="40" t="n"/>
    </row>
    <row r="501" ht="15" customHeight="1" s="28">
      <c r="A501" s="37" t="n">
        <v>489</v>
      </c>
      <c r="B501" s="37" t="n">
        <v>488</v>
      </c>
      <c r="C501" s="38" t="n">
        <v>4643.84</v>
      </c>
      <c r="D501" s="38">
        <f>4541.138727+0.225904*B501</f>
        <v/>
      </c>
      <c r="E501" s="39">
        <f>C501-D501</f>
        <v/>
      </c>
      <c r="F501" s="39">
        <f>(E501-F757)^2</f>
        <v/>
      </c>
      <c r="G501" s="38">
        <f>(E501-F757)^3</f>
        <v/>
      </c>
      <c r="H501" s="38">
        <f>(E501-F757)^4</f>
        <v/>
      </c>
      <c r="I501" s="37" t="n"/>
    </row>
    <row r="502" ht="15" customHeight="1" s="28">
      <c r="A502" s="40" t="n">
        <v>490</v>
      </c>
      <c r="B502" s="40" t="n">
        <v>489</v>
      </c>
      <c r="C502" s="41" t="n">
        <v>4647.59</v>
      </c>
      <c r="D502" s="41">
        <f>4541.138727+0.225904*B502</f>
        <v/>
      </c>
      <c r="E502" s="42">
        <f>C502-D502</f>
        <v/>
      </c>
      <c r="F502" s="42">
        <f>(E502-F757)^2</f>
        <v/>
      </c>
      <c r="G502" s="41">
        <f>(E502-F757)^3</f>
        <v/>
      </c>
      <c r="H502" s="41">
        <f>(E502-F757)^4</f>
        <v/>
      </c>
      <c r="I502" s="40" t="n"/>
    </row>
    <row r="503" ht="15" customHeight="1" s="28">
      <c r="A503" s="37" t="n">
        <v>491</v>
      </c>
      <c r="B503" s="37" t="n">
        <v>490</v>
      </c>
      <c r="C503" s="38" t="n">
        <v>4653.19</v>
      </c>
      <c r="D503" s="38">
        <f>4541.138727+0.225904*B503</f>
        <v/>
      </c>
      <c r="E503" s="39">
        <f>C503-D503</f>
        <v/>
      </c>
      <c r="F503" s="39">
        <f>(E503-F757)^2</f>
        <v/>
      </c>
      <c r="G503" s="38">
        <f>(E503-F757)^3</f>
        <v/>
      </c>
      <c r="H503" s="38">
        <f>(E503-F757)^4</f>
        <v/>
      </c>
      <c r="I503" s="37" t="n"/>
    </row>
    <row r="504" ht="15" customHeight="1" s="28">
      <c r="A504" s="40" t="n">
        <v>492</v>
      </c>
      <c r="B504" s="40" t="n">
        <v>491</v>
      </c>
      <c r="C504" s="41" t="n">
        <v>4647.47</v>
      </c>
      <c r="D504" s="41">
        <f>4541.138727+0.225904*B504</f>
        <v/>
      </c>
      <c r="E504" s="42">
        <f>C504-D504</f>
        <v/>
      </c>
      <c r="F504" s="42">
        <f>(E504-F757)^2</f>
        <v/>
      </c>
      <c r="G504" s="41">
        <f>(E504-F757)^3</f>
        <v/>
      </c>
      <c r="H504" s="41">
        <f>(E504-F757)^4</f>
        <v/>
      </c>
      <c r="I504" s="40" t="n"/>
    </row>
    <row r="505" ht="15" customHeight="1" s="28">
      <c r="A505" s="37" t="n">
        <v>493</v>
      </c>
      <c r="B505" s="37" t="n">
        <v>492</v>
      </c>
      <c r="C505" s="38" t="n">
        <v>4648.72</v>
      </c>
      <c r="D505" s="38">
        <f>4541.138727+0.225904*B505</f>
        <v/>
      </c>
      <c r="E505" s="39">
        <f>C505-D505</f>
        <v/>
      </c>
      <c r="F505" s="39">
        <f>(E505-F757)^2</f>
        <v/>
      </c>
      <c r="G505" s="38">
        <f>(E505-F757)^3</f>
        <v/>
      </c>
      <c r="H505" s="38">
        <f>(E505-F757)^4</f>
        <v/>
      </c>
      <c r="I505" s="37" t="n"/>
    </row>
    <row r="506" ht="15" customHeight="1" s="28">
      <c r="A506" s="40" t="n">
        <v>494</v>
      </c>
      <c r="B506" s="40" t="n">
        <v>493</v>
      </c>
      <c r="C506" s="41" t="n">
        <v>4654.64</v>
      </c>
      <c r="D506" s="41">
        <f>4541.138727+0.225904*B506</f>
        <v/>
      </c>
      <c r="E506" s="42">
        <f>C506-D506</f>
        <v/>
      </c>
      <c r="F506" s="42">
        <f>(E506-F757)^2</f>
        <v/>
      </c>
      <c r="G506" s="41">
        <f>(E506-F757)^3</f>
        <v/>
      </c>
      <c r="H506" s="41">
        <f>(E506-F757)^4</f>
        <v/>
      </c>
      <c r="I506" s="40" t="n"/>
    </row>
    <row r="507" ht="15" customHeight="1" s="28">
      <c r="A507" s="37" t="n">
        <v>495</v>
      </c>
      <c r="B507" s="37" t="n">
        <v>494</v>
      </c>
      <c r="C507" s="38" t="n">
        <v>4650.4</v>
      </c>
      <c r="D507" s="38">
        <f>4541.138727+0.225904*B507</f>
        <v/>
      </c>
      <c r="E507" s="39">
        <f>C507-D507</f>
        <v/>
      </c>
      <c r="F507" s="39">
        <f>(E507-F757)^2</f>
        <v/>
      </c>
      <c r="G507" s="38">
        <f>(E507-F757)^3</f>
        <v/>
      </c>
      <c r="H507" s="38">
        <f>(E507-F757)^4</f>
        <v/>
      </c>
      <c r="I507" s="37" t="n"/>
    </row>
    <row r="508" ht="15" customHeight="1" s="28">
      <c r="A508" s="40" t="n">
        <v>496</v>
      </c>
      <c r="B508" s="40" t="n">
        <v>495</v>
      </c>
      <c r="C508" s="41" t="n">
        <v>4650.19</v>
      </c>
      <c r="D508" s="41">
        <f>4541.138727+0.225904*B508</f>
        <v/>
      </c>
      <c r="E508" s="42">
        <f>C508-D508</f>
        <v/>
      </c>
      <c r="F508" s="42">
        <f>(E508-F757)^2</f>
        <v/>
      </c>
      <c r="G508" s="41">
        <f>(E508-F757)^3</f>
        <v/>
      </c>
      <c r="H508" s="41">
        <f>(E508-F757)^4</f>
        <v/>
      </c>
      <c r="I508" s="40" t="n"/>
    </row>
    <row r="509" ht="15" customHeight="1" s="28">
      <c r="A509" s="37" t="n">
        <v>497</v>
      </c>
      <c r="B509" s="37" t="n">
        <v>496</v>
      </c>
      <c r="C509" s="38" t="n">
        <v>4663.2</v>
      </c>
      <c r="D509" s="38">
        <f>4541.138727+0.225904*B509</f>
        <v/>
      </c>
      <c r="E509" s="39">
        <f>C509-D509</f>
        <v/>
      </c>
      <c r="F509" s="39">
        <f>(E509-F757)^2</f>
        <v/>
      </c>
      <c r="G509" s="38">
        <f>(E509-F757)^3</f>
        <v/>
      </c>
      <c r="H509" s="38">
        <f>(E509-F757)^4</f>
        <v/>
      </c>
      <c r="I509" s="37" t="n"/>
    </row>
    <row r="510" ht="15" customHeight="1" s="28">
      <c r="A510" s="40" t="n">
        <v>498</v>
      </c>
      <c r="B510" s="40" t="n">
        <v>497</v>
      </c>
      <c r="C510" s="41" t="n">
        <v>4660.55</v>
      </c>
      <c r="D510" s="41">
        <f>4541.138727+0.225904*B510</f>
        <v/>
      </c>
      <c r="E510" s="42">
        <f>C510-D510</f>
        <v/>
      </c>
      <c r="F510" s="42">
        <f>(E510-F757)^2</f>
        <v/>
      </c>
      <c r="G510" s="41">
        <f>(E510-F757)^3</f>
        <v/>
      </c>
      <c r="H510" s="41">
        <f>(E510-F757)^4</f>
        <v/>
      </c>
      <c r="I510" s="40" t="n"/>
    </row>
    <row r="511" ht="15" customHeight="1" s="28">
      <c r="A511" s="37" t="n">
        <v>499</v>
      </c>
      <c r="B511" s="37" t="n">
        <v>498</v>
      </c>
      <c r="C511" s="38" t="n">
        <v>4666.15</v>
      </c>
      <c r="D511" s="38">
        <f>4541.138727+0.225904*B511</f>
        <v/>
      </c>
      <c r="E511" s="39">
        <f>C511-D511</f>
        <v/>
      </c>
      <c r="F511" s="39">
        <f>(E511-F757)^2</f>
        <v/>
      </c>
      <c r="G511" s="38">
        <f>(E511-F757)^3</f>
        <v/>
      </c>
      <c r="H511" s="38">
        <f>(E511-F757)^4</f>
        <v/>
      </c>
      <c r="I511" s="37" t="n"/>
    </row>
    <row r="512" ht="15" customHeight="1" s="28">
      <c r="A512" s="40" t="n">
        <v>500</v>
      </c>
      <c r="B512" s="40" t="n">
        <v>499</v>
      </c>
      <c r="C512" s="41" t="n">
        <v>4664.33</v>
      </c>
      <c r="D512" s="41">
        <f>4541.138727+0.225904*B512</f>
        <v/>
      </c>
      <c r="E512" s="42">
        <f>C512-D512</f>
        <v/>
      </c>
      <c r="F512" s="42">
        <f>(E512-F757)^2</f>
        <v/>
      </c>
      <c r="G512" s="41">
        <f>(E512-F757)^3</f>
        <v/>
      </c>
      <c r="H512" s="41">
        <f>(E512-F757)^4</f>
        <v/>
      </c>
      <c r="I512" s="40" t="n"/>
    </row>
    <row r="513" ht="15" customHeight="1" s="28">
      <c r="A513" s="37" t="n">
        <v>501</v>
      </c>
      <c r="B513" s="37" t="n">
        <v>500</v>
      </c>
      <c r="C513" s="38" t="n">
        <v>4669.38</v>
      </c>
      <c r="D513" s="38">
        <f>4541.138727+0.225904*B513</f>
        <v/>
      </c>
      <c r="E513" s="39">
        <f>C513-D513</f>
        <v/>
      </c>
      <c r="F513" s="39">
        <f>(E513-F757)^2</f>
        <v/>
      </c>
      <c r="G513" s="38">
        <f>(E513-F757)^3</f>
        <v/>
      </c>
      <c r="H513" s="38">
        <f>(E513-F757)^4</f>
        <v/>
      </c>
      <c r="I513" s="37" t="n"/>
    </row>
    <row r="514" ht="15" customHeight="1" s="28">
      <c r="A514" s="40" t="n">
        <v>502</v>
      </c>
      <c r="B514" s="40" t="n">
        <v>501</v>
      </c>
      <c r="C514" s="41" t="n">
        <v>4658.43</v>
      </c>
      <c r="D514" s="41">
        <f>4541.138727+0.225904*B514</f>
        <v/>
      </c>
      <c r="E514" s="42">
        <f>C514-D514</f>
        <v/>
      </c>
      <c r="F514" s="42">
        <f>(E514-F757)^2</f>
        <v/>
      </c>
      <c r="G514" s="41">
        <f>(E514-F757)^3</f>
        <v/>
      </c>
      <c r="H514" s="41">
        <f>(E514-F757)^4</f>
        <v/>
      </c>
      <c r="I514" s="40" t="n"/>
    </row>
    <row r="515" ht="15" customHeight="1" s="28">
      <c r="A515" s="37" t="n">
        <v>503</v>
      </c>
      <c r="B515" s="37" t="n">
        <v>502</v>
      </c>
      <c r="C515" s="38" t="n">
        <v>4667.5</v>
      </c>
      <c r="D515" s="38">
        <f>4541.138727+0.225904*B515</f>
        <v/>
      </c>
      <c r="E515" s="39">
        <f>C515-D515</f>
        <v/>
      </c>
      <c r="F515" s="39">
        <f>(E515-F757)^2</f>
        <v/>
      </c>
      <c r="G515" s="38">
        <f>(E515-F757)^3</f>
        <v/>
      </c>
      <c r="H515" s="38">
        <f>(E515-F757)^4</f>
        <v/>
      </c>
      <c r="I515" s="37" t="n"/>
    </row>
    <row r="516" ht="15" customHeight="1" s="28">
      <c r="A516" s="40" t="n">
        <v>504</v>
      </c>
      <c r="B516" s="40" t="n">
        <v>503</v>
      </c>
      <c r="C516" s="41" t="n">
        <v>4670.18</v>
      </c>
      <c r="D516" s="41">
        <f>4541.138727+0.225904*B516</f>
        <v/>
      </c>
      <c r="E516" s="42">
        <f>C516-D516</f>
        <v/>
      </c>
      <c r="F516" s="42">
        <f>(E516-F757)^2</f>
        <v/>
      </c>
      <c r="G516" s="41">
        <f>(E516-F757)^3</f>
        <v/>
      </c>
      <c r="H516" s="41">
        <f>(E516-F757)^4</f>
        <v/>
      </c>
      <c r="I516" s="40" t="n"/>
    </row>
    <row r="517" ht="15" customHeight="1" s="28">
      <c r="A517" s="37" t="n">
        <v>505</v>
      </c>
      <c r="B517" s="37" t="n">
        <v>504</v>
      </c>
      <c r="C517" s="38" t="n">
        <v>4681.72</v>
      </c>
      <c r="D517" s="38">
        <f>4541.138727+0.225904*B517</f>
        <v/>
      </c>
      <c r="E517" s="39">
        <f>C517-D517</f>
        <v/>
      </c>
      <c r="F517" s="39">
        <f>(E517-F757)^2</f>
        <v/>
      </c>
      <c r="G517" s="38">
        <f>(E517-F757)^3</f>
        <v/>
      </c>
      <c r="H517" s="38">
        <f>(E517-F757)^4</f>
        <v/>
      </c>
      <c r="I517" s="37" t="n"/>
    </row>
    <row r="518" ht="15" customHeight="1" s="28">
      <c r="A518" s="40" t="n">
        <v>506</v>
      </c>
      <c r="B518" s="40" t="n">
        <v>505</v>
      </c>
      <c r="C518" s="41" t="n">
        <v>4679.57</v>
      </c>
      <c r="D518" s="41">
        <f>4541.138727+0.225904*B518</f>
        <v/>
      </c>
      <c r="E518" s="42">
        <f>C518-D518</f>
        <v/>
      </c>
      <c r="F518" s="42">
        <f>(E518-F757)^2</f>
        <v/>
      </c>
      <c r="G518" s="41">
        <f>(E518-F757)^3</f>
        <v/>
      </c>
      <c r="H518" s="41">
        <f>(E518-F757)^4</f>
        <v/>
      </c>
      <c r="I518" s="40" t="n"/>
    </row>
    <row r="519" ht="15" customHeight="1" s="28">
      <c r="A519" s="37" t="n">
        <v>507</v>
      </c>
      <c r="B519" s="37" t="n">
        <v>506</v>
      </c>
      <c r="C519" s="38" t="n">
        <v>4677</v>
      </c>
      <c r="D519" s="38">
        <f>4541.138727+0.225904*B519</f>
        <v/>
      </c>
      <c r="E519" s="39">
        <f>C519-D519</f>
        <v/>
      </c>
      <c r="F519" s="39">
        <f>(E519-F757)^2</f>
        <v/>
      </c>
      <c r="G519" s="38">
        <f>(E519-F757)^3</f>
        <v/>
      </c>
      <c r="H519" s="38">
        <f>(E519-F757)^4</f>
        <v/>
      </c>
      <c r="I519" s="37" t="n"/>
    </row>
    <row r="520" ht="15" customHeight="1" s="28">
      <c r="A520" s="40" t="n">
        <v>508</v>
      </c>
      <c r="B520" s="40" t="n">
        <v>507</v>
      </c>
      <c r="C520" s="41" t="n">
        <v>4677.27</v>
      </c>
      <c r="D520" s="41">
        <f>4541.138727+0.225904*B520</f>
        <v/>
      </c>
      <c r="E520" s="42">
        <f>C520-D520</f>
        <v/>
      </c>
      <c r="F520" s="42">
        <f>(E520-F757)^2</f>
        <v/>
      </c>
      <c r="G520" s="41">
        <f>(E520-F757)^3</f>
        <v/>
      </c>
      <c r="H520" s="41">
        <f>(E520-F757)^4</f>
        <v/>
      </c>
      <c r="I520" s="40" t="n"/>
    </row>
    <row r="521" ht="15" customHeight="1" s="28">
      <c r="A521" s="37" t="n">
        <v>509</v>
      </c>
      <c r="B521" s="37" t="n">
        <v>508</v>
      </c>
      <c r="C521" s="38" t="n">
        <v>4700.09</v>
      </c>
      <c r="D521" s="38">
        <f>4541.138727+0.225904*B521</f>
        <v/>
      </c>
      <c r="E521" s="39">
        <f>C521-D521</f>
        <v/>
      </c>
      <c r="F521" s="39">
        <f>(E521-F757)^2</f>
        <v/>
      </c>
      <c r="G521" s="38">
        <f>(E521-F757)^3</f>
        <v/>
      </c>
      <c r="H521" s="38">
        <f>(E521-F757)^4</f>
        <v/>
      </c>
      <c r="I521" s="37" t="n"/>
    </row>
    <row r="522" ht="15" customHeight="1" s="28">
      <c r="A522" s="40" t="n">
        <v>510</v>
      </c>
      <c r="B522" s="40" t="n">
        <v>509</v>
      </c>
      <c r="C522" s="41" t="n">
        <v>4695.69</v>
      </c>
      <c r="D522" s="41">
        <f>4541.138727+0.225904*B522</f>
        <v/>
      </c>
      <c r="E522" s="42">
        <f>C522-D522</f>
        <v/>
      </c>
      <c r="F522" s="42">
        <f>(E522-F757)^2</f>
        <v/>
      </c>
      <c r="G522" s="41">
        <f>(E522-F757)^3</f>
        <v/>
      </c>
      <c r="H522" s="41">
        <f>(E522-F757)^4</f>
        <v/>
      </c>
      <c r="I522" s="40" t="n"/>
    </row>
    <row r="523" ht="15" customHeight="1" s="28">
      <c r="A523" s="37" t="n">
        <v>511</v>
      </c>
      <c r="B523" s="37" t="n">
        <v>510</v>
      </c>
      <c r="C523" s="38" t="n">
        <v>4700.12</v>
      </c>
      <c r="D523" s="38">
        <f>4541.138727+0.225904*B523</f>
        <v/>
      </c>
      <c r="E523" s="39">
        <f>C523-D523</f>
        <v/>
      </c>
      <c r="F523" s="39">
        <f>(E523-F757)^2</f>
        <v/>
      </c>
      <c r="G523" s="38">
        <f>(E523-F757)^3</f>
        <v/>
      </c>
      <c r="H523" s="38">
        <f>(E523-F757)^4</f>
        <v/>
      </c>
      <c r="I523" s="37" t="n"/>
    </row>
    <row r="524" ht="15" customHeight="1" s="28">
      <c r="A524" s="40" t="n">
        <v>512</v>
      </c>
      <c r="B524" s="40" t="n">
        <v>511</v>
      </c>
      <c r="C524" s="41" t="n">
        <v>4696.04</v>
      </c>
      <c r="D524" s="41">
        <f>4541.138727+0.225904*B524</f>
        <v/>
      </c>
      <c r="E524" s="42">
        <f>C524-D524</f>
        <v/>
      </c>
      <c r="F524" s="42">
        <f>(E524-F757)^2</f>
        <v/>
      </c>
      <c r="G524" s="41">
        <f>(E524-F757)^3</f>
        <v/>
      </c>
      <c r="H524" s="41">
        <f>(E524-F757)^4</f>
        <v/>
      </c>
      <c r="I524" s="40" t="n"/>
    </row>
    <row r="525" ht="15" customHeight="1" s="28">
      <c r="A525" s="37" t="n">
        <v>513</v>
      </c>
      <c r="B525" s="37" t="n">
        <v>512</v>
      </c>
      <c r="C525" s="38" t="n">
        <v>4701.75</v>
      </c>
      <c r="D525" s="38">
        <f>4541.138727+0.225904*B525</f>
        <v/>
      </c>
      <c r="E525" s="39">
        <f>C525-D525</f>
        <v/>
      </c>
      <c r="F525" s="39">
        <f>(E525-F757)^2</f>
        <v/>
      </c>
      <c r="G525" s="38">
        <f>(E525-F757)^3</f>
        <v/>
      </c>
      <c r="H525" s="38">
        <f>(E525-F757)^4</f>
        <v/>
      </c>
      <c r="I525" s="37" t="n"/>
    </row>
    <row r="526" ht="15" customHeight="1" s="28">
      <c r="A526" s="40" t="n">
        <v>514</v>
      </c>
      <c r="B526" s="40" t="n">
        <v>513</v>
      </c>
      <c r="C526" s="41" t="n">
        <v>4698.2</v>
      </c>
      <c r="D526" s="41">
        <f>4541.138727+0.225904*B526</f>
        <v/>
      </c>
      <c r="E526" s="42">
        <f>C526-D526</f>
        <v/>
      </c>
      <c r="F526" s="42">
        <f>(E526-F757)^2</f>
        <v/>
      </c>
      <c r="G526" s="41">
        <f>(E526-F757)^3</f>
        <v/>
      </c>
      <c r="H526" s="41">
        <f>(E526-F757)^4</f>
        <v/>
      </c>
      <c r="I526" s="40" t="n"/>
    </row>
    <row r="527" ht="15" customHeight="1" s="28">
      <c r="A527" s="37" t="n">
        <v>515</v>
      </c>
      <c r="B527" s="37" t="n">
        <v>514</v>
      </c>
      <c r="C527" s="38" t="n">
        <v>4704.64</v>
      </c>
      <c r="D527" s="38">
        <f>4541.138727+0.225904*B527</f>
        <v/>
      </c>
      <c r="E527" s="39">
        <f>C527-D527</f>
        <v/>
      </c>
      <c r="F527" s="39">
        <f>(E527-F757)^2</f>
        <v/>
      </c>
      <c r="G527" s="38">
        <f>(E527-F757)^3</f>
        <v/>
      </c>
      <c r="H527" s="38">
        <f>(E527-F757)^4</f>
        <v/>
      </c>
      <c r="I527" s="37" t="n"/>
    </row>
    <row r="528" ht="15" customHeight="1" s="28">
      <c r="A528" s="40" t="n">
        <v>516</v>
      </c>
      <c r="B528" s="40" t="n">
        <v>515</v>
      </c>
      <c r="C528" s="41" t="n">
        <v>4714.15</v>
      </c>
      <c r="D528" s="41">
        <f>4541.138727+0.225904*B528</f>
        <v/>
      </c>
      <c r="E528" s="42">
        <f>C528-D528</f>
        <v/>
      </c>
      <c r="F528" s="42">
        <f>(E528-F757)^2</f>
        <v/>
      </c>
      <c r="G528" s="41">
        <f>(E528-F757)^3</f>
        <v/>
      </c>
      <c r="H528" s="41">
        <f>(E528-F757)^4</f>
        <v/>
      </c>
      <c r="I528" s="40" t="n"/>
    </row>
    <row r="529" ht="15" customHeight="1" s="28">
      <c r="A529" s="37" t="n">
        <v>517</v>
      </c>
      <c r="B529" s="37" t="n">
        <v>516</v>
      </c>
      <c r="C529" s="38" t="n">
        <v>4718.25</v>
      </c>
      <c r="D529" s="38">
        <f>4541.138727+0.225904*B529</f>
        <v/>
      </c>
      <c r="E529" s="39">
        <f>C529-D529</f>
        <v/>
      </c>
      <c r="F529" s="39">
        <f>(E529-F757)^2</f>
        <v/>
      </c>
      <c r="G529" s="38">
        <f>(E529-F757)^3</f>
        <v/>
      </c>
      <c r="H529" s="38">
        <f>(E529-F757)^4</f>
        <v/>
      </c>
      <c r="I529" s="37" t="n"/>
    </row>
    <row r="530" ht="15" customHeight="1" s="28">
      <c r="A530" s="40" t="n">
        <v>518</v>
      </c>
      <c r="B530" s="40" t="n">
        <v>517</v>
      </c>
      <c r="C530" s="41" t="n">
        <v>4711.97</v>
      </c>
      <c r="D530" s="41">
        <f>4541.138727+0.225904*B530</f>
        <v/>
      </c>
      <c r="E530" s="42">
        <f>C530-D530</f>
        <v/>
      </c>
      <c r="F530" s="42">
        <f>(E530-F757)^2</f>
        <v/>
      </c>
      <c r="G530" s="41">
        <f>(E530-F757)^3</f>
        <v/>
      </c>
      <c r="H530" s="41">
        <f>(E530-F757)^4</f>
        <v/>
      </c>
      <c r="I530" s="40" t="n"/>
    </row>
    <row r="531" ht="15" customHeight="1" s="28">
      <c r="A531" s="37" t="n">
        <v>519</v>
      </c>
      <c r="B531" s="37" t="n">
        <v>518</v>
      </c>
      <c r="C531" s="38" t="n">
        <v>4705.6</v>
      </c>
      <c r="D531" s="38">
        <f>4541.138727+0.225904*B531</f>
        <v/>
      </c>
      <c r="E531" s="39">
        <f>C531-D531</f>
        <v/>
      </c>
      <c r="F531" s="39">
        <f>(E531-F757)^2</f>
        <v/>
      </c>
      <c r="G531" s="38">
        <f>(E531-F757)^3</f>
        <v/>
      </c>
      <c r="H531" s="38">
        <f>(E531-F757)^4</f>
        <v/>
      </c>
      <c r="I531" s="37" t="n"/>
    </row>
    <row r="532" ht="15" customHeight="1" s="28">
      <c r="A532" s="40" t="n">
        <v>520</v>
      </c>
      <c r="B532" s="40" t="n">
        <v>519</v>
      </c>
      <c r="C532" s="41" t="n">
        <v>4699.65</v>
      </c>
      <c r="D532" s="41">
        <f>4541.138727+0.225904*B532</f>
        <v/>
      </c>
      <c r="E532" s="42">
        <f>C532-D532</f>
        <v/>
      </c>
      <c r="F532" s="42">
        <f>(E532-F757)^2</f>
        <v/>
      </c>
      <c r="G532" s="41">
        <f>(E532-F757)^3</f>
        <v/>
      </c>
      <c r="H532" s="41">
        <f>(E532-F757)^4</f>
        <v/>
      </c>
      <c r="I532" s="40" t="n"/>
    </row>
    <row r="533" ht="15" customHeight="1" s="28">
      <c r="A533" s="37" t="n">
        <v>521</v>
      </c>
      <c r="B533" s="37" t="n">
        <v>520</v>
      </c>
      <c r="C533" s="38" t="n">
        <v>4692.11</v>
      </c>
      <c r="D533" s="38">
        <f>4541.138727+0.225904*B533</f>
        <v/>
      </c>
      <c r="E533" s="39">
        <f>C533-D533</f>
        <v/>
      </c>
      <c r="F533" s="39">
        <f>(E533-F757)^2</f>
        <v/>
      </c>
      <c r="G533" s="38">
        <f>(E533-F757)^3</f>
        <v/>
      </c>
      <c r="H533" s="38">
        <f>(E533-F757)^4</f>
        <v/>
      </c>
      <c r="I533" s="37" t="n"/>
    </row>
    <row r="534" ht="15" customHeight="1" s="28">
      <c r="A534" s="40" t="n">
        <v>522</v>
      </c>
      <c r="B534" s="40" t="n">
        <v>521</v>
      </c>
      <c r="C534" s="41" t="n">
        <v>4672.94</v>
      </c>
      <c r="D534" s="41">
        <f>4541.138727+0.225904*B534</f>
        <v/>
      </c>
      <c r="E534" s="42">
        <f>C534-D534</f>
        <v/>
      </c>
      <c r="F534" s="42">
        <f>(E534-F757)^2</f>
        <v/>
      </c>
      <c r="G534" s="41">
        <f>(E534-F757)^3</f>
        <v/>
      </c>
      <c r="H534" s="41">
        <f>(E534-F757)^4</f>
        <v/>
      </c>
      <c r="I534" s="40" t="n"/>
    </row>
    <row r="535" ht="15" customHeight="1" s="28">
      <c r="A535" s="37" t="n">
        <v>523</v>
      </c>
      <c r="B535" s="37" t="n">
        <v>522</v>
      </c>
      <c r="C535" s="38" t="n">
        <v>4683.36</v>
      </c>
      <c r="D535" s="38">
        <f>4541.138727+0.225904*B535</f>
        <v/>
      </c>
      <c r="E535" s="39">
        <f>C535-D535</f>
        <v/>
      </c>
      <c r="F535" s="39">
        <f>(E535-F757)^2</f>
        <v/>
      </c>
      <c r="G535" s="38">
        <f>(E535-F757)^3</f>
        <v/>
      </c>
      <c r="H535" s="38">
        <f>(E535-F757)^4</f>
        <v/>
      </c>
      <c r="I535" s="37" t="n"/>
    </row>
    <row r="536" ht="15" customHeight="1" s="28">
      <c r="A536" s="40" t="n">
        <v>524</v>
      </c>
      <c r="B536" s="40" t="n">
        <v>523</v>
      </c>
      <c r="C536" s="41" t="n">
        <v>4682.83</v>
      </c>
      <c r="D536" s="41">
        <f>4541.138727+0.225904*B536</f>
        <v/>
      </c>
      <c r="E536" s="42">
        <f>C536-D536</f>
        <v/>
      </c>
      <c r="F536" s="42">
        <f>(E536-F757)^2</f>
        <v/>
      </c>
      <c r="G536" s="41">
        <f>(E536-F757)^3</f>
        <v/>
      </c>
      <c r="H536" s="41">
        <f>(E536-F757)^4</f>
        <v/>
      </c>
      <c r="I536" s="40" t="n"/>
    </row>
    <row r="537" ht="15" customHeight="1" s="28">
      <c r="A537" s="37" t="n">
        <v>525</v>
      </c>
      <c r="B537" s="37" t="n">
        <v>524</v>
      </c>
      <c r="C537" s="38" t="n">
        <v>4683.36</v>
      </c>
      <c r="D537" s="38">
        <f>4541.138727+0.225904*B537</f>
        <v/>
      </c>
      <c r="E537" s="39">
        <f>C537-D537</f>
        <v/>
      </c>
      <c r="F537" s="39">
        <f>(E537-F757)^2</f>
        <v/>
      </c>
      <c r="G537" s="38">
        <f>(E537-F757)^3</f>
        <v/>
      </c>
      <c r="H537" s="38">
        <f>(E537-F757)^4</f>
        <v/>
      </c>
      <c r="I537" s="37" t="n"/>
    </row>
    <row r="538" ht="15" customHeight="1" s="28">
      <c r="A538" s="40" t="n">
        <v>526</v>
      </c>
      <c r="B538" s="40" t="n">
        <v>525</v>
      </c>
      <c r="C538" s="41" t="n">
        <v>4683.63</v>
      </c>
      <c r="D538" s="41">
        <f>4541.138727+0.225904*B538</f>
        <v/>
      </c>
      <c r="E538" s="42">
        <f>C538-D538</f>
        <v/>
      </c>
      <c r="F538" s="42">
        <f>(E538-F757)^2</f>
        <v/>
      </c>
      <c r="G538" s="41">
        <f>(E538-F757)^3</f>
        <v/>
      </c>
      <c r="H538" s="41">
        <f>(E538-F757)^4</f>
        <v/>
      </c>
      <c r="I538" s="40" t="n"/>
    </row>
    <row r="539" ht="15" customHeight="1" s="28">
      <c r="A539" s="37" t="n">
        <v>527</v>
      </c>
      <c r="B539" s="37" t="n">
        <v>526</v>
      </c>
      <c r="C539" s="38" t="n">
        <v>4685.16</v>
      </c>
      <c r="D539" s="38">
        <f>4541.138727+0.225904*B539</f>
        <v/>
      </c>
      <c r="E539" s="39">
        <f>C539-D539</f>
        <v/>
      </c>
      <c r="F539" s="39">
        <f>(E539-F757)^2</f>
        <v/>
      </c>
      <c r="G539" s="38">
        <f>(E539-F757)^3</f>
        <v/>
      </c>
      <c r="H539" s="38">
        <f>(E539-F757)^4</f>
        <v/>
      </c>
      <c r="I539" s="37" t="n"/>
    </row>
    <row r="540" ht="15" customHeight="1" s="28">
      <c r="A540" s="40" t="n">
        <v>528</v>
      </c>
      <c r="B540" s="40" t="n">
        <v>527</v>
      </c>
      <c r="C540" s="41" t="n">
        <v>4695.33</v>
      </c>
      <c r="D540" s="41">
        <f>4541.138727+0.225904*B540</f>
        <v/>
      </c>
      <c r="E540" s="42">
        <f>C540-D540</f>
        <v/>
      </c>
      <c r="F540" s="42">
        <f>(E540-F757)^2</f>
        <v/>
      </c>
      <c r="G540" s="41">
        <f>(E540-F757)^3</f>
        <v/>
      </c>
      <c r="H540" s="41">
        <f>(E540-F757)^4</f>
        <v/>
      </c>
      <c r="I540" s="40" t="n"/>
    </row>
    <row r="541" ht="15" customHeight="1" s="28">
      <c r="A541" s="37" t="n">
        <v>529</v>
      </c>
      <c r="B541" s="37" t="n">
        <v>528</v>
      </c>
      <c r="C541" s="38" t="n">
        <v>4702.21</v>
      </c>
      <c r="D541" s="38">
        <f>4541.138727+0.225904*B541</f>
        <v/>
      </c>
      <c r="E541" s="39">
        <f>C541-D541</f>
        <v/>
      </c>
      <c r="F541" s="39">
        <f>(E541-F757)^2</f>
        <v/>
      </c>
      <c r="G541" s="38">
        <f>(E541-F757)^3</f>
        <v/>
      </c>
      <c r="H541" s="38">
        <f>(E541-F757)^4</f>
        <v/>
      </c>
      <c r="I541" s="37" t="n"/>
    </row>
    <row r="542" ht="15" customHeight="1" s="28">
      <c r="A542" s="40" t="n">
        <v>530</v>
      </c>
      <c r="B542" s="40" t="n">
        <v>529</v>
      </c>
      <c r="C542" s="41" t="n">
        <v>4711.04</v>
      </c>
      <c r="D542" s="41">
        <f>4541.138727+0.225904*B542</f>
        <v/>
      </c>
      <c r="E542" s="42">
        <f>C542-D542</f>
        <v/>
      </c>
      <c r="F542" s="42">
        <f>(E542-F757)^2</f>
        <v/>
      </c>
      <c r="G542" s="41">
        <f>(E542-F757)^3</f>
        <v/>
      </c>
      <c r="H542" s="41">
        <f>(E542-F757)^4</f>
        <v/>
      </c>
      <c r="I542" s="40" t="n"/>
    </row>
    <row r="543" ht="15" customHeight="1" s="28">
      <c r="A543" s="37" t="n">
        <v>531</v>
      </c>
      <c r="B543" s="37" t="n">
        <v>530</v>
      </c>
      <c r="C543" s="38" t="n">
        <v>4705.66</v>
      </c>
      <c r="D543" s="38">
        <f>4541.138727+0.225904*B543</f>
        <v/>
      </c>
      <c r="E543" s="39">
        <f>C543-D543</f>
        <v/>
      </c>
      <c r="F543" s="39">
        <f>(E543-F757)^2</f>
        <v/>
      </c>
      <c r="G543" s="38">
        <f>(E543-F757)^3</f>
        <v/>
      </c>
      <c r="H543" s="38">
        <f>(E543-F757)^4</f>
        <v/>
      </c>
      <c r="I543" s="37" t="n"/>
    </row>
    <row r="544" ht="15" customHeight="1" s="28">
      <c r="A544" s="40" t="n">
        <v>532</v>
      </c>
      <c r="B544" s="40" t="n">
        <v>531</v>
      </c>
      <c r="C544" s="41" t="n">
        <v>4713.4</v>
      </c>
      <c r="D544" s="41">
        <f>4541.138727+0.225904*B544</f>
        <v/>
      </c>
      <c r="E544" s="42">
        <f>C544-D544</f>
        <v/>
      </c>
      <c r="F544" s="42">
        <f>(E544-F757)^2</f>
        <v/>
      </c>
      <c r="G544" s="41">
        <f>(E544-F757)^3</f>
        <v/>
      </c>
      <c r="H544" s="41">
        <f>(E544-F757)^4</f>
        <v/>
      </c>
      <c r="I544" s="40" t="n"/>
    </row>
    <row r="545" ht="15" customHeight="1" s="28">
      <c r="A545" s="37" t="n">
        <v>533</v>
      </c>
      <c r="B545" s="37" t="n">
        <v>532</v>
      </c>
      <c r="C545" s="38" t="n">
        <v>4703.14</v>
      </c>
      <c r="D545" s="38">
        <f>4541.138727+0.225904*B545</f>
        <v/>
      </c>
      <c r="E545" s="39">
        <f>C545-D545</f>
        <v/>
      </c>
      <c r="F545" s="39">
        <f>(E545-F757)^2</f>
        <v/>
      </c>
      <c r="G545" s="38">
        <f>(E545-F757)^3</f>
        <v/>
      </c>
      <c r="H545" s="38">
        <f>(E545-F757)^4</f>
        <v/>
      </c>
      <c r="I545" s="37" t="n"/>
    </row>
    <row r="546" ht="15" customHeight="1" s="28">
      <c r="A546" s="40" t="n">
        <v>534</v>
      </c>
      <c r="B546" s="40" t="n">
        <v>533</v>
      </c>
      <c r="C546" s="41" t="n">
        <v>4696.47</v>
      </c>
      <c r="D546" s="41">
        <f>4541.138727+0.225904*B546</f>
        <v/>
      </c>
      <c r="E546" s="42">
        <f>C546-D546</f>
        <v/>
      </c>
      <c r="F546" s="42">
        <f>(E546-F757)^2</f>
        <v/>
      </c>
      <c r="G546" s="41">
        <f>(E546-F757)^3</f>
        <v/>
      </c>
      <c r="H546" s="41">
        <f>(E546-F757)^4</f>
        <v/>
      </c>
      <c r="I546" s="40" t="n"/>
    </row>
    <row r="547" ht="15" customHeight="1" s="28">
      <c r="A547" s="37" t="n">
        <v>535</v>
      </c>
      <c r="B547" s="37" t="n">
        <v>534</v>
      </c>
      <c r="C547" s="38" t="n">
        <v>4695.45</v>
      </c>
      <c r="D547" s="38">
        <f>4541.138727+0.225904*B547</f>
        <v/>
      </c>
      <c r="E547" s="39">
        <f>C547-D547</f>
        <v/>
      </c>
      <c r="F547" s="39">
        <f>(E547-F757)^2</f>
        <v/>
      </c>
      <c r="G547" s="38">
        <f>(E547-F757)^3</f>
        <v/>
      </c>
      <c r="H547" s="38">
        <f>(E547-F757)^4</f>
        <v/>
      </c>
      <c r="I547" s="37" t="n"/>
    </row>
    <row r="548" ht="15" customHeight="1" s="28">
      <c r="A548" s="40" t="n">
        <v>536</v>
      </c>
      <c r="B548" s="40" t="n">
        <v>535</v>
      </c>
      <c r="C548" s="41" t="n">
        <v>4692.77</v>
      </c>
      <c r="D548" s="41">
        <f>4541.138727+0.225904*B548</f>
        <v/>
      </c>
      <c r="E548" s="42">
        <f>C548-D548</f>
        <v/>
      </c>
      <c r="F548" s="42">
        <f>(E548-F757)^2</f>
        <v/>
      </c>
      <c r="G548" s="41">
        <f>(E548-F757)^3</f>
        <v/>
      </c>
      <c r="H548" s="41">
        <f>(E548-F757)^4</f>
        <v/>
      </c>
      <c r="I548" s="40" t="n"/>
    </row>
    <row r="549" ht="15" customHeight="1" s="28">
      <c r="A549" s="37" t="n">
        <v>537</v>
      </c>
      <c r="B549" s="37" t="n">
        <v>536</v>
      </c>
      <c r="C549" s="38" t="n">
        <v>4687.96</v>
      </c>
      <c r="D549" s="38">
        <f>4541.138727+0.225904*B549</f>
        <v/>
      </c>
      <c r="E549" s="39">
        <f>C549-D549</f>
        <v/>
      </c>
      <c r="F549" s="39">
        <f>(E549-F757)^2</f>
        <v/>
      </c>
      <c r="G549" s="38">
        <f>(E549-F757)^3</f>
        <v/>
      </c>
      <c r="H549" s="38">
        <f>(E549-F757)^4</f>
        <v/>
      </c>
      <c r="I549" s="37" t="n"/>
    </row>
    <row r="550" ht="15" customHeight="1" s="28">
      <c r="A550" s="40" t="n">
        <v>538</v>
      </c>
      <c r="B550" s="40" t="n">
        <v>537</v>
      </c>
      <c r="C550" s="41" t="n">
        <v>4683.69</v>
      </c>
      <c r="D550" s="41">
        <f>4541.138727+0.225904*B550</f>
        <v/>
      </c>
      <c r="E550" s="42">
        <f>C550-D550</f>
        <v/>
      </c>
      <c r="F550" s="42">
        <f>(E550-F757)^2</f>
        <v/>
      </c>
      <c r="G550" s="41">
        <f>(E550-F757)^3</f>
        <v/>
      </c>
      <c r="H550" s="41">
        <f>(E550-F757)^4</f>
        <v/>
      </c>
      <c r="I550" s="40" t="n"/>
    </row>
    <row r="551" ht="15" customHeight="1" s="28">
      <c r="A551" s="37" t="n">
        <v>539</v>
      </c>
      <c r="B551" s="37" t="n">
        <v>538</v>
      </c>
      <c r="C551" s="38" t="n">
        <v>4688.15</v>
      </c>
      <c r="D551" s="38">
        <f>4541.138727+0.225904*B551</f>
        <v/>
      </c>
      <c r="E551" s="39">
        <f>C551-D551</f>
        <v/>
      </c>
      <c r="F551" s="39">
        <f>(E551-F757)^2</f>
        <v/>
      </c>
      <c r="G551" s="38">
        <f>(E551-F757)^3</f>
        <v/>
      </c>
      <c r="H551" s="38">
        <f>(E551-F757)^4</f>
        <v/>
      </c>
      <c r="I551" s="37" t="n"/>
    </row>
    <row r="552" ht="15" customHeight="1" s="28">
      <c r="A552" s="40" t="n">
        <v>540</v>
      </c>
      <c r="B552" s="40" t="n">
        <v>539</v>
      </c>
      <c r="C552" s="41" t="n">
        <v>4688.73</v>
      </c>
      <c r="D552" s="41">
        <f>4541.138727+0.225904*B552</f>
        <v/>
      </c>
      <c r="E552" s="42">
        <f>C552-D552</f>
        <v/>
      </c>
      <c r="F552" s="42">
        <f>(E552-F757)^2</f>
        <v/>
      </c>
      <c r="G552" s="41">
        <f>(E552-F757)^3</f>
        <v/>
      </c>
      <c r="H552" s="41">
        <f>(E552-F757)^4</f>
        <v/>
      </c>
      <c r="I552" s="40" t="n"/>
    </row>
    <row r="553" ht="15" customHeight="1" s="28">
      <c r="A553" s="37" t="n">
        <v>541</v>
      </c>
      <c r="B553" s="37" t="n">
        <v>540</v>
      </c>
      <c r="C553" s="38" t="n">
        <v>4683.1</v>
      </c>
      <c r="D553" s="38">
        <f>4541.138727+0.225904*B553</f>
        <v/>
      </c>
      <c r="E553" s="39">
        <f>C553-D553</f>
        <v/>
      </c>
      <c r="F553" s="39">
        <f>(E553-F757)^2</f>
        <v/>
      </c>
      <c r="G553" s="38">
        <f>(E553-F757)^3</f>
        <v/>
      </c>
      <c r="H553" s="38">
        <f>(E553-F757)^4</f>
        <v/>
      </c>
      <c r="I553" s="37" t="n"/>
    </row>
    <row r="554" ht="15" customHeight="1" s="28">
      <c r="A554" s="40" t="n">
        <v>542</v>
      </c>
      <c r="B554" s="40" t="n">
        <v>541</v>
      </c>
      <c r="C554" s="41" t="n">
        <v>4685.62</v>
      </c>
      <c r="D554" s="41">
        <f>4541.138727+0.225904*B554</f>
        <v/>
      </c>
      <c r="E554" s="42">
        <f>C554-D554</f>
        <v/>
      </c>
      <c r="F554" s="42">
        <f>(E554-F757)^2</f>
        <v/>
      </c>
      <c r="G554" s="41">
        <f>(E554-F757)^3</f>
        <v/>
      </c>
      <c r="H554" s="41">
        <f>(E554-F757)^4</f>
        <v/>
      </c>
      <c r="I554" s="40" t="n"/>
    </row>
    <row r="555" ht="15" customHeight="1" s="28">
      <c r="A555" s="37" t="n">
        <v>543</v>
      </c>
      <c r="B555" s="37" t="n">
        <v>542</v>
      </c>
      <c r="C555" s="38" t="n">
        <v>4683.1</v>
      </c>
      <c r="D555" s="38">
        <f>4541.138727+0.225904*B555</f>
        <v/>
      </c>
      <c r="E555" s="39">
        <f>C555-D555</f>
        <v/>
      </c>
      <c r="F555" s="39">
        <f>(E555-F757)^2</f>
        <v/>
      </c>
      <c r="G555" s="38">
        <f>(E555-F757)^3</f>
        <v/>
      </c>
      <c r="H555" s="38">
        <f>(E555-F757)^4</f>
        <v/>
      </c>
      <c r="I555" s="37" t="n"/>
    </row>
    <row r="556" ht="15" customHeight="1" s="28">
      <c r="A556" s="40" t="n">
        <v>544</v>
      </c>
      <c r="B556" s="40" t="n">
        <v>543</v>
      </c>
      <c r="C556" s="41" t="n">
        <v>4680.64</v>
      </c>
      <c r="D556" s="41">
        <f>4541.138727+0.225904*B556</f>
        <v/>
      </c>
      <c r="E556" s="42">
        <f>C556-D556</f>
        <v/>
      </c>
      <c r="F556" s="42">
        <f>(E556-F757)^2</f>
        <v/>
      </c>
      <c r="G556" s="41">
        <f>(E556-F757)^3</f>
        <v/>
      </c>
      <c r="H556" s="41">
        <f>(E556-F757)^4</f>
        <v/>
      </c>
      <c r="I556" s="40" t="n"/>
    </row>
    <row r="557" ht="15" customHeight="1" s="28">
      <c r="A557" s="37" t="n">
        <v>545</v>
      </c>
      <c r="B557" s="37" t="n">
        <v>544</v>
      </c>
      <c r="C557" s="38" t="n">
        <v>4684.13</v>
      </c>
      <c r="D557" s="38">
        <f>4541.138727+0.225904*B557</f>
        <v/>
      </c>
      <c r="E557" s="39">
        <f>C557-D557</f>
        <v/>
      </c>
      <c r="F557" s="39">
        <f>(E557-F757)^2</f>
        <v/>
      </c>
      <c r="G557" s="38">
        <f>(E557-F757)^3</f>
        <v/>
      </c>
      <c r="H557" s="38">
        <f>(E557-F757)^4</f>
        <v/>
      </c>
      <c r="I557" s="37" t="n"/>
    </row>
    <row r="558" ht="15" customHeight="1" s="28">
      <c r="A558" s="40" t="n">
        <v>546</v>
      </c>
      <c r="B558" s="40" t="n">
        <v>545</v>
      </c>
      <c r="C558" s="41" t="n">
        <v>4686.79</v>
      </c>
      <c r="D558" s="41">
        <f>4541.138727+0.225904*B558</f>
        <v/>
      </c>
      <c r="E558" s="42">
        <f>C558-D558</f>
        <v/>
      </c>
      <c r="F558" s="42">
        <f>(E558-F757)^2</f>
        <v/>
      </c>
      <c r="G558" s="41">
        <f>(E558-F757)^3</f>
        <v/>
      </c>
      <c r="H558" s="41">
        <f>(E558-F757)^4</f>
        <v/>
      </c>
      <c r="I558" s="40" t="n"/>
    </row>
    <row r="559" ht="15" customHeight="1" s="28">
      <c r="A559" s="37" t="n">
        <v>547</v>
      </c>
      <c r="B559" s="37" t="n">
        <v>546</v>
      </c>
      <c r="C559" s="38" t="n">
        <v>4687.85</v>
      </c>
      <c r="D559" s="38">
        <f>4541.138727+0.225904*B559</f>
        <v/>
      </c>
      <c r="E559" s="39">
        <f>C559-D559</f>
        <v/>
      </c>
      <c r="F559" s="39">
        <f>(E559-F757)^2</f>
        <v/>
      </c>
      <c r="G559" s="38">
        <f>(E559-F757)^3</f>
        <v/>
      </c>
      <c r="H559" s="38">
        <f>(E559-F757)^4</f>
        <v/>
      </c>
      <c r="I559" s="37" t="n"/>
    </row>
    <row r="560" ht="15" customHeight="1" s="28">
      <c r="A560" s="40" t="n">
        <v>548</v>
      </c>
      <c r="B560" s="40" t="n">
        <v>547</v>
      </c>
      <c r="C560" s="41" t="n">
        <v>4686.27</v>
      </c>
      <c r="D560" s="41">
        <f>4541.138727+0.225904*B560</f>
        <v/>
      </c>
      <c r="E560" s="42">
        <f>C560-D560</f>
        <v/>
      </c>
      <c r="F560" s="42">
        <f>(E560-F757)^2</f>
        <v/>
      </c>
      <c r="G560" s="41">
        <f>(E560-F757)^3</f>
        <v/>
      </c>
      <c r="H560" s="41">
        <f>(E560-F757)^4</f>
        <v/>
      </c>
      <c r="I560" s="40" t="n"/>
    </row>
    <row r="561" ht="15" customHeight="1" s="28">
      <c r="A561" s="37" t="n">
        <v>549</v>
      </c>
      <c r="B561" s="37" t="n">
        <v>548</v>
      </c>
      <c r="C561" s="38" t="n">
        <v>4686.1</v>
      </c>
      <c r="D561" s="38">
        <f>4541.138727+0.225904*B561</f>
        <v/>
      </c>
      <c r="E561" s="39">
        <f>C561-D561</f>
        <v/>
      </c>
      <c r="F561" s="39">
        <f>(E561-F757)^2</f>
        <v/>
      </c>
      <c r="G561" s="38">
        <f>(E561-F757)^3</f>
        <v/>
      </c>
      <c r="H561" s="38">
        <f>(E561-F757)^4</f>
        <v/>
      </c>
      <c r="I561" s="37" t="n"/>
    </row>
    <row r="562" ht="15" customHeight="1" s="28">
      <c r="A562" s="40" t="n">
        <v>550</v>
      </c>
      <c r="B562" s="40" t="n">
        <v>549</v>
      </c>
      <c r="C562" s="41" t="n">
        <v>4695.28</v>
      </c>
      <c r="D562" s="41">
        <f>4541.138727+0.225904*B562</f>
        <v/>
      </c>
      <c r="E562" s="42">
        <f>C562-D562</f>
        <v/>
      </c>
      <c r="F562" s="42">
        <f>(E562-F757)^2</f>
        <v/>
      </c>
      <c r="G562" s="41">
        <f>(E562-F757)^3</f>
        <v/>
      </c>
      <c r="H562" s="41">
        <f>(E562-F757)^4</f>
        <v/>
      </c>
      <c r="I562" s="40" t="n"/>
    </row>
    <row r="563" ht="15" customHeight="1" s="28">
      <c r="A563" s="37" t="n">
        <v>551</v>
      </c>
      <c r="B563" s="37" t="n">
        <v>550</v>
      </c>
      <c r="C563" s="38" t="n">
        <v>4698.51</v>
      </c>
      <c r="D563" s="38">
        <f>4541.138727+0.225904*B563</f>
        <v/>
      </c>
      <c r="E563" s="39">
        <f>C563-D563</f>
        <v/>
      </c>
      <c r="F563" s="39">
        <f>(E563-F757)^2</f>
        <v/>
      </c>
      <c r="G563" s="38">
        <f>(E563-F757)^3</f>
        <v/>
      </c>
      <c r="H563" s="38">
        <f>(E563-F757)^4</f>
        <v/>
      </c>
      <c r="I563" s="37" t="n"/>
    </row>
    <row r="564" ht="15" customHeight="1" s="28">
      <c r="A564" s="40" t="n">
        <v>552</v>
      </c>
      <c r="B564" s="40" t="n">
        <v>551</v>
      </c>
      <c r="C564" s="41" t="n">
        <v>4695.4</v>
      </c>
      <c r="D564" s="41">
        <f>4541.138727+0.225904*B564</f>
        <v/>
      </c>
      <c r="E564" s="42">
        <f>C564-D564</f>
        <v/>
      </c>
      <c r="F564" s="42">
        <f>(E564-F757)^2</f>
        <v/>
      </c>
      <c r="G564" s="41">
        <f>(E564-F757)^3</f>
        <v/>
      </c>
      <c r="H564" s="41">
        <f>(E564-F757)^4</f>
        <v/>
      </c>
      <c r="I564" s="40" t="n"/>
    </row>
    <row r="565" ht="15" customHeight="1" s="28">
      <c r="A565" s="37" t="n">
        <v>553</v>
      </c>
      <c r="B565" s="37" t="n">
        <v>552</v>
      </c>
      <c r="C565" s="38" t="n">
        <v>4692.6</v>
      </c>
      <c r="D565" s="38">
        <f>4541.138727+0.225904*B565</f>
        <v/>
      </c>
      <c r="E565" s="39">
        <f>C565-D565</f>
        <v/>
      </c>
      <c r="F565" s="39">
        <f>(E565-F757)^2</f>
        <v/>
      </c>
      <c r="G565" s="38">
        <f>(E565-F757)^3</f>
        <v/>
      </c>
      <c r="H565" s="38">
        <f>(E565-F757)^4</f>
        <v/>
      </c>
      <c r="I565" s="37" t="n"/>
    </row>
    <row r="566" ht="15" customHeight="1" s="28">
      <c r="A566" s="40" t="n">
        <v>554</v>
      </c>
      <c r="B566" s="40" t="n">
        <v>553</v>
      </c>
      <c r="C566" s="41" t="n">
        <v>4698.99</v>
      </c>
      <c r="D566" s="41">
        <f>4541.138727+0.225904*B566</f>
        <v/>
      </c>
      <c r="E566" s="42">
        <f>C566-D566</f>
        <v/>
      </c>
      <c r="F566" s="42">
        <f>(E566-F757)^2</f>
        <v/>
      </c>
      <c r="G566" s="41">
        <f>(E566-F757)^3</f>
        <v/>
      </c>
      <c r="H566" s="41">
        <f>(E566-F757)^4</f>
        <v/>
      </c>
      <c r="I566" s="40" t="n"/>
    </row>
    <row r="567" ht="15" customHeight="1" s="28">
      <c r="A567" s="37" t="n">
        <v>555</v>
      </c>
      <c r="B567" s="37" t="n">
        <v>554</v>
      </c>
      <c r="C567" s="38" t="n">
        <v>4692.65</v>
      </c>
      <c r="D567" s="38">
        <f>4541.138727+0.225904*B567</f>
        <v/>
      </c>
      <c r="E567" s="39">
        <f>C567-D567</f>
        <v/>
      </c>
      <c r="F567" s="39">
        <f>(E567-F757)^2</f>
        <v/>
      </c>
      <c r="G567" s="38">
        <f>(E567-F757)^3</f>
        <v/>
      </c>
      <c r="H567" s="38">
        <f>(E567-F757)^4</f>
        <v/>
      </c>
      <c r="I567" s="37" t="n"/>
    </row>
    <row r="568" ht="15" customHeight="1" s="28">
      <c r="A568" s="40" t="n">
        <v>556</v>
      </c>
      <c r="B568" s="40" t="n">
        <v>555</v>
      </c>
      <c r="C568" s="41" t="n">
        <v>4689.09</v>
      </c>
      <c r="D568" s="41">
        <f>4541.138727+0.225904*B568</f>
        <v/>
      </c>
      <c r="E568" s="42">
        <f>C568-D568</f>
        <v/>
      </c>
      <c r="F568" s="42">
        <f>(E568-F757)^2</f>
        <v/>
      </c>
      <c r="G568" s="41">
        <f>(E568-F757)^3</f>
        <v/>
      </c>
      <c r="H568" s="41">
        <f>(E568-F757)^4</f>
        <v/>
      </c>
      <c r="I568" s="40" t="n"/>
    </row>
    <row r="569" ht="15" customHeight="1" s="28">
      <c r="A569" s="37" t="n">
        <v>557</v>
      </c>
      <c r="B569" s="37" t="n">
        <v>556</v>
      </c>
      <c r="C569" s="38" t="n">
        <v>4690.95</v>
      </c>
      <c r="D569" s="38">
        <f>4541.138727+0.225904*B569</f>
        <v/>
      </c>
      <c r="E569" s="39">
        <f>C569-D569</f>
        <v/>
      </c>
      <c r="F569" s="39">
        <f>(E569-F757)^2</f>
        <v/>
      </c>
      <c r="G569" s="38">
        <f>(E569-F757)^3</f>
        <v/>
      </c>
      <c r="H569" s="38">
        <f>(E569-F757)^4</f>
        <v/>
      </c>
      <c r="I569" s="37" t="n"/>
    </row>
    <row r="570" ht="15" customHeight="1" s="28">
      <c r="A570" s="40" t="n">
        <v>558</v>
      </c>
      <c r="B570" s="40" t="n">
        <v>557</v>
      </c>
      <c r="C570" s="41" t="n">
        <v>4697.18</v>
      </c>
      <c r="D570" s="41">
        <f>4541.138727+0.225904*B570</f>
        <v/>
      </c>
      <c r="E570" s="42">
        <f>C570-D570</f>
        <v/>
      </c>
      <c r="F570" s="42">
        <f>(E570-F757)^2</f>
        <v/>
      </c>
      <c r="G570" s="41">
        <f>(E570-F757)^3</f>
        <v/>
      </c>
      <c r="H570" s="41">
        <f>(E570-F757)^4</f>
        <v/>
      </c>
      <c r="I570" s="40" t="n"/>
    </row>
    <row r="571" ht="15" customHeight="1" s="28">
      <c r="A571" s="37" t="n">
        <v>559</v>
      </c>
      <c r="B571" s="37" t="n">
        <v>558</v>
      </c>
      <c r="C571" s="38" t="n">
        <v>4695.42</v>
      </c>
      <c r="D571" s="38">
        <f>4541.138727+0.225904*B571</f>
        <v/>
      </c>
      <c r="E571" s="39">
        <f>C571-D571</f>
        <v/>
      </c>
      <c r="F571" s="39">
        <f>(E571-F757)^2</f>
        <v/>
      </c>
      <c r="G571" s="38">
        <f>(E571-F757)^3</f>
        <v/>
      </c>
      <c r="H571" s="38">
        <f>(E571-F757)^4</f>
        <v/>
      </c>
      <c r="I571" s="37" t="n"/>
    </row>
    <row r="572" ht="15" customHeight="1" s="28">
      <c r="A572" s="40" t="n">
        <v>560</v>
      </c>
      <c r="B572" s="40" t="n">
        <v>559</v>
      </c>
      <c r="C572" s="41" t="n">
        <v>4698.63</v>
      </c>
      <c r="D572" s="41">
        <f>4541.138727+0.225904*B572</f>
        <v/>
      </c>
      <c r="E572" s="42">
        <f>C572-D572</f>
        <v/>
      </c>
      <c r="F572" s="42">
        <f>(E572-F757)^2</f>
        <v/>
      </c>
      <c r="G572" s="41">
        <f>(E572-F757)^3</f>
        <v/>
      </c>
      <c r="H572" s="41">
        <f>(E572-F757)^4</f>
        <v/>
      </c>
      <c r="I572" s="40" t="n"/>
    </row>
    <row r="573" ht="15" customHeight="1" s="28">
      <c r="A573" s="37" t="n">
        <v>561</v>
      </c>
      <c r="B573" s="37" t="n">
        <v>560</v>
      </c>
      <c r="C573" s="38" t="n">
        <v>4694.94</v>
      </c>
      <c r="D573" s="38">
        <f>4541.138727+0.225904*B573</f>
        <v/>
      </c>
      <c r="E573" s="39">
        <f>C573-D573</f>
        <v/>
      </c>
      <c r="F573" s="39">
        <f>(E573-F757)^2</f>
        <v/>
      </c>
      <c r="G573" s="38">
        <f>(E573-F757)^3</f>
        <v/>
      </c>
      <c r="H573" s="38">
        <f>(E573-F757)^4</f>
        <v/>
      </c>
      <c r="I573" s="37" t="n"/>
    </row>
    <row r="574" ht="15" customHeight="1" s="28">
      <c r="A574" s="40" t="n">
        <v>562</v>
      </c>
      <c r="B574" s="40" t="n">
        <v>561</v>
      </c>
      <c r="C574" s="41" t="n">
        <v>4694.41</v>
      </c>
      <c r="D574" s="41">
        <f>4541.138727+0.225904*B574</f>
        <v/>
      </c>
      <c r="E574" s="42">
        <f>C574-D574</f>
        <v/>
      </c>
      <c r="F574" s="42">
        <f>(E574-F757)^2</f>
        <v/>
      </c>
      <c r="G574" s="41">
        <f>(E574-F757)^3</f>
        <v/>
      </c>
      <c r="H574" s="41">
        <f>(E574-F757)^4</f>
        <v/>
      </c>
      <c r="I574" s="40" t="n"/>
    </row>
    <row r="575" ht="15" customHeight="1" s="28">
      <c r="A575" s="37" t="n">
        <v>563</v>
      </c>
      <c r="B575" s="37" t="n">
        <v>562</v>
      </c>
      <c r="C575" s="38" t="n">
        <v>4693.6</v>
      </c>
      <c r="D575" s="38">
        <f>4541.138727+0.225904*B575</f>
        <v/>
      </c>
      <c r="E575" s="39">
        <f>C575-D575</f>
        <v/>
      </c>
      <c r="F575" s="39">
        <f>(E575-F757)^2</f>
        <v/>
      </c>
      <c r="G575" s="38">
        <f>(E575-F757)^3</f>
        <v/>
      </c>
      <c r="H575" s="38">
        <f>(E575-F757)^4</f>
        <v/>
      </c>
      <c r="I575" s="37" t="n"/>
    </row>
    <row r="576" ht="15" customHeight="1" s="28">
      <c r="A576" s="40" t="n">
        <v>564</v>
      </c>
      <c r="B576" s="40" t="n">
        <v>563</v>
      </c>
      <c r="C576" s="41" t="n">
        <v>4693.6</v>
      </c>
      <c r="D576" s="41">
        <f>4541.138727+0.225904*B576</f>
        <v/>
      </c>
      <c r="E576" s="42">
        <f>C576-D576</f>
        <v/>
      </c>
      <c r="F576" s="42">
        <f>(E576-F757)^2</f>
        <v/>
      </c>
      <c r="G576" s="41">
        <f>(E576-F757)^3</f>
        <v/>
      </c>
      <c r="H576" s="41">
        <f>(E576-F757)^4</f>
        <v/>
      </c>
      <c r="I576" s="40" t="n"/>
    </row>
    <row r="577" ht="15" customHeight="1" s="28">
      <c r="A577" s="37" t="n">
        <v>565</v>
      </c>
      <c r="B577" s="37" t="n">
        <v>564</v>
      </c>
      <c r="C577" s="38" t="n">
        <v>4699</v>
      </c>
      <c r="D577" s="38">
        <f>4541.138727+0.225904*B577</f>
        <v/>
      </c>
      <c r="E577" s="39">
        <f>C577-D577</f>
        <v/>
      </c>
      <c r="F577" s="39">
        <f>(E577-F757)^2</f>
        <v/>
      </c>
      <c r="G577" s="38">
        <f>(E577-F757)^3</f>
        <v/>
      </c>
      <c r="H577" s="38">
        <f>(E577-F757)^4</f>
        <v/>
      </c>
      <c r="I577" s="37" t="n"/>
    </row>
    <row r="578" ht="15" customHeight="1" s="28">
      <c r="A578" s="40" t="n">
        <v>566</v>
      </c>
      <c r="B578" s="40" t="n">
        <v>565</v>
      </c>
      <c r="C578" s="41" t="n">
        <v>4699.88</v>
      </c>
      <c r="D578" s="41">
        <f>4541.138727+0.225904*B578</f>
        <v/>
      </c>
      <c r="E578" s="42">
        <f>C578-D578</f>
        <v/>
      </c>
      <c r="F578" s="42">
        <f>(E578-F757)^2</f>
        <v/>
      </c>
      <c r="G578" s="41">
        <f>(E578-F757)^3</f>
        <v/>
      </c>
      <c r="H578" s="41">
        <f>(E578-F757)^4</f>
        <v/>
      </c>
      <c r="I578" s="40" t="n"/>
    </row>
    <row r="579" ht="15" customHeight="1" s="28">
      <c r="A579" s="37" t="n">
        <v>567</v>
      </c>
      <c r="B579" s="37" t="n">
        <v>566</v>
      </c>
      <c r="C579" s="38" t="n">
        <v>4692.51</v>
      </c>
      <c r="D579" s="38">
        <f>4541.138727+0.225904*B579</f>
        <v/>
      </c>
      <c r="E579" s="39">
        <f>C579-D579</f>
        <v/>
      </c>
      <c r="F579" s="39">
        <f>(E579-F757)^2</f>
        <v/>
      </c>
      <c r="G579" s="38">
        <f>(E579-F757)^3</f>
        <v/>
      </c>
      <c r="H579" s="38">
        <f>(E579-F757)^4</f>
        <v/>
      </c>
      <c r="I579" s="37" t="n"/>
    </row>
    <row r="580" ht="15" customHeight="1" s="28">
      <c r="A580" s="40" t="n">
        <v>568</v>
      </c>
      <c r="B580" s="40" t="n">
        <v>567</v>
      </c>
      <c r="C580" s="41" t="n">
        <v>4688.45</v>
      </c>
      <c r="D580" s="41">
        <f>4541.138727+0.225904*B580</f>
        <v/>
      </c>
      <c r="E580" s="42">
        <f>C580-D580</f>
        <v/>
      </c>
      <c r="F580" s="42">
        <f>(E580-F757)^2</f>
        <v/>
      </c>
      <c r="G580" s="41">
        <f>(E580-F757)^3</f>
        <v/>
      </c>
      <c r="H580" s="41">
        <f>(E580-F757)^4</f>
        <v/>
      </c>
      <c r="I580" s="40" t="n"/>
    </row>
    <row r="581" ht="15" customHeight="1" s="28">
      <c r="A581" s="37" t="n">
        <v>569</v>
      </c>
      <c r="B581" s="37" t="n">
        <v>568</v>
      </c>
      <c r="C581" s="38" t="n">
        <v>4688.57</v>
      </c>
      <c r="D581" s="38">
        <f>4541.138727+0.225904*B581</f>
        <v/>
      </c>
      <c r="E581" s="39">
        <f>C581-D581</f>
        <v/>
      </c>
      <c r="F581" s="39">
        <f>(E581-F757)^2</f>
        <v/>
      </c>
      <c r="G581" s="38">
        <f>(E581-F757)^3</f>
        <v/>
      </c>
      <c r="H581" s="38">
        <f>(E581-F757)^4</f>
        <v/>
      </c>
      <c r="I581" s="37" t="n"/>
    </row>
    <row r="582" ht="15" customHeight="1" s="28">
      <c r="A582" s="40" t="n">
        <v>570</v>
      </c>
      <c r="B582" s="40" t="n">
        <v>569</v>
      </c>
      <c r="C582" s="41" t="n">
        <v>4709.88</v>
      </c>
      <c r="D582" s="41">
        <f>4541.138727+0.225904*B582</f>
        <v/>
      </c>
      <c r="E582" s="42">
        <f>C582-D582</f>
        <v/>
      </c>
      <c r="F582" s="42">
        <f>(E582-F757)^2</f>
        <v/>
      </c>
      <c r="G582" s="41">
        <f>(E582-F757)^3</f>
        <v/>
      </c>
      <c r="H582" s="41">
        <f>(E582-F757)^4</f>
        <v/>
      </c>
      <c r="I582" s="40" t="n"/>
    </row>
    <row r="583" ht="15" customHeight="1" s="28">
      <c r="A583" s="37" t="n">
        <v>571</v>
      </c>
      <c r="B583" s="37" t="n">
        <v>570</v>
      </c>
      <c r="C583" s="38" t="n">
        <v>4704.22</v>
      </c>
      <c r="D583" s="38">
        <f>4541.138727+0.225904*B583</f>
        <v/>
      </c>
      <c r="E583" s="39">
        <f>C583-D583</f>
        <v/>
      </c>
      <c r="F583" s="39">
        <f>(E583-F757)^2</f>
        <v/>
      </c>
      <c r="G583" s="38">
        <f>(E583-F757)^3</f>
        <v/>
      </c>
      <c r="H583" s="38">
        <f>(E583-F757)^4</f>
        <v/>
      </c>
      <c r="I583" s="37" t="n"/>
    </row>
    <row r="584" ht="15" customHeight="1" s="28">
      <c r="A584" s="40" t="n">
        <v>572</v>
      </c>
      <c r="B584" s="40" t="n">
        <v>571</v>
      </c>
      <c r="C584" s="41" t="n">
        <v>4712.93</v>
      </c>
      <c r="D584" s="41">
        <f>4541.138727+0.225904*B584</f>
        <v/>
      </c>
      <c r="E584" s="42">
        <f>C584-D584</f>
        <v/>
      </c>
      <c r="F584" s="42">
        <f>(E584-F757)^2</f>
        <v/>
      </c>
      <c r="G584" s="41">
        <f>(E584-F757)^3</f>
        <v/>
      </c>
      <c r="H584" s="41">
        <f>(E584-F757)^4</f>
        <v/>
      </c>
      <c r="I584" s="40" t="n"/>
    </row>
    <row r="585" ht="15" customHeight="1" s="28">
      <c r="A585" s="37" t="n">
        <v>573</v>
      </c>
      <c r="B585" s="37" t="n">
        <v>572</v>
      </c>
      <c r="C585" s="38" t="n">
        <v>4714.86</v>
      </c>
      <c r="D585" s="38">
        <f>4541.138727+0.225904*B585</f>
        <v/>
      </c>
      <c r="E585" s="39">
        <f>C585-D585</f>
        <v/>
      </c>
      <c r="F585" s="39">
        <f>(E585-F757)^2</f>
        <v/>
      </c>
      <c r="G585" s="38">
        <f>(E585-F757)^3</f>
        <v/>
      </c>
      <c r="H585" s="38">
        <f>(E585-F757)^4</f>
        <v/>
      </c>
      <c r="I585" s="37" t="n"/>
    </row>
    <row r="586" ht="15" customHeight="1" s="28">
      <c r="A586" s="40" t="n">
        <v>574</v>
      </c>
      <c r="B586" s="40" t="n">
        <v>573</v>
      </c>
      <c r="C586" s="41" t="n">
        <v>4704.21</v>
      </c>
      <c r="D586" s="41">
        <f>4541.138727+0.225904*B586</f>
        <v/>
      </c>
      <c r="E586" s="42">
        <f>C586-D586</f>
        <v/>
      </c>
      <c r="F586" s="42">
        <f>(E586-F757)^2</f>
        <v/>
      </c>
      <c r="G586" s="41">
        <f>(E586-F757)^3</f>
        <v/>
      </c>
      <c r="H586" s="41">
        <f>(E586-F757)^4</f>
        <v/>
      </c>
      <c r="I586" s="40" t="n"/>
    </row>
    <row r="587" ht="15" customHeight="1" s="28">
      <c r="A587" s="37" t="n">
        <v>575</v>
      </c>
      <c r="B587" s="37" t="n">
        <v>574</v>
      </c>
      <c r="C587" s="38" t="n">
        <v>4702.84</v>
      </c>
      <c r="D587" s="38">
        <f>4541.138727+0.225904*B587</f>
        <v/>
      </c>
      <c r="E587" s="39">
        <f>C587-D587</f>
        <v/>
      </c>
      <c r="F587" s="39">
        <f>(E587-F757)^2</f>
        <v/>
      </c>
      <c r="G587" s="38">
        <f>(E587-F757)^3</f>
        <v/>
      </c>
      <c r="H587" s="38">
        <f>(E587-F757)^4</f>
        <v/>
      </c>
      <c r="I587" s="37" t="n"/>
    </row>
    <row r="588" ht="15" customHeight="1" s="28">
      <c r="A588" s="40" t="n">
        <v>576</v>
      </c>
      <c r="B588" s="40" t="n">
        <v>575</v>
      </c>
      <c r="C588" s="41" t="n">
        <v>4704.24</v>
      </c>
      <c r="D588" s="41">
        <f>4541.138727+0.225904*B588</f>
        <v/>
      </c>
      <c r="E588" s="42">
        <f>C588-D588</f>
        <v/>
      </c>
      <c r="F588" s="42">
        <f>(E588-F757)^2</f>
        <v/>
      </c>
      <c r="G588" s="41">
        <f>(E588-F757)^3</f>
        <v/>
      </c>
      <c r="H588" s="41">
        <f>(E588-F757)^4</f>
        <v/>
      </c>
      <c r="I588" s="40" t="n"/>
    </row>
    <row r="589" ht="15" customHeight="1" s="28">
      <c r="A589" s="37" t="n">
        <v>577</v>
      </c>
      <c r="B589" s="37" t="n">
        <v>576</v>
      </c>
      <c r="C589" s="38" t="n">
        <v>4707.22</v>
      </c>
      <c r="D589" s="38">
        <f>4541.138727+0.225904*B589</f>
        <v/>
      </c>
      <c r="E589" s="39">
        <f>C589-D589</f>
        <v/>
      </c>
      <c r="F589" s="39">
        <f>(E589-F757)^2</f>
        <v/>
      </c>
      <c r="G589" s="38">
        <f>(E589-F757)^3</f>
        <v/>
      </c>
      <c r="H589" s="38">
        <f>(E589-F757)^4</f>
        <v/>
      </c>
      <c r="I589" s="37" t="n"/>
    </row>
    <row r="590" ht="15" customHeight="1" s="28">
      <c r="A590" s="40" t="n">
        <v>578</v>
      </c>
      <c r="B590" s="40" t="n">
        <v>577</v>
      </c>
      <c r="C590" s="41" t="n">
        <v>4705.93</v>
      </c>
      <c r="D590" s="41">
        <f>4541.138727+0.225904*B590</f>
        <v/>
      </c>
      <c r="E590" s="42">
        <f>C590-D590</f>
        <v/>
      </c>
      <c r="F590" s="42">
        <f>(E590-F757)^2</f>
        <v/>
      </c>
      <c r="G590" s="41">
        <f>(E590-F757)^3</f>
        <v/>
      </c>
      <c r="H590" s="41">
        <f>(E590-F757)^4</f>
        <v/>
      </c>
      <c r="I590" s="40" t="n"/>
    </row>
    <row r="591" ht="15" customHeight="1" s="28">
      <c r="A591" s="37" t="n">
        <v>579</v>
      </c>
      <c r="B591" s="37" t="n">
        <v>578</v>
      </c>
      <c r="C591" s="38" t="n">
        <v>4704.6</v>
      </c>
      <c r="D591" s="38">
        <f>4541.138727+0.225904*B591</f>
        <v/>
      </c>
      <c r="E591" s="39">
        <f>C591-D591</f>
        <v/>
      </c>
      <c r="F591" s="39">
        <f>(E591-F757)^2</f>
        <v/>
      </c>
      <c r="G591" s="38">
        <f>(E591-F757)^3</f>
        <v/>
      </c>
      <c r="H591" s="38">
        <f>(E591-F757)^4</f>
        <v/>
      </c>
      <c r="I591" s="37" t="n"/>
    </row>
    <row r="592" ht="15" customHeight="1" s="28">
      <c r="A592" s="40" t="n">
        <v>580</v>
      </c>
      <c r="B592" s="40" t="n">
        <v>579</v>
      </c>
      <c r="C592" s="41" t="n">
        <v>4703.96</v>
      </c>
      <c r="D592" s="41">
        <f>4541.138727+0.225904*B592</f>
        <v/>
      </c>
      <c r="E592" s="42">
        <f>C592-D592</f>
        <v/>
      </c>
      <c r="F592" s="42">
        <f>(E592-F757)^2</f>
        <v/>
      </c>
      <c r="G592" s="41">
        <f>(E592-F757)^3</f>
        <v/>
      </c>
      <c r="H592" s="41">
        <f>(E592-F757)^4</f>
        <v/>
      </c>
      <c r="I592" s="40" t="n"/>
    </row>
    <row r="593" ht="15" customHeight="1" s="28">
      <c r="A593" s="37" t="n">
        <v>581</v>
      </c>
      <c r="B593" s="37" t="n">
        <v>580</v>
      </c>
      <c r="C593" s="38" t="n">
        <v>4699.11</v>
      </c>
      <c r="D593" s="38">
        <f>4541.138727+0.225904*B593</f>
        <v/>
      </c>
      <c r="E593" s="39">
        <f>C593-D593</f>
        <v/>
      </c>
      <c r="F593" s="39">
        <f>(E593-F757)^2</f>
        <v/>
      </c>
      <c r="G593" s="38">
        <f>(E593-F757)^3</f>
        <v/>
      </c>
      <c r="H593" s="38">
        <f>(E593-F757)^4</f>
        <v/>
      </c>
      <c r="I593" s="37" t="n"/>
    </row>
    <row r="594" ht="15" customHeight="1" s="28">
      <c r="A594" s="40" t="n">
        <v>582</v>
      </c>
      <c r="B594" s="40" t="n">
        <v>581</v>
      </c>
      <c r="C594" s="41" t="n">
        <v>4696.87</v>
      </c>
      <c r="D594" s="41">
        <f>4541.138727+0.225904*B594</f>
        <v/>
      </c>
      <c r="E594" s="42">
        <f>C594-D594</f>
        <v/>
      </c>
      <c r="F594" s="42">
        <f>(E594-F757)^2</f>
        <v/>
      </c>
      <c r="G594" s="41">
        <f>(E594-F757)^3</f>
        <v/>
      </c>
      <c r="H594" s="41">
        <f>(E594-F757)^4</f>
        <v/>
      </c>
      <c r="I594" s="40" t="n"/>
    </row>
    <row r="595" ht="15" customHeight="1" s="28">
      <c r="A595" s="37" t="n">
        <v>583</v>
      </c>
      <c r="B595" s="37" t="n">
        <v>582</v>
      </c>
      <c r="C595" s="38" t="n">
        <v>4696.79</v>
      </c>
      <c r="D595" s="38">
        <f>4541.138727+0.225904*B595</f>
        <v/>
      </c>
      <c r="E595" s="39">
        <f>C595-D595</f>
        <v/>
      </c>
      <c r="F595" s="39">
        <f>(E595-F757)^2</f>
        <v/>
      </c>
      <c r="G595" s="38">
        <f>(E595-F757)^3</f>
        <v/>
      </c>
      <c r="H595" s="38">
        <f>(E595-F757)^4</f>
        <v/>
      </c>
      <c r="I595" s="37" t="n"/>
    </row>
    <row r="596" ht="15" customHeight="1" s="28">
      <c r="A596" s="40" t="n">
        <v>584</v>
      </c>
      <c r="B596" s="40" t="n">
        <v>583</v>
      </c>
      <c r="C596" s="41" t="n">
        <v>4698.15</v>
      </c>
      <c r="D596" s="41">
        <f>4541.138727+0.225904*B596</f>
        <v/>
      </c>
      <c r="E596" s="42">
        <f>C596-D596</f>
        <v/>
      </c>
      <c r="F596" s="42">
        <f>(E596-F757)^2</f>
        <v/>
      </c>
      <c r="G596" s="41">
        <f>(E596-F757)^3</f>
        <v/>
      </c>
      <c r="H596" s="41">
        <f>(E596-F757)^4</f>
        <v/>
      </c>
      <c r="I596" s="40" t="n"/>
    </row>
    <row r="597" ht="15" customHeight="1" s="28">
      <c r="A597" s="37" t="n">
        <v>585</v>
      </c>
      <c r="B597" s="37" t="n">
        <v>584</v>
      </c>
      <c r="C597" s="38" t="n">
        <v>4696.48</v>
      </c>
      <c r="D597" s="38">
        <f>4541.138727+0.225904*B597</f>
        <v/>
      </c>
      <c r="E597" s="39">
        <f>C597-D597</f>
        <v/>
      </c>
      <c r="F597" s="39">
        <f>(E597-F757)^2</f>
        <v/>
      </c>
      <c r="G597" s="38">
        <f>(E597-F757)^3</f>
        <v/>
      </c>
      <c r="H597" s="38">
        <f>(E597-F757)^4</f>
        <v/>
      </c>
      <c r="I597" s="37" t="n"/>
    </row>
    <row r="598" ht="15" customHeight="1" s="28">
      <c r="A598" s="40" t="n">
        <v>586</v>
      </c>
      <c r="B598" s="40" t="n">
        <v>585</v>
      </c>
      <c r="C598" s="41" t="n">
        <v>4700.45</v>
      </c>
      <c r="D598" s="41">
        <f>4541.138727+0.225904*B598</f>
        <v/>
      </c>
      <c r="E598" s="42">
        <f>C598-D598</f>
        <v/>
      </c>
      <c r="F598" s="42">
        <f>(E598-F757)^2</f>
        <v/>
      </c>
      <c r="G598" s="41">
        <f>(E598-F757)^3</f>
        <v/>
      </c>
      <c r="H598" s="41">
        <f>(E598-F757)^4</f>
        <v/>
      </c>
      <c r="I598" s="40" t="n"/>
    </row>
    <row r="599" ht="15" customHeight="1" s="28">
      <c r="A599" s="37" t="n">
        <v>587</v>
      </c>
      <c r="B599" s="37" t="n">
        <v>586</v>
      </c>
      <c r="C599" s="38" t="n">
        <v>4696.05</v>
      </c>
      <c r="D599" s="38">
        <f>4541.138727+0.225904*B599</f>
        <v/>
      </c>
      <c r="E599" s="39">
        <f>C599-D599</f>
        <v/>
      </c>
      <c r="F599" s="39">
        <f>(E599-F757)^2</f>
        <v/>
      </c>
      <c r="G599" s="38">
        <f>(E599-F757)^3</f>
        <v/>
      </c>
      <c r="H599" s="38">
        <f>(E599-F757)^4</f>
        <v/>
      </c>
      <c r="I599" s="37" t="n"/>
    </row>
    <row r="600" ht="15" customHeight="1" s="28">
      <c r="A600" s="40" t="n">
        <v>588</v>
      </c>
      <c r="B600" s="40" t="n">
        <v>587</v>
      </c>
      <c r="C600" s="41" t="n">
        <v>4703.63</v>
      </c>
      <c r="D600" s="41">
        <f>4541.138727+0.225904*B600</f>
        <v/>
      </c>
      <c r="E600" s="42">
        <f>C600-D600</f>
        <v/>
      </c>
      <c r="F600" s="42">
        <f>(E600-F757)^2</f>
        <v/>
      </c>
      <c r="G600" s="41">
        <f>(E600-F757)^3</f>
        <v/>
      </c>
      <c r="H600" s="41">
        <f>(E600-F757)^4</f>
        <v/>
      </c>
      <c r="I600" s="40" t="n"/>
    </row>
    <row r="601" ht="15" customHeight="1" s="28">
      <c r="A601" s="37" t="n">
        <v>589</v>
      </c>
      <c r="B601" s="37" t="n">
        <v>588</v>
      </c>
      <c r="C601" s="38" t="n">
        <v>4701.22</v>
      </c>
      <c r="D601" s="38">
        <f>4541.138727+0.225904*B601</f>
        <v/>
      </c>
      <c r="E601" s="39">
        <f>C601-D601</f>
        <v/>
      </c>
      <c r="F601" s="39">
        <f>(E601-F757)^2</f>
        <v/>
      </c>
      <c r="G601" s="38">
        <f>(E601-F757)^3</f>
        <v/>
      </c>
      <c r="H601" s="38">
        <f>(E601-F757)^4</f>
        <v/>
      </c>
      <c r="I601" s="37" t="n"/>
    </row>
    <row r="602" ht="15" customHeight="1" s="28">
      <c r="A602" s="40" t="n">
        <v>590</v>
      </c>
      <c r="B602" s="40" t="n">
        <v>589</v>
      </c>
      <c r="C602" s="41" t="n">
        <v>4708.23</v>
      </c>
      <c r="D602" s="41">
        <f>4541.138727+0.225904*B602</f>
        <v/>
      </c>
      <c r="E602" s="42">
        <f>C602-D602</f>
        <v/>
      </c>
      <c r="F602" s="42">
        <f>(E602-F757)^2</f>
        <v/>
      </c>
      <c r="G602" s="41">
        <f>(E602-F757)^3</f>
        <v/>
      </c>
      <c r="H602" s="41">
        <f>(E602-F757)^4</f>
        <v/>
      </c>
      <c r="I602" s="40" t="n"/>
    </row>
    <row r="603" ht="15" customHeight="1" s="28">
      <c r="A603" s="37" t="n">
        <v>591</v>
      </c>
      <c r="B603" s="37" t="n">
        <v>590</v>
      </c>
      <c r="C603" s="38" t="n">
        <v>4717.42</v>
      </c>
      <c r="D603" s="38">
        <f>4541.138727+0.225904*B603</f>
        <v/>
      </c>
      <c r="E603" s="39">
        <f>C603-D603</f>
        <v/>
      </c>
      <c r="F603" s="39">
        <f>(E603-F757)^2</f>
        <v/>
      </c>
      <c r="G603" s="38">
        <f>(E603-F757)^3</f>
        <v/>
      </c>
      <c r="H603" s="38">
        <f>(E603-F757)^4</f>
        <v/>
      </c>
      <c r="I603" s="37" t="n"/>
    </row>
    <row r="604" ht="15" customHeight="1" s="28">
      <c r="A604" s="40" t="n">
        <v>592</v>
      </c>
      <c r="B604" s="40" t="n">
        <v>591</v>
      </c>
      <c r="C604" s="41" t="n">
        <v>4746.02</v>
      </c>
      <c r="D604" s="41">
        <f>4541.138727+0.225904*B604</f>
        <v/>
      </c>
      <c r="E604" s="42">
        <f>C604-D604</f>
        <v/>
      </c>
      <c r="F604" s="42">
        <f>(E604-F757)^2</f>
        <v/>
      </c>
      <c r="G604" s="41">
        <f>(E604-F757)^3</f>
        <v/>
      </c>
      <c r="H604" s="41">
        <f>(E604-F757)^4</f>
        <v/>
      </c>
      <c r="I604" s="40" t="n"/>
    </row>
    <row r="605" ht="15" customHeight="1" s="28">
      <c r="A605" s="37" t="n">
        <v>593</v>
      </c>
      <c r="B605" s="37" t="n">
        <v>592</v>
      </c>
      <c r="C605" s="38" t="n">
        <v>4739.12</v>
      </c>
      <c r="D605" s="38">
        <f>4541.138727+0.225904*B605</f>
        <v/>
      </c>
      <c r="E605" s="39">
        <f>C605-D605</f>
        <v/>
      </c>
      <c r="F605" s="39">
        <f>(E605-F757)^2</f>
        <v/>
      </c>
      <c r="G605" s="38">
        <f>(E605-F757)^3</f>
        <v/>
      </c>
      <c r="H605" s="38">
        <f>(E605-F757)^4</f>
        <v/>
      </c>
      <c r="I605" s="37" t="n"/>
    </row>
    <row r="606" ht="15" customHeight="1" s="28">
      <c r="A606" s="40" t="n">
        <v>594</v>
      </c>
      <c r="B606" s="40" t="n">
        <v>593</v>
      </c>
      <c r="C606" s="41" t="n">
        <v>4749.05</v>
      </c>
      <c r="D606" s="41">
        <f>4541.138727+0.225904*B606</f>
        <v/>
      </c>
      <c r="E606" s="42">
        <f>C606-D606</f>
        <v/>
      </c>
      <c r="F606" s="42">
        <f>(E606-F757)^2</f>
        <v/>
      </c>
      <c r="G606" s="41">
        <f>(E606-F757)^3</f>
        <v/>
      </c>
      <c r="H606" s="41">
        <f>(E606-F757)^4</f>
        <v/>
      </c>
      <c r="I606" s="40" t="n"/>
    </row>
    <row r="607" ht="15" customHeight="1" s="28">
      <c r="A607" s="37" t="n">
        <v>595</v>
      </c>
      <c r="B607" s="37" t="n">
        <v>594</v>
      </c>
      <c r="C607" s="38" t="n">
        <v>4739.5</v>
      </c>
      <c r="D607" s="38">
        <f>4541.138727+0.225904*B607</f>
        <v/>
      </c>
      <c r="E607" s="39">
        <f>C607-D607</f>
        <v/>
      </c>
      <c r="F607" s="39">
        <f>(E607-F757)^2</f>
        <v/>
      </c>
      <c r="G607" s="38">
        <f>(E607-F757)^3</f>
        <v/>
      </c>
      <c r="H607" s="38">
        <f>(E607-F757)^4</f>
        <v/>
      </c>
      <c r="I607" s="37" t="n"/>
    </row>
    <row r="608" ht="15" customHeight="1" s="28">
      <c r="A608" s="40" t="n">
        <v>596</v>
      </c>
      <c r="B608" s="40" t="n">
        <v>595</v>
      </c>
      <c r="C608" s="41" t="n">
        <v>4742.88</v>
      </c>
      <c r="D608" s="41">
        <f>4541.138727+0.225904*B608</f>
        <v/>
      </c>
      <c r="E608" s="42">
        <f>C608-D608</f>
        <v/>
      </c>
      <c r="F608" s="42">
        <f>(E608-F757)^2</f>
        <v/>
      </c>
      <c r="G608" s="41">
        <f>(E608-F757)^3</f>
        <v/>
      </c>
      <c r="H608" s="41">
        <f>(E608-F757)^4</f>
        <v/>
      </c>
      <c r="I608" s="40" t="n"/>
    </row>
    <row r="609" ht="15" customHeight="1" s="28">
      <c r="A609" s="37" t="n">
        <v>597</v>
      </c>
      <c r="B609" s="37" t="n">
        <v>596</v>
      </c>
      <c r="C609" s="38" t="n">
        <v>4743.06</v>
      </c>
      <c r="D609" s="38">
        <f>4541.138727+0.225904*B609</f>
        <v/>
      </c>
      <c r="E609" s="39">
        <f>C609-D609</f>
        <v/>
      </c>
      <c r="F609" s="39">
        <f>(E609-F757)^2</f>
        <v/>
      </c>
      <c r="G609" s="38">
        <f>(E609-F757)^3</f>
        <v/>
      </c>
      <c r="H609" s="38">
        <f>(E609-F757)^4</f>
        <v/>
      </c>
      <c r="I609" s="37" t="n"/>
    </row>
    <row r="610" ht="15" customHeight="1" s="28">
      <c r="A610" s="40" t="n">
        <v>598</v>
      </c>
      <c r="B610" s="40" t="n">
        <v>597</v>
      </c>
      <c r="C610" s="41" t="n">
        <v>4742.66</v>
      </c>
      <c r="D610" s="41">
        <f>4541.138727+0.225904*B610</f>
        <v/>
      </c>
      <c r="E610" s="42">
        <f>C610-D610</f>
        <v/>
      </c>
      <c r="F610" s="42">
        <f>(E610-F757)^2</f>
        <v/>
      </c>
      <c r="G610" s="41">
        <f>(E610-F757)^3</f>
        <v/>
      </c>
      <c r="H610" s="41">
        <f>(E610-F757)^4</f>
        <v/>
      </c>
      <c r="I610" s="40" t="n"/>
    </row>
    <row r="611" ht="15" customHeight="1" s="28">
      <c r="A611" s="37" t="n">
        <v>599</v>
      </c>
      <c r="B611" s="37" t="n">
        <v>598</v>
      </c>
      <c r="C611" s="38" t="n">
        <v>4739.74</v>
      </c>
      <c r="D611" s="38">
        <f>4541.138727+0.225904*B611</f>
        <v/>
      </c>
      <c r="E611" s="39">
        <f>C611-D611</f>
        <v/>
      </c>
      <c r="F611" s="39">
        <f>(E611-F757)^2</f>
        <v/>
      </c>
      <c r="G611" s="38">
        <f>(E611-F757)^3</f>
        <v/>
      </c>
      <c r="H611" s="38">
        <f>(E611-F757)^4</f>
        <v/>
      </c>
      <c r="I611" s="37" t="n"/>
    </row>
    <row r="612" ht="15" customHeight="1" s="28">
      <c r="A612" s="40" t="n">
        <v>600</v>
      </c>
      <c r="B612" s="40" t="n">
        <v>599</v>
      </c>
      <c r="C612" s="41" t="n">
        <v>4735.34</v>
      </c>
      <c r="D612" s="41">
        <f>4541.138727+0.225904*B612</f>
        <v/>
      </c>
      <c r="E612" s="42">
        <f>C612-D612</f>
        <v/>
      </c>
      <c r="F612" s="42">
        <f>(E612-F757)^2</f>
        <v/>
      </c>
      <c r="G612" s="41">
        <f>(E612-F757)^3</f>
        <v/>
      </c>
      <c r="H612" s="41">
        <f>(E612-F757)^4</f>
        <v/>
      </c>
      <c r="I612" s="40" t="n"/>
    </row>
    <row r="613" ht="15" customHeight="1" s="28">
      <c r="A613" s="37" t="n">
        <v>601</v>
      </c>
      <c r="B613" s="37" t="n">
        <v>600</v>
      </c>
      <c r="C613" s="38" t="n">
        <v>4731.02</v>
      </c>
      <c r="D613" s="38">
        <f>4541.138727+0.225904*B613</f>
        <v/>
      </c>
      <c r="E613" s="39">
        <f>C613-D613</f>
        <v/>
      </c>
      <c r="F613" s="39">
        <f>(E613-F757)^2</f>
        <v/>
      </c>
      <c r="G613" s="38">
        <f>(E613-F757)^3</f>
        <v/>
      </c>
      <c r="H613" s="38">
        <f>(E613-F757)^4</f>
        <v/>
      </c>
      <c r="I613" s="37" t="n"/>
    </row>
    <row r="614" ht="15" customHeight="1" s="28">
      <c r="A614" s="40" t="n">
        <v>602</v>
      </c>
      <c r="B614" s="40" t="n">
        <v>601</v>
      </c>
      <c r="C614" s="41" t="n">
        <v>4734.22</v>
      </c>
      <c r="D614" s="41">
        <f>4541.138727+0.225904*B614</f>
        <v/>
      </c>
      <c r="E614" s="42">
        <f>C614-D614</f>
        <v/>
      </c>
      <c r="F614" s="42">
        <f>(E614-F757)^2</f>
        <v/>
      </c>
      <c r="G614" s="41">
        <f>(E614-F757)^3</f>
        <v/>
      </c>
      <c r="H614" s="41">
        <f>(E614-F757)^4</f>
        <v/>
      </c>
      <c r="I614" s="40" t="n"/>
    </row>
    <row r="615" ht="15" customHeight="1" s="28">
      <c r="A615" s="37" t="n">
        <v>603</v>
      </c>
      <c r="B615" s="37" t="n">
        <v>602</v>
      </c>
      <c r="C615" s="38" t="n">
        <v>4735.64</v>
      </c>
      <c r="D615" s="38">
        <f>4541.138727+0.225904*B615</f>
        <v/>
      </c>
      <c r="E615" s="39">
        <f>C615-D615</f>
        <v/>
      </c>
      <c r="F615" s="39">
        <f>(E615-F757)^2</f>
        <v/>
      </c>
      <c r="G615" s="38">
        <f>(E615-F757)^3</f>
        <v/>
      </c>
      <c r="H615" s="38">
        <f>(E615-F757)^4</f>
        <v/>
      </c>
      <c r="I615" s="37" t="n"/>
    </row>
    <row r="616" ht="15" customHeight="1" s="28">
      <c r="A616" s="40" t="n">
        <v>604</v>
      </c>
      <c r="B616" s="40" t="n">
        <v>603</v>
      </c>
      <c r="C616" s="41" t="n">
        <v>4737.77</v>
      </c>
      <c r="D616" s="41">
        <f>4541.138727+0.225904*B616</f>
        <v/>
      </c>
      <c r="E616" s="42">
        <f>C616-D616</f>
        <v/>
      </c>
      <c r="F616" s="42">
        <f>(E616-F757)^2</f>
        <v/>
      </c>
      <c r="G616" s="41">
        <f>(E616-F757)^3</f>
        <v/>
      </c>
      <c r="H616" s="41">
        <f>(E616-F757)^4</f>
        <v/>
      </c>
      <c r="I616" s="40" t="n"/>
    </row>
    <row r="617" ht="15" customHeight="1" s="28">
      <c r="A617" s="37" t="n">
        <v>605</v>
      </c>
      <c r="B617" s="37" t="n">
        <v>604</v>
      </c>
      <c r="C617" s="38" t="n">
        <v>4729.06</v>
      </c>
      <c r="D617" s="38">
        <f>4541.138727+0.225904*B617</f>
        <v/>
      </c>
      <c r="E617" s="39">
        <f>C617-D617</f>
        <v/>
      </c>
      <c r="F617" s="39">
        <f>(E617-F757)^2</f>
        <v/>
      </c>
      <c r="G617" s="38">
        <f>(E617-F757)^3</f>
        <v/>
      </c>
      <c r="H617" s="38">
        <f>(E617-F757)^4</f>
        <v/>
      </c>
      <c r="I617" s="37" t="n"/>
    </row>
    <row r="618" ht="15" customHeight="1" s="28">
      <c r="A618" s="40" t="n">
        <v>606</v>
      </c>
      <c r="B618" s="40" t="n">
        <v>605</v>
      </c>
      <c r="C618" s="41" t="n">
        <v>4734.98</v>
      </c>
      <c r="D618" s="41">
        <f>4541.138727+0.225904*B618</f>
        <v/>
      </c>
      <c r="E618" s="42">
        <f>C618-D618</f>
        <v/>
      </c>
      <c r="F618" s="42">
        <f>(E618-F757)^2</f>
        <v/>
      </c>
      <c r="G618" s="41">
        <f>(E618-F757)^3</f>
        <v/>
      </c>
      <c r="H618" s="41">
        <f>(E618-F757)^4</f>
        <v/>
      </c>
      <c r="I618" s="40" t="n"/>
    </row>
    <row r="619" ht="15" customHeight="1" s="28">
      <c r="A619" s="37" t="n">
        <v>607</v>
      </c>
      <c r="B619" s="37" t="n">
        <v>606</v>
      </c>
      <c r="C619" s="38" t="n">
        <v>4732.57</v>
      </c>
      <c r="D619" s="38">
        <f>4541.138727+0.225904*B619</f>
        <v/>
      </c>
      <c r="E619" s="39">
        <f>C619-D619</f>
        <v/>
      </c>
      <c r="F619" s="39">
        <f>(E619-F757)^2</f>
        <v/>
      </c>
      <c r="G619" s="38">
        <f>(E619-F757)^3</f>
        <v/>
      </c>
      <c r="H619" s="38">
        <f>(E619-F757)^4</f>
        <v/>
      </c>
      <c r="I619" s="37" t="n"/>
    </row>
    <row r="620" ht="15" customHeight="1" s="28">
      <c r="A620" s="40" t="n">
        <v>608</v>
      </c>
      <c r="B620" s="40" t="n">
        <v>607</v>
      </c>
      <c r="C620" s="41" t="n">
        <v>4739.17</v>
      </c>
      <c r="D620" s="41">
        <f>4541.138727+0.225904*B620</f>
        <v/>
      </c>
      <c r="E620" s="42">
        <f>C620-D620</f>
        <v/>
      </c>
      <c r="F620" s="42">
        <f>(E620-F757)^2</f>
        <v/>
      </c>
      <c r="G620" s="41">
        <f>(E620-F757)^3</f>
        <v/>
      </c>
      <c r="H620" s="41">
        <f>(E620-F757)^4</f>
        <v/>
      </c>
      <c r="I620" s="40" t="n"/>
    </row>
    <row r="621" ht="15" customHeight="1" s="28">
      <c r="A621" s="37" t="n">
        <v>609</v>
      </c>
      <c r="B621" s="37" t="n">
        <v>608</v>
      </c>
      <c r="C621" s="38" t="n">
        <v>4735.69</v>
      </c>
      <c r="D621" s="38">
        <f>4541.138727+0.225904*B621</f>
        <v/>
      </c>
      <c r="E621" s="39">
        <f>C621-D621</f>
        <v/>
      </c>
      <c r="F621" s="39">
        <f>(E621-F757)^2</f>
        <v/>
      </c>
      <c r="G621" s="38">
        <f>(E621-F757)^3</f>
        <v/>
      </c>
      <c r="H621" s="38">
        <f>(E621-F757)^4</f>
        <v/>
      </c>
      <c r="I621" s="37" t="n"/>
    </row>
    <row r="622" ht="15" customHeight="1" s="28">
      <c r="A622" s="40" t="n">
        <v>610</v>
      </c>
      <c r="B622" s="40" t="n">
        <v>609</v>
      </c>
      <c r="C622" s="41" t="n">
        <v>4730.38</v>
      </c>
      <c r="D622" s="41">
        <f>4541.138727+0.225904*B622</f>
        <v/>
      </c>
      <c r="E622" s="42">
        <f>C622-D622</f>
        <v/>
      </c>
      <c r="F622" s="42">
        <f>(E622-F757)^2</f>
        <v/>
      </c>
      <c r="G622" s="41">
        <f>(E622-F757)^3</f>
        <v/>
      </c>
      <c r="H622" s="41">
        <f>(E622-F757)^4</f>
        <v/>
      </c>
      <c r="I622" s="40" t="n"/>
    </row>
    <row r="623" ht="15" customHeight="1" s="28">
      <c r="A623" s="37" t="n">
        <v>611</v>
      </c>
      <c r="B623" s="37" t="n">
        <v>610</v>
      </c>
      <c r="C623" s="38" t="n">
        <v>4732.68</v>
      </c>
      <c r="D623" s="38">
        <f>4541.138727+0.225904*B623</f>
        <v/>
      </c>
      <c r="E623" s="39">
        <f>C623-D623</f>
        <v/>
      </c>
      <c r="F623" s="39">
        <f>(E623-F757)^2</f>
        <v/>
      </c>
      <c r="G623" s="38">
        <f>(E623-F757)^3</f>
        <v/>
      </c>
      <c r="H623" s="38">
        <f>(E623-F757)^4</f>
        <v/>
      </c>
      <c r="I623" s="37" t="n"/>
    </row>
    <row r="624" ht="15" customHeight="1" s="28">
      <c r="A624" s="40" t="n">
        <v>612</v>
      </c>
      <c r="B624" s="40" t="n">
        <v>611</v>
      </c>
      <c r="C624" s="41" t="n">
        <v>4736.98</v>
      </c>
      <c r="D624" s="41">
        <f>4541.138727+0.225904*B624</f>
        <v/>
      </c>
      <c r="E624" s="42">
        <f>C624-D624</f>
        <v/>
      </c>
      <c r="F624" s="42">
        <f>(E624-F757)^2</f>
        <v/>
      </c>
      <c r="G624" s="41">
        <f>(E624-F757)^3</f>
        <v/>
      </c>
      <c r="H624" s="41">
        <f>(E624-F757)^4</f>
        <v/>
      </c>
      <c r="I624" s="40" t="n"/>
    </row>
    <row r="625" ht="15" customHeight="1" s="28">
      <c r="A625" s="37" t="n">
        <v>613</v>
      </c>
      <c r="B625" s="37" t="n">
        <v>612</v>
      </c>
      <c r="C625" s="38" t="n">
        <v>4742.8</v>
      </c>
      <c r="D625" s="38">
        <f>4541.138727+0.225904*B625</f>
        <v/>
      </c>
      <c r="E625" s="39">
        <f>C625-D625</f>
        <v/>
      </c>
      <c r="F625" s="39">
        <f>(E625-F757)^2</f>
        <v/>
      </c>
      <c r="G625" s="38">
        <f>(E625-F757)^3</f>
        <v/>
      </c>
      <c r="H625" s="38">
        <f>(E625-F757)^4</f>
        <v/>
      </c>
      <c r="I625" s="37" t="n"/>
    </row>
    <row r="626" ht="15" customHeight="1" s="28">
      <c r="A626" s="40" t="n">
        <v>614</v>
      </c>
      <c r="B626" s="40" t="n">
        <v>613</v>
      </c>
      <c r="C626" s="41" t="n">
        <v>4744.19</v>
      </c>
      <c r="D626" s="41">
        <f>4541.138727+0.225904*B626</f>
        <v/>
      </c>
      <c r="E626" s="42">
        <f>C626-D626</f>
        <v/>
      </c>
      <c r="F626" s="42">
        <f>(E626-F757)^2</f>
        <v/>
      </c>
      <c r="G626" s="41">
        <f>(E626-F757)^3</f>
        <v/>
      </c>
      <c r="H626" s="41">
        <f>(E626-F757)^4</f>
        <v/>
      </c>
      <c r="I626" s="40" t="n"/>
    </row>
    <row r="627" ht="15" customHeight="1" s="28">
      <c r="A627" s="37" t="n">
        <v>615</v>
      </c>
      <c r="B627" s="37" t="n">
        <v>614</v>
      </c>
      <c r="C627" s="38" t="n">
        <v>4738.16</v>
      </c>
      <c r="D627" s="38">
        <f>4541.138727+0.225904*B627</f>
        <v/>
      </c>
      <c r="E627" s="39">
        <f>C627-D627</f>
        <v/>
      </c>
      <c r="F627" s="39">
        <f>(E627-F757)^2</f>
        <v/>
      </c>
      <c r="G627" s="38">
        <f>(E627-F757)^3</f>
        <v/>
      </c>
      <c r="H627" s="38">
        <f>(E627-F757)^4</f>
        <v/>
      </c>
      <c r="I627" s="37" t="n"/>
    </row>
    <row r="628" ht="15" customHeight="1" s="28">
      <c r="A628" s="40" t="n">
        <v>616</v>
      </c>
      <c r="B628" s="40" t="n">
        <v>615</v>
      </c>
      <c r="C628" s="41" t="n">
        <v>4751.15</v>
      </c>
      <c r="D628" s="41">
        <f>4541.138727+0.225904*B628</f>
        <v/>
      </c>
      <c r="E628" s="42">
        <f>C628-D628</f>
        <v/>
      </c>
      <c r="F628" s="42">
        <f>(E628-F757)^2</f>
        <v/>
      </c>
      <c r="G628" s="41">
        <f>(E628-F757)^3</f>
        <v/>
      </c>
      <c r="H628" s="41">
        <f>(E628-F757)^4</f>
        <v/>
      </c>
      <c r="I628" s="40" t="n"/>
    </row>
    <row r="629" ht="15" customHeight="1" s="28">
      <c r="A629" s="37" t="n">
        <v>617</v>
      </c>
      <c r="B629" s="37" t="n">
        <v>616</v>
      </c>
      <c r="C629" s="38" t="n">
        <v>4749.99</v>
      </c>
      <c r="D629" s="38">
        <f>4541.138727+0.225904*B629</f>
        <v/>
      </c>
      <c r="E629" s="39">
        <f>C629-D629</f>
        <v/>
      </c>
      <c r="F629" s="39">
        <f>(E629-F757)^2</f>
        <v/>
      </c>
      <c r="G629" s="38">
        <f>(E629-F757)^3</f>
        <v/>
      </c>
      <c r="H629" s="38">
        <f>(E629-F757)^4</f>
        <v/>
      </c>
      <c r="I629" s="37" t="n"/>
    </row>
    <row r="630" ht="15" customHeight="1" s="28">
      <c r="A630" s="40" t="n">
        <v>618</v>
      </c>
      <c r="B630" s="40" t="n">
        <v>617</v>
      </c>
      <c r="C630" s="41" t="n">
        <v>4733.46</v>
      </c>
      <c r="D630" s="41">
        <f>4541.138727+0.225904*B630</f>
        <v/>
      </c>
      <c r="E630" s="42">
        <f>C630-D630</f>
        <v/>
      </c>
      <c r="F630" s="42">
        <f>(E630-F757)^2</f>
        <v/>
      </c>
      <c r="G630" s="41">
        <f>(E630-F757)^3</f>
        <v/>
      </c>
      <c r="H630" s="41">
        <f>(E630-F757)^4</f>
        <v/>
      </c>
      <c r="I630" s="40" t="n"/>
    </row>
    <row r="631" ht="15" customHeight="1" s="28">
      <c r="A631" s="37" t="n">
        <v>619</v>
      </c>
      <c r="B631" s="37" t="n">
        <v>618</v>
      </c>
      <c r="C631" s="38" t="n">
        <v>4745.53</v>
      </c>
      <c r="D631" s="38">
        <f>4541.138727+0.225904*B631</f>
        <v/>
      </c>
      <c r="E631" s="39">
        <f>C631-D631</f>
        <v/>
      </c>
      <c r="F631" s="39">
        <f>(E631-F757)^2</f>
        <v/>
      </c>
      <c r="G631" s="38">
        <f>(E631-F757)^3</f>
        <v/>
      </c>
      <c r="H631" s="38">
        <f>(E631-F757)^4</f>
        <v/>
      </c>
      <c r="I631" s="37" t="n"/>
    </row>
    <row r="632" ht="15" customHeight="1" s="28">
      <c r="A632" s="40" t="n">
        <v>620</v>
      </c>
      <c r="B632" s="40" t="n">
        <v>619</v>
      </c>
      <c r="C632" s="41" t="n">
        <v>4748.49</v>
      </c>
      <c r="D632" s="41">
        <f>4541.138727+0.225904*B632</f>
        <v/>
      </c>
      <c r="E632" s="42">
        <f>C632-D632</f>
        <v/>
      </c>
      <c r="F632" s="42">
        <f>(E632-F757)^2</f>
        <v/>
      </c>
      <c r="G632" s="41">
        <f>(E632-F757)^3</f>
        <v/>
      </c>
      <c r="H632" s="41">
        <f>(E632-F757)^4</f>
        <v/>
      </c>
      <c r="I632" s="40" t="n"/>
    </row>
    <row r="633" ht="15" customHeight="1" s="28">
      <c r="A633" s="37" t="n">
        <v>621</v>
      </c>
      <c r="B633" s="37" t="n">
        <v>620</v>
      </c>
      <c r="C633" s="38" t="n">
        <v>4746.18</v>
      </c>
      <c r="D633" s="38">
        <f>4541.138727+0.225904*B633</f>
        <v/>
      </c>
      <c r="E633" s="39">
        <f>C633-D633</f>
        <v/>
      </c>
      <c r="F633" s="39">
        <f>(E633-F757)^2</f>
        <v/>
      </c>
      <c r="G633" s="38">
        <f>(E633-F757)^3</f>
        <v/>
      </c>
      <c r="H633" s="38">
        <f>(E633-F757)^4</f>
        <v/>
      </c>
      <c r="I633" s="37" t="n"/>
    </row>
    <row r="634" ht="15" customHeight="1" s="28">
      <c r="A634" s="40" t="n">
        <v>622</v>
      </c>
      <c r="B634" s="40" t="n">
        <v>621</v>
      </c>
      <c r="C634" s="41" t="n">
        <v>4752.05</v>
      </c>
      <c r="D634" s="41">
        <f>4541.138727+0.225904*B634</f>
        <v/>
      </c>
      <c r="E634" s="42">
        <f>C634-D634</f>
        <v/>
      </c>
      <c r="F634" s="42">
        <f>(E634-F757)^2</f>
        <v/>
      </c>
      <c r="G634" s="41">
        <f>(E634-F757)^3</f>
        <v/>
      </c>
      <c r="H634" s="41">
        <f>(E634-F757)^4</f>
        <v/>
      </c>
      <c r="I634" s="40" t="n"/>
    </row>
    <row r="635" ht="15" customHeight="1" s="28">
      <c r="A635" s="37" t="n">
        <v>623</v>
      </c>
      <c r="B635" s="37" t="n">
        <v>622</v>
      </c>
      <c r="C635" s="38" t="n">
        <v>4756.66</v>
      </c>
      <c r="D635" s="38">
        <f>4541.138727+0.225904*B635</f>
        <v/>
      </c>
      <c r="E635" s="39">
        <f>C635-D635</f>
        <v/>
      </c>
      <c r="F635" s="39">
        <f>(E635-F757)^2</f>
        <v/>
      </c>
      <c r="G635" s="38">
        <f>(E635-F757)^3</f>
        <v/>
      </c>
      <c r="H635" s="38">
        <f>(E635-F757)^4</f>
        <v/>
      </c>
      <c r="I635" s="37" t="n"/>
    </row>
    <row r="636" ht="15" customHeight="1" s="28">
      <c r="A636" s="40" t="n">
        <v>624</v>
      </c>
      <c r="B636" s="40" t="n">
        <v>623</v>
      </c>
      <c r="C636" s="41" t="n">
        <v>4751.91</v>
      </c>
      <c r="D636" s="41">
        <f>4541.138727+0.225904*B636</f>
        <v/>
      </c>
      <c r="E636" s="42">
        <f>C636-D636</f>
        <v/>
      </c>
      <c r="F636" s="42">
        <f>(E636-F757)^2</f>
        <v/>
      </c>
      <c r="G636" s="41">
        <f>(E636-F757)^3</f>
        <v/>
      </c>
      <c r="H636" s="41">
        <f>(E636-F757)^4</f>
        <v/>
      </c>
      <c r="I636" s="40" t="n"/>
    </row>
    <row r="637" ht="15" customHeight="1" s="28">
      <c r="A637" s="37" t="n">
        <v>625</v>
      </c>
      <c r="B637" s="37" t="n">
        <v>624</v>
      </c>
      <c r="C637" s="38" t="n">
        <v>4762.74</v>
      </c>
      <c r="D637" s="38">
        <f>4541.138727+0.225904*B637</f>
        <v/>
      </c>
      <c r="E637" s="39">
        <f>C637-D637</f>
        <v/>
      </c>
      <c r="F637" s="39">
        <f>(E637-F757)^2</f>
        <v/>
      </c>
      <c r="G637" s="38">
        <f>(E637-F757)^3</f>
        <v/>
      </c>
      <c r="H637" s="38">
        <f>(E637-F757)^4</f>
        <v/>
      </c>
      <c r="I637" s="37" t="n"/>
    </row>
    <row r="638" ht="15" customHeight="1" s="28">
      <c r="A638" s="40" t="n">
        <v>626</v>
      </c>
      <c r="B638" s="40" t="n">
        <v>625</v>
      </c>
      <c r="C638" s="41" t="n">
        <v>4754.77</v>
      </c>
      <c r="D638" s="41">
        <f>4541.138727+0.225904*B638</f>
        <v/>
      </c>
      <c r="E638" s="42">
        <f>C638-D638</f>
        <v/>
      </c>
      <c r="F638" s="42">
        <f>(E638-F757)^2</f>
        <v/>
      </c>
      <c r="G638" s="41">
        <f>(E638-F757)^3</f>
        <v/>
      </c>
      <c r="H638" s="41">
        <f>(E638-F757)^4</f>
        <v/>
      </c>
      <c r="I638" s="40" t="n"/>
    </row>
    <row r="639" ht="15" customHeight="1" s="28">
      <c r="A639" s="37" t="n">
        <v>627</v>
      </c>
      <c r="B639" s="37" t="n">
        <v>626</v>
      </c>
      <c r="C639" s="38" t="n">
        <v>4740.18</v>
      </c>
      <c r="D639" s="38">
        <f>4541.138727+0.225904*B639</f>
        <v/>
      </c>
      <c r="E639" s="39">
        <f>C639-D639</f>
        <v/>
      </c>
      <c r="F639" s="39">
        <f>(E639-F757)^2</f>
        <v/>
      </c>
      <c r="G639" s="38">
        <f>(E639-F757)^3</f>
        <v/>
      </c>
      <c r="H639" s="38">
        <f>(E639-F757)^4</f>
        <v/>
      </c>
      <c r="I639" s="37" t="n"/>
    </row>
    <row r="640" ht="15" customHeight="1" s="28">
      <c r="A640" s="40" t="n">
        <v>628</v>
      </c>
      <c r="B640" s="40" t="n">
        <v>627</v>
      </c>
      <c r="C640" s="41" t="n">
        <v>4738.92</v>
      </c>
      <c r="D640" s="41">
        <f>4541.138727+0.225904*B640</f>
        <v/>
      </c>
      <c r="E640" s="42">
        <f>C640-D640</f>
        <v/>
      </c>
      <c r="F640" s="42">
        <f>(E640-F757)^2</f>
        <v/>
      </c>
      <c r="G640" s="41">
        <f>(E640-F757)^3</f>
        <v/>
      </c>
      <c r="H640" s="41">
        <f>(E640-F757)^4</f>
        <v/>
      </c>
      <c r="I640" s="40" t="n"/>
    </row>
    <row r="641" ht="15" customHeight="1" s="28">
      <c r="A641" s="37" t="n">
        <v>629</v>
      </c>
      <c r="B641" s="37" t="n">
        <v>628</v>
      </c>
      <c r="C641" s="38" t="n">
        <v>4729.17</v>
      </c>
      <c r="D641" s="38">
        <f>4541.138727+0.225904*B641</f>
        <v/>
      </c>
      <c r="E641" s="39">
        <f>C641-D641</f>
        <v/>
      </c>
      <c r="F641" s="39">
        <f>(E641-F757)^2</f>
        <v/>
      </c>
      <c r="G641" s="38">
        <f>(E641-F757)^3</f>
        <v/>
      </c>
      <c r="H641" s="38">
        <f>(E641-F757)^4</f>
        <v/>
      </c>
      <c r="I641" s="37" t="n"/>
    </row>
    <row r="642" ht="15" customHeight="1" s="28">
      <c r="A642" s="40" t="n">
        <v>630</v>
      </c>
      <c r="B642" s="40" t="n">
        <v>629</v>
      </c>
      <c r="C642" s="41" t="n">
        <v>4714.99</v>
      </c>
      <c r="D642" s="41">
        <f>4541.138727+0.225904*B642</f>
        <v/>
      </c>
      <c r="E642" s="42">
        <f>C642-D642</f>
        <v/>
      </c>
      <c r="F642" s="42">
        <f>(E642-F757)^2</f>
        <v/>
      </c>
      <c r="G642" s="41">
        <f>(E642-F757)^3</f>
        <v/>
      </c>
      <c r="H642" s="41">
        <f>(E642-F757)^4</f>
        <v/>
      </c>
      <c r="I642" s="40" t="n"/>
    </row>
    <row r="643" ht="15" customHeight="1" s="28">
      <c r="A643" s="37" t="n">
        <v>631</v>
      </c>
      <c r="B643" s="37" t="n">
        <v>630</v>
      </c>
      <c r="C643" s="38" t="n">
        <v>4719.84</v>
      </c>
      <c r="D643" s="38">
        <f>4541.138727+0.225904*B643</f>
        <v/>
      </c>
      <c r="E643" s="39">
        <f>C643-D643</f>
        <v/>
      </c>
      <c r="F643" s="39">
        <f>(E643-F757)^2</f>
        <v/>
      </c>
      <c r="G643" s="38">
        <f>(E643-F757)^3</f>
        <v/>
      </c>
      <c r="H643" s="38">
        <f>(E643-F757)^4</f>
        <v/>
      </c>
      <c r="I643" s="37" t="n"/>
    </row>
    <row r="644" ht="15" customHeight="1" s="28">
      <c r="A644" s="40" t="n">
        <v>632</v>
      </c>
      <c r="B644" s="40" t="n">
        <v>631</v>
      </c>
      <c r="C644" s="41" t="n">
        <v>4711.23</v>
      </c>
      <c r="D644" s="41">
        <f>4541.138727+0.225904*B644</f>
        <v/>
      </c>
      <c r="E644" s="42">
        <f>C644-D644</f>
        <v/>
      </c>
      <c r="F644" s="42">
        <f>(E644-F757)^2</f>
        <v/>
      </c>
      <c r="G644" s="41">
        <f>(E644-F757)^3</f>
        <v/>
      </c>
      <c r="H644" s="41">
        <f>(E644-F757)^4</f>
        <v/>
      </c>
      <c r="I644" s="40" t="n"/>
    </row>
    <row r="645" ht="15" customHeight="1" s="28">
      <c r="A645" s="37" t="n">
        <v>633</v>
      </c>
      <c r="B645" s="37" t="n">
        <v>632</v>
      </c>
      <c r="C645" s="38" t="n">
        <v>4715</v>
      </c>
      <c r="D645" s="38">
        <f>4541.138727+0.225904*B645</f>
        <v/>
      </c>
      <c r="E645" s="39">
        <f>C645-D645</f>
        <v/>
      </c>
      <c r="F645" s="39">
        <f>(E645-F757)^2</f>
        <v/>
      </c>
      <c r="G645" s="38">
        <f>(E645-F757)^3</f>
        <v/>
      </c>
      <c r="H645" s="38">
        <f>(E645-F757)^4</f>
        <v/>
      </c>
      <c r="I645" s="37" t="n"/>
    </row>
    <row r="646" ht="15" customHeight="1" s="28">
      <c r="A646" s="40" t="n">
        <v>634</v>
      </c>
      <c r="B646" s="40" t="n">
        <v>633</v>
      </c>
      <c r="C646" s="41" t="n">
        <v>4714.61</v>
      </c>
      <c r="D646" s="41">
        <f>4541.138727+0.225904*B646</f>
        <v/>
      </c>
      <c r="E646" s="42">
        <f>C646-D646</f>
        <v/>
      </c>
      <c r="F646" s="42">
        <f>(E646-F757)^2</f>
        <v/>
      </c>
      <c r="G646" s="41">
        <f>(E646-F757)^3</f>
        <v/>
      </c>
      <c r="H646" s="41">
        <f>(E646-F757)^4</f>
        <v/>
      </c>
      <c r="I646" s="40" t="n"/>
    </row>
    <row r="647" ht="15" customHeight="1" s="28">
      <c r="A647" s="37" t="n">
        <v>635</v>
      </c>
      <c r="B647" s="37" t="n">
        <v>634</v>
      </c>
      <c r="C647" s="38" t="n">
        <v>4699.29</v>
      </c>
      <c r="D647" s="38">
        <f>4541.138727+0.225904*B647</f>
        <v/>
      </c>
      <c r="E647" s="39">
        <f>C647-D647</f>
        <v/>
      </c>
      <c r="F647" s="39">
        <f>(E647-F757)^2</f>
        <v/>
      </c>
      <c r="G647" s="38">
        <f>(E647-F757)^3</f>
        <v/>
      </c>
      <c r="H647" s="38">
        <f>(E647-F757)^4</f>
        <v/>
      </c>
      <c r="I647" s="37" t="n"/>
    </row>
    <row r="648" ht="15" customHeight="1" s="28">
      <c r="A648" s="40" t="n">
        <v>636</v>
      </c>
      <c r="B648" s="40" t="n">
        <v>635</v>
      </c>
      <c r="C648" s="41" t="n">
        <v>4699.72</v>
      </c>
      <c r="D648" s="41">
        <f>4541.138727+0.225904*B648</f>
        <v/>
      </c>
      <c r="E648" s="42">
        <f>C648-D648</f>
        <v/>
      </c>
      <c r="F648" s="42">
        <f>(E648-F757)^2</f>
        <v/>
      </c>
      <c r="G648" s="41">
        <f>(E648-F757)^3</f>
        <v/>
      </c>
      <c r="H648" s="41">
        <f>(E648-F757)^4</f>
        <v/>
      </c>
      <c r="I648" s="40" t="n"/>
    </row>
    <row r="649" ht="15" customHeight="1" s="28">
      <c r="A649" s="37" t="n">
        <v>637</v>
      </c>
      <c r="B649" s="37" t="n">
        <v>636</v>
      </c>
      <c r="C649" s="38" t="n">
        <v>4711.45</v>
      </c>
      <c r="D649" s="38">
        <f>4541.138727+0.225904*B649</f>
        <v/>
      </c>
      <c r="E649" s="39">
        <f>C649-D649</f>
        <v/>
      </c>
      <c r="F649" s="39">
        <f>(E649-F757)^2</f>
        <v/>
      </c>
      <c r="G649" s="38">
        <f>(E649-F757)^3</f>
        <v/>
      </c>
      <c r="H649" s="38">
        <f>(E649-F757)^4</f>
        <v/>
      </c>
      <c r="I649" s="37" t="n"/>
    </row>
    <row r="650" ht="15" customHeight="1" s="28">
      <c r="A650" s="40" t="n">
        <v>638</v>
      </c>
      <c r="B650" s="40" t="n">
        <v>637</v>
      </c>
      <c r="C650" s="41" t="n">
        <v>4708.08</v>
      </c>
      <c r="D650" s="41">
        <f>4541.138727+0.225904*B650</f>
        <v/>
      </c>
      <c r="E650" s="42">
        <f>C650-D650</f>
        <v/>
      </c>
      <c r="F650" s="42">
        <f>(E650-F757)^2</f>
        <v/>
      </c>
      <c r="G650" s="41">
        <f>(E650-F757)^3</f>
        <v/>
      </c>
      <c r="H650" s="41">
        <f>(E650-F757)^4</f>
        <v/>
      </c>
      <c r="I650" s="40" t="n"/>
    </row>
    <row r="651" ht="15" customHeight="1" s="28">
      <c r="A651" s="37" t="n">
        <v>639</v>
      </c>
      <c r="B651" s="37" t="n">
        <v>638</v>
      </c>
      <c r="C651" s="38" t="n">
        <v>4712.9</v>
      </c>
      <c r="D651" s="38">
        <f>4541.138727+0.225904*B651</f>
        <v/>
      </c>
      <c r="E651" s="39">
        <f>C651-D651</f>
        <v/>
      </c>
      <c r="F651" s="39">
        <f>(E651-F757)^2</f>
        <v/>
      </c>
      <c r="G651" s="38">
        <f>(E651-F757)^3</f>
        <v/>
      </c>
      <c r="H651" s="38">
        <f>(E651-F757)^4</f>
        <v/>
      </c>
      <c r="I651" s="37" t="n"/>
    </row>
    <row r="652" ht="15" customHeight="1" s="28">
      <c r="A652" s="40" t="n">
        <v>640</v>
      </c>
      <c r="B652" s="40" t="n">
        <v>639</v>
      </c>
      <c r="C652" s="41" t="n">
        <v>4705.96</v>
      </c>
      <c r="D652" s="41">
        <f>4541.138727+0.225904*B652</f>
        <v/>
      </c>
      <c r="E652" s="42">
        <f>C652-D652</f>
        <v/>
      </c>
      <c r="F652" s="42">
        <f>(E652-F757)^2</f>
        <v/>
      </c>
      <c r="G652" s="41">
        <f>(E652-F757)^3</f>
        <v/>
      </c>
      <c r="H652" s="41">
        <f>(E652-F757)^4</f>
        <v/>
      </c>
      <c r="I652" s="40" t="n"/>
    </row>
    <row r="653" ht="15" customHeight="1" s="28">
      <c r="A653" s="37" t="n">
        <v>641</v>
      </c>
      <c r="B653" s="37" t="n">
        <v>640</v>
      </c>
      <c r="C653" s="38" t="n">
        <v>4709.55</v>
      </c>
      <c r="D653" s="38">
        <f>4541.138727+0.225904*B653</f>
        <v/>
      </c>
      <c r="E653" s="39">
        <f>C653-D653</f>
        <v/>
      </c>
      <c r="F653" s="39">
        <f>(E653-F757)^2</f>
        <v/>
      </c>
      <c r="G653" s="38">
        <f>(E653-F757)^3</f>
        <v/>
      </c>
      <c r="H653" s="38">
        <f>(E653-F757)^4</f>
        <v/>
      </c>
      <c r="I653" s="37" t="n"/>
    </row>
    <row r="654" ht="15" customHeight="1" s="28">
      <c r="A654" s="40" t="n">
        <v>642</v>
      </c>
      <c r="B654" s="40" t="n">
        <v>641</v>
      </c>
      <c r="C654" s="41" t="n">
        <v>4710.04</v>
      </c>
      <c r="D654" s="41">
        <f>4541.138727+0.225904*B654</f>
        <v/>
      </c>
      <c r="E654" s="42">
        <f>C654-D654</f>
        <v/>
      </c>
      <c r="F654" s="42">
        <f>(E654-F757)^2</f>
        <v/>
      </c>
      <c r="G654" s="41">
        <f>(E654-F757)^3</f>
        <v/>
      </c>
      <c r="H654" s="41">
        <f>(E654-F757)^4</f>
        <v/>
      </c>
      <c r="I654" s="40" t="n"/>
    </row>
    <row r="655" ht="15" customHeight="1" s="28">
      <c r="A655" s="37" t="n">
        <v>643</v>
      </c>
      <c r="B655" s="37" t="n">
        <v>642</v>
      </c>
      <c r="C655" s="38" t="n">
        <v>4705.05</v>
      </c>
      <c r="D655" s="38">
        <f>4541.138727+0.225904*B655</f>
        <v/>
      </c>
      <c r="E655" s="39">
        <f>C655-D655</f>
        <v/>
      </c>
      <c r="F655" s="39">
        <f>(E655-F757)^2</f>
        <v/>
      </c>
      <c r="G655" s="38">
        <f>(E655-F757)^3</f>
        <v/>
      </c>
      <c r="H655" s="38">
        <f>(E655-F757)^4</f>
        <v/>
      </c>
      <c r="I655" s="37" t="n"/>
    </row>
    <row r="656" ht="15" customHeight="1" s="28">
      <c r="A656" s="40" t="n">
        <v>644</v>
      </c>
      <c r="B656" s="40" t="n">
        <v>643</v>
      </c>
      <c r="C656" s="41" t="n">
        <v>4709.69</v>
      </c>
      <c r="D656" s="41">
        <f>4541.138727+0.225904*B656</f>
        <v/>
      </c>
      <c r="E656" s="42">
        <f>C656-D656</f>
        <v/>
      </c>
      <c r="F656" s="42">
        <f>(E656-F757)^2</f>
        <v/>
      </c>
      <c r="G656" s="41">
        <f>(E656-F757)^3</f>
        <v/>
      </c>
      <c r="H656" s="41">
        <f>(E656-F757)^4</f>
        <v/>
      </c>
      <c r="I656" s="40" t="n"/>
    </row>
    <row r="657" ht="15" customHeight="1" s="28">
      <c r="A657" s="37" t="n">
        <v>645</v>
      </c>
      <c r="B657" s="37" t="n">
        <v>644</v>
      </c>
      <c r="C657" s="38" t="n">
        <v>4702.9</v>
      </c>
      <c r="D657" s="38">
        <f>4541.138727+0.225904*B657</f>
        <v/>
      </c>
      <c r="E657" s="39">
        <f>C657-D657</f>
        <v/>
      </c>
      <c r="F657" s="39">
        <f>(E657-F757)^2</f>
        <v/>
      </c>
      <c r="G657" s="38">
        <f>(E657-F757)^3</f>
        <v/>
      </c>
      <c r="H657" s="38">
        <f>(E657-F757)^4</f>
        <v/>
      </c>
      <c r="I657" s="37" t="n"/>
    </row>
    <row r="658" ht="15" customHeight="1" s="28">
      <c r="A658" s="40" t="n">
        <v>646</v>
      </c>
      <c r="B658" s="40" t="n">
        <v>645</v>
      </c>
      <c r="C658" s="41" t="n">
        <v>4711.55</v>
      </c>
      <c r="D658" s="41">
        <f>4541.138727+0.225904*B658</f>
        <v/>
      </c>
      <c r="E658" s="42">
        <f>C658-D658</f>
        <v/>
      </c>
      <c r="F658" s="42">
        <f>(E658-F757)^2</f>
        <v/>
      </c>
      <c r="G658" s="41">
        <f>(E658-F757)^3</f>
        <v/>
      </c>
      <c r="H658" s="41">
        <f>(E658-F757)^4</f>
        <v/>
      </c>
      <c r="I658" s="40" t="n"/>
    </row>
    <row r="659" ht="15" customHeight="1" s="28">
      <c r="A659" s="37" t="n">
        <v>647</v>
      </c>
      <c r="B659" s="37" t="n">
        <v>646</v>
      </c>
      <c r="C659" s="38" t="n">
        <v>4712.98</v>
      </c>
      <c r="D659" s="38">
        <f>4541.138727+0.225904*B659</f>
        <v/>
      </c>
      <c r="E659" s="39">
        <f>C659-D659</f>
        <v/>
      </c>
      <c r="F659" s="39">
        <f>(E659-F757)^2</f>
        <v/>
      </c>
      <c r="G659" s="38">
        <f>(E659-F757)^3</f>
        <v/>
      </c>
      <c r="H659" s="38">
        <f>(E659-F757)^4</f>
        <v/>
      </c>
      <c r="I659" s="37" t="n"/>
    </row>
    <row r="660" ht="15" customHeight="1" s="28">
      <c r="A660" s="40" t="n">
        <v>648</v>
      </c>
      <c r="B660" s="40" t="n">
        <v>647</v>
      </c>
      <c r="C660" s="41" t="n">
        <v>4703.9</v>
      </c>
      <c r="D660" s="41">
        <f>4541.138727+0.225904*B660</f>
        <v/>
      </c>
      <c r="E660" s="42">
        <f>C660-D660</f>
        <v/>
      </c>
      <c r="F660" s="42">
        <f>(E660-F757)^2</f>
        <v/>
      </c>
      <c r="G660" s="41">
        <f>(E660-F757)^3</f>
        <v/>
      </c>
      <c r="H660" s="41">
        <f>(E660-F757)^4</f>
        <v/>
      </c>
      <c r="I660" s="40" t="n"/>
    </row>
    <row r="661" ht="15" customHeight="1" s="28">
      <c r="A661" s="37" t="n">
        <v>649</v>
      </c>
      <c r="B661" s="37" t="n">
        <v>648</v>
      </c>
      <c r="C661" s="38" t="n">
        <v>4687.24</v>
      </c>
      <c r="D661" s="38">
        <f>4541.138727+0.225904*B661</f>
        <v/>
      </c>
      <c r="E661" s="39">
        <f>C661-D661</f>
        <v/>
      </c>
      <c r="F661" s="39">
        <f>(E661-F757)^2</f>
        <v/>
      </c>
      <c r="G661" s="38">
        <f>(E661-F757)^3</f>
        <v/>
      </c>
      <c r="H661" s="38">
        <f>(E661-F757)^4</f>
        <v/>
      </c>
      <c r="I661" s="37" t="n"/>
    </row>
    <row r="662" ht="15" customHeight="1" s="28">
      <c r="A662" s="40" t="n">
        <v>650</v>
      </c>
      <c r="B662" s="40" t="n">
        <v>649</v>
      </c>
      <c r="C662" s="41" t="n">
        <v>4691.37</v>
      </c>
      <c r="D662" s="41">
        <f>4541.138727+0.225904*B662</f>
        <v/>
      </c>
      <c r="E662" s="42">
        <f>C662-D662</f>
        <v/>
      </c>
      <c r="F662" s="42">
        <f>(E662-F757)^2</f>
        <v/>
      </c>
      <c r="G662" s="41">
        <f>(E662-F757)^3</f>
        <v/>
      </c>
      <c r="H662" s="41">
        <f>(E662-F757)^4</f>
        <v/>
      </c>
      <c r="I662" s="40" t="n"/>
    </row>
    <row r="663" ht="15" customHeight="1" s="28">
      <c r="A663" s="37" t="n">
        <v>651</v>
      </c>
      <c r="B663" s="37" t="n">
        <v>650</v>
      </c>
      <c r="C663" s="38" t="n">
        <v>4693.91</v>
      </c>
      <c r="D663" s="38">
        <f>4541.138727+0.225904*B663</f>
        <v/>
      </c>
      <c r="E663" s="39">
        <f>C663-D663</f>
        <v/>
      </c>
      <c r="F663" s="39">
        <f>(E663-F757)^2</f>
        <v/>
      </c>
      <c r="G663" s="38">
        <f>(E663-F757)^3</f>
        <v/>
      </c>
      <c r="H663" s="38">
        <f>(E663-F757)^4</f>
        <v/>
      </c>
      <c r="I663" s="37" t="n"/>
    </row>
    <row r="664" ht="15" customHeight="1" s="28">
      <c r="A664" s="40" t="n">
        <v>652</v>
      </c>
      <c r="B664" s="40" t="n">
        <v>651</v>
      </c>
      <c r="C664" s="41" t="n">
        <v>4687.16</v>
      </c>
      <c r="D664" s="41">
        <f>4541.138727+0.225904*B664</f>
        <v/>
      </c>
      <c r="E664" s="42">
        <f>C664-D664</f>
        <v/>
      </c>
      <c r="F664" s="42">
        <f>(E664-F757)^2</f>
        <v/>
      </c>
      <c r="G664" s="41">
        <f>(E664-F757)^3</f>
        <v/>
      </c>
      <c r="H664" s="41">
        <f>(E664-F757)^4</f>
        <v/>
      </c>
      <c r="I664" s="40" t="n"/>
    </row>
    <row r="665" ht="15" customHeight="1" s="28">
      <c r="A665" s="37" t="n">
        <v>653</v>
      </c>
      <c r="B665" s="37" t="n">
        <v>652</v>
      </c>
      <c r="C665" s="38" t="n">
        <v>4686.04</v>
      </c>
      <c r="D665" s="38">
        <f>4541.138727+0.225904*B665</f>
        <v/>
      </c>
      <c r="E665" s="39">
        <f>C665-D665</f>
        <v/>
      </c>
      <c r="F665" s="39">
        <f>(E665-F757)^2</f>
        <v/>
      </c>
      <c r="G665" s="38">
        <f>(E665-F757)^3</f>
        <v/>
      </c>
      <c r="H665" s="38">
        <f>(E665-F757)^4</f>
        <v/>
      </c>
      <c r="I665" s="37" t="n"/>
    </row>
    <row r="666" ht="15" customHeight="1" s="28">
      <c r="A666" s="40" t="n">
        <v>654</v>
      </c>
      <c r="B666" s="40" t="n">
        <v>653</v>
      </c>
      <c r="C666" s="41" t="n">
        <v>4691.8</v>
      </c>
      <c r="D666" s="41">
        <f>4541.138727+0.225904*B666</f>
        <v/>
      </c>
      <c r="E666" s="42">
        <f>C666-D666</f>
        <v/>
      </c>
      <c r="F666" s="42">
        <f>(E666-F757)^2</f>
        <v/>
      </c>
      <c r="G666" s="41">
        <f>(E666-F757)^3</f>
        <v/>
      </c>
      <c r="H666" s="41">
        <f>(E666-F757)^4</f>
        <v/>
      </c>
      <c r="I666" s="40" t="n"/>
    </row>
    <row r="667" ht="15" customHeight="1" s="28">
      <c r="A667" s="37" t="n">
        <v>655</v>
      </c>
      <c r="B667" s="37" t="n">
        <v>654</v>
      </c>
      <c r="C667" s="38" t="n">
        <v>4696.57</v>
      </c>
      <c r="D667" s="38">
        <f>4541.138727+0.225904*B667</f>
        <v/>
      </c>
      <c r="E667" s="39">
        <f>C667-D667</f>
        <v/>
      </c>
      <c r="F667" s="39">
        <f>(E667-F757)^2</f>
        <v/>
      </c>
      <c r="G667" s="38">
        <f>(E667-F757)^3</f>
        <v/>
      </c>
      <c r="H667" s="38">
        <f>(E667-F757)^4</f>
        <v/>
      </c>
      <c r="I667" s="37" t="n"/>
    </row>
    <row r="668" ht="15" customHeight="1" s="28">
      <c r="A668" s="40" t="n">
        <v>656</v>
      </c>
      <c r="B668" s="40" t="n">
        <v>655</v>
      </c>
      <c r="C668" s="41" t="n">
        <v>4697.81</v>
      </c>
      <c r="D668" s="41">
        <f>4541.138727+0.225904*B668</f>
        <v/>
      </c>
      <c r="E668" s="42">
        <f>C668-D668</f>
        <v/>
      </c>
      <c r="F668" s="42">
        <f>(E668-F757)^2</f>
        <v/>
      </c>
      <c r="G668" s="41">
        <f>(E668-F757)^3</f>
        <v/>
      </c>
      <c r="H668" s="41">
        <f>(E668-F757)^4</f>
        <v/>
      </c>
      <c r="I668" s="40" t="n"/>
    </row>
    <row r="669" ht="15" customHeight="1" s="28">
      <c r="A669" s="37" t="n">
        <v>657</v>
      </c>
      <c r="B669" s="37" t="n">
        <v>656</v>
      </c>
      <c r="C669" s="38" t="n">
        <v>4704.54</v>
      </c>
      <c r="D669" s="38">
        <f>4541.138727+0.225904*B669</f>
        <v/>
      </c>
      <c r="E669" s="39">
        <f>C669-D669</f>
        <v/>
      </c>
      <c r="F669" s="39">
        <f>(E669-F757)^2</f>
        <v/>
      </c>
      <c r="G669" s="38">
        <f>(E669-F757)^3</f>
        <v/>
      </c>
      <c r="H669" s="38">
        <f>(E669-F757)^4</f>
        <v/>
      </c>
      <c r="I669" s="37" t="n"/>
    </row>
    <row r="670" ht="15" customHeight="1" s="28">
      <c r="A670" s="40" t="n">
        <v>658</v>
      </c>
      <c r="B670" s="40" t="n">
        <v>657</v>
      </c>
      <c r="C670" s="41" t="n">
        <v>4702.79</v>
      </c>
      <c r="D670" s="41">
        <f>4541.138727+0.225904*B670</f>
        <v/>
      </c>
      <c r="E670" s="42">
        <f>C670-D670</f>
        <v/>
      </c>
      <c r="F670" s="42">
        <f>(E670-F757)^2</f>
        <v/>
      </c>
      <c r="G670" s="41">
        <f>(E670-F757)^3</f>
        <v/>
      </c>
      <c r="H670" s="41">
        <f>(E670-F757)^4</f>
        <v/>
      </c>
      <c r="I670" s="40" t="n"/>
    </row>
    <row r="671" ht="15" customHeight="1" s="28">
      <c r="A671" s="37" t="n">
        <v>659</v>
      </c>
      <c r="B671" s="37" t="n">
        <v>658</v>
      </c>
      <c r="C671" s="38" t="n">
        <v>4697.35</v>
      </c>
      <c r="D671" s="38">
        <f>4541.138727+0.225904*B671</f>
        <v/>
      </c>
      <c r="E671" s="39">
        <f>C671-D671</f>
        <v/>
      </c>
      <c r="F671" s="39">
        <f>(E671-F757)^2</f>
        <v/>
      </c>
      <c r="G671" s="38">
        <f>(E671-F757)^3</f>
        <v/>
      </c>
      <c r="H671" s="38">
        <f>(E671-F757)^4</f>
        <v/>
      </c>
      <c r="I671" s="37" t="n"/>
    </row>
    <row r="672" ht="15" customHeight="1" s="28">
      <c r="A672" s="40" t="n">
        <v>660</v>
      </c>
      <c r="B672" s="40" t="n">
        <v>659</v>
      </c>
      <c r="C672" s="41" t="n">
        <v>4705.16</v>
      </c>
      <c r="D672" s="41">
        <f>4541.138727+0.225904*B672</f>
        <v/>
      </c>
      <c r="E672" s="42">
        <f>C672-D672</f>
        <v/>
      </c>
      <c r="F672" s="42">
        <f>(E672-F757)^2</f>
        <v/>
      </c>
      <c r="G672" s="41">
        <f>(E672-F757)^3</f>
        <v/>
      </c>
      <c r="H672" s="41">
        <f>(E672-F757)^4</f>
        <v/>
      </c>
      <c r="I672" s="40" t="n"/>
    </row>
    <row r="673" ht="15" customHeight="1" s="28">
      <c r="A673" s="37" t="n">
        <v>661</v>
      </c>
      <c r="B673" s="37" t="n">
        <v>660</v>
      </c>
      <c r="C673" s="38" t="n">
        <v>4701.44</v>
      </c>
      <c r="D673" s="38">
        <f>4541.138727+0.225904*B673</f>
        <v/>
      </c>
      <c r="E673" s="39">
        <f>C673-D673</f>
        <v/>
      </c>
      <c r="F673" s="39">
        <f>(E673-F757)^2</f>
        <v/>
      </c>
      <c r="G673" s="38">
        <f>(E673-F757)^3</f>
        <v/>
      </c>
      <c r="H673" s="38">
        <f>(E673-F757)^4</f>
        <v/>
      </c>
      <c r="I673" s="37" t="n"/>
    </row>
    <row r="674" ht="15" customHeight="1" s="28">
      <c r="A674" s="40" t="n">
        <v>662</v>
      </c>
      <c r="B674" s="40" t="n">
        <v>661</v>
      </c>
      <c r="C674" s="41" t="n">
        <v>4714.05</v>
      </c>
      <c r="D674" s="41">
        <f>4541.138727+0.225904*B674</f>
        <v/>
      </c>
      <c r="E674" s="42">
        <f>C674-D674</f>
        <v/>
      </c>
      <c r="F674" s="42">
        <f>(E674-F757)^2</f>
        <v/>
      </c>
      <c r="G674" s="41">
        <f>(E674-F757)^3</f>
        <v/>
      </c>
      <c r="H674" s="41">
        <f>(E674-F757)^4</f>
        <v/>
      </c>
      <c r="I674" s="40" t="n"/>
    </row>
    <row r="675" ht="15" customHeight="1" s="28">
      <c r="A675" s="37" t="n">
        <v>663</v>
      </c>
      <c r="B675" s="37" t="n">
        <v>662</v>
      </c>
      <c r="C675" s="38" t="n">
        <v>4712.82</v>
      </c>
      <c r="D675" s="38">
        <f>4541.138727+0.225904*B675</f>
        <v/>
      </c>
      <c r="E675" s="39">
        <f>C675-D675</f>
        <v/>
      </c>
      <c r="F675" s="39">
        <f>(E675-F757)^2</f>
        <v/>
      </c>
      <c r="G675" s="38">
        <f>(E675-F757)^3</f>
        <v/>
      </c>
      <c r="H675" s="38">
        <f>(E675-F757)^4</f>
        <v/>
      </c>
      <c r="I675" s="37" t="n"/>
    </row>
    <row r="676" ht="15" customHeight="1" s="28">
      <c r="A676" s="40" t="n">
        <v>664</v>
      </c>
      <c r="B676" s="40" t="n">
        <v>663</v>
      </c>
      <c r="C676" s="41" t="n">
        <v>4711.08</v>
      </c>
      <c r="D676" s="41">
        <f>4541.138727+0.225904*B676</f>
        <v/>
      </c>
      <c r="E676" s="42">
        <f>C676-D676</f>
        <v/>
      </c>
      <c r="F676" s="42">
        <f>(E676-F757)^2</f>
        <v/>
      </c>
      <c r="G676" s="41">
        <f>(E676-F757)^3</f>
        <v/>
      </c>
      <c r="H676" s="41">
        <f>(E676-F757)^4</f>
        <v/>
      </c>
      <c r="I676" s="40" t="n"/>
    </row>
    <row r="677" ht="15" customHeight="1" s="28">
      <c r="A677" s="37" t="n">
        <v>665</v>
      </c>
      <c r="B677" s="37" t="n">
        <v>664</v>
      </c>
      <c r="C677" s="38" t="n">
        <v>4722.98</v>
      </c>
      <c r="D677" s="38">
        <f>4541.138727+0.225904*B677</f>
        <v/>
      </c>
      <c r="E677" s="39">
        <f>C677-D677</f>
        <v/>
      </c>
      <c r="F677" s="39">
        <f>(E677-F757)^2</f>
        <v/>
      </c>
      <c r="G677" s="38">
        <f>(E677-F757)^3</f>
        <v/>
      </c>
      <c r="H677" s="38">
        <f>(E677-F757)^4</f>
        <v/>
      </c>
      <c r="I677" s="37" t="n"/>
    </row>
    <row r="678" ht="15" customHeight="1" s="28">
      <c r="A678" s="40" t="n">
        <v>666</v>
      </c>
      <c r="B678" s="40" t="n">
        <v>665</v>
      </c>
      <c r="C678" s="41" t="n">
        <v>4723.99</v>
      </c>
      <c r="D678" s="41">
        <f>4541.138727+0.225904*B678</f>
        <v/>
      </c>
      <c r="E678" s="42">
        <f>C678-D678</f>
        <v/>
      </c>
      <c r="F678" s="42">
        <f>(E678-F757)^2</f>
        <v/>
      </c>
      <c r="G678" s="41">
        <f>(E678-F757)^3</f>
        <v/>
      </c>
      <c r="H678" s="41">
        <f>(E678-F757)^4</f>
        <v/>
      </c>
      <c r="I678" s="40" t="n"/>
    </row>
    <row r="679" ht="15" customHeight="1" s="28">
      <c r="A679" s="37" t="n">
        <v>667</v>
      </c>
      <c r="B679" s="37" t="n">
        <v>666</v>
      </c>
      <c r="C679" s="38" t="n">
        <v>4721.39</v>
      </c>
      <c r="D679" s="38">
        <f>4541.138727+0.225904*B679</f>
        <v/>
      </c>
      <c r="E679" s="39">
        <f>C679-D679</f>
        <v/>
      </c>
      <c r="F679" s="39">
        <f>(E679-F757)^2</f>
        <v/>
      </c>
      <c r="G679" s="38">
        <f>(E679-F757)^3</f>
        <v/>
      </c>
      <c r="H679" s="38">
        <f>(E679-F757)^4</f>
        <v/>
      </c>
      <c r="I679" s="37" t="n"/>
    </row>
    <row r="680" ht="15" customHeight="1" s="28">
      <c r="A680" s="40" t="n">
        <v>668</v>
      </c>
      <c r="B680" s="40" t="n">
        <v>667</v>
      </c>
      <c r="C680" s="41" t="n">
        <v>4710.27</v>
      </c>
      <c r="D680" s="41">
        <f>4541.138727+0.225904*B680</f>
        <v/>
      </c>
      <c r="E680" s="42">
        <f>C680-D680</f>
        <v/>
      </c>
      <c r="F680" s="42">
        <f>(E680-F757)^2</f>
        <v/>
      </c>
      <c r="G680" s="41">
        <f>(E680-F757)^3</f>
        <v/>
      </c>
      <c r="H680" s="41">
        <f>(E680-F757)^4</f>
        <v/>
      </c>
      <c r="I680" s="40" t="n"/>
    </row>
    <row r="681" ht="15" customHeight="1" s="28">
      <c r="A681" s="37" t="n">
        <v>669</v>
      </c>
      <c r="B681" s="37" t="n">
        <v>668</v>
      </c>
      <c r="C681" s="38" t="n">
        <v>4713.68</v>
      </c>
      <c r="D681" s="38">
        <f>4541.138727+0.225904*B681</f>
        <v/>
      </c>
      <c r="E681" s="39">
        <f>C681-D681</f>
        <v/>
      </c>
      <c r="F681" s="39">
        <f>(E681-F757)^2</f>
        <v/>
      </c>
      <c r="G681" s="38">
        <f>(E681-F757)^3</f>
        <v/>
      </c>
      <c r="H681" s="38">
        <f>(E681-F757)^4</f>
        <v/>
      </c>
      <c r="I681" s="37" t="n"/>
    </row>
    <row r="682" ht="15" customHeight="1" s="28">
      <c r="A682" s="40" t="n">
        <v>670</v>
      </c>
      <c r="B682" s="40" t="n">
        <v>669</v>
      </c>
      <c r="C682" s="41" t="n">
        <v>4720.15</v>
      </c>
      <c r="D682" s="41">
        <f>4541.138727+0.225904*B682</f>
        <v/>
      </c>
      <c r="E682" s="42">
        <f>C682-D682</f>
        <v/>
      </c>
      <c r="F682" s="42">
        <f>(E682-F757)^2</f>
        <v/>
      </c>
      <c r="G682" s="41">
        <f>(E682-F757)^3</f>
        <v/>
      </c>
      <c r="H682" s="41">
        <f>(E682-F757)^4</f>
        <v/>
      </c>
      <c r="I682" s="40" t="n"/>
    </row>
    <row r="683" ht="15" customHeight="1" s="28">
      <c r="A683" s="37" t="n">
        <v>671</v>
      </c>
      <c r="B683" s="37" t="n">
        <v>670</v>
      </c>
      <c r="C683" s="38" t="n">
        <v>4720.44</v>
      </c>
      <c r="D683" s="38">
        <f>4541.138727+0.225904*B683</f>
        <v/>
      </c>
      <c r="E683" s="39">
        <f>C683-D683</f>
        <v/>
      </c>
      <c r="F683" s="39">
        <f>(E683-F757)^2</f>
        <v/>
      </c>
      <c r="G683" s="38">
        <f>(E683-F757)^3</f>
        <v/>
      </c>
      <c r="H683" s="38">
        <f>(E683-F757)^4</f>
        <v/>
      </c>
      <c r="I683" s="37" t="n"/>
    </row>
    <row r="684" ht="15" customHeight="1" s="28">
      <c r="A684" s="40" t="n">
        <v>672</v>
      </c>
      <c r="B684" s="40" t="n">
        <v>671</v>
      </c>
      <c r="C684" s="41" t="n">
        <v>4724.99</v>
      </c>
      <c r="D684" s="41">
        <f>4541.138727+0.225904*B684</f>
        <v/>
      </c>
      <c r="E684" s="42">
        <f>C684-D684</f>
        <v/>
      </c>
      <c r="F684" s="42">
        <f>(E684-F757)^2</f>
        <v/>
      </c>
      <c r="G684" s="41">
        <f>(E684-F757)^3</f>
        <v/>
      </c>
      <c r="H684" s="41">
        <f>(E684-F757)^4</f>
        <v/>
      </c>
      <c r="I684" s="40" t="n"/>
    </row>
    <row r="685" ht="15" customHeight="1" s="28">
      <c r="A685" s="37" t="n">
        <v>673</v>
      </c>
      <c r="B685" s="37" t="n">
        <v>672</v>
      </c>
      <c r="C685" s="38" t="n">
        <v>4719.62</v>
      </c>
      <c r="D685" s="38">
        <f>4541.138727+0.225904*B685</f>
        <v/>
      </c>
      <c r="E685" s="39">
        <f>C685-D685</f>
        <v/>
      </c>
      <c r="F685" s="39">
        <f>(E685-F757)^2</f>
        <v/>
      </c>
      <c r="G685" s="38">
        <f>(E685-F757)^3</f>
        <v/>
      </c>
      <c r="H685" s="38">
        <f>(E685-F757)^4</f>
        <v/>
      </c>
      <c r="I685" s="37" t="n"/>
    </row>
    <row r="686" ht="15" customHeight="1" s="28">
      <c r="A686" s="40" t="n">
        <v>674</v>
      </c>
      <c r="B686" s="40" t="n">
        <v>673</v>
      </c>
      <c r="C686" s="41" t="n">
        <v>4715.08</v>
      </c>
      <c r="D686" s="41">
        <f>4541.138727+0.225904*B686</f>
        <v/>
      </c>
      <c r="E686" s="42">
        <f>C686-D686</f>
        <v/>
      </c>
      <c r="F686" s="42">
        <f>(E686-F757)^2</f>
        <v/>
      </c>
      <c r="G686" s="41">
        <f>(E686-F757)^3</f>
        <v/>
      </c>
      <c r="H686" s="41">
        <f>(E686-F757)^4</f>
        <v/>
      </c>
      <c r="I686" s="40" t="n"/>
    </row>
    <row r="687" ht="15" customHeight="1" s="28">
      <c r="A687" s="37" t="n">
        <v>675</v>
      </c>
      <c r="B687" s="37" t="n">
        <v>674</v>
      </c>
      <c r="C687" s="38" t="n">
        <v>4717.4</v>
      </c>
      <c r="D687" s="38">
        <f>4541.138727+0.225904*B687</f>
        <v/>
      </c>
      <c r="E687" s="39">
        <f>C687-D687</f>
        <v/>
      </c>
      <c r="F687" s="39">
        <f>(E687-F757)^2</f>
        <v/>
      </c>
      <c r="G687" s="38">
        <f>(E687-F757)^3</f>
        <v/>
      </c>
      <c r="H687" s="38">
        <f>(E687-F757)^4</f>
        <v/>
      </c>
      <c r="I687" s="37" t="n"/>
    </row>
    <row r="688" ht="15" customHeight="1" s="28">
      <c r="A688" s="40" t="n">
        <v>676</v>
      </c>
      <c r="B688" s="40" t="n">
        <v>675</v>
      </c>
      <c r="C688" s="41" t="n">
        <v>4712.14</v>
      </c>
      <c r="D688" s="41">
        <f>4541.138727+0.225904*B688</f>
        <v/>
      </c>
      <c r="E688" s="42">
        <f>C688-D688</f>
        <v/>
      </c>
      <c r="F688" s="42">
        <f>(E688-F757)^2</f>
        <v/>
      </c>
      <c r="G688" s="41">
        <f>(E688-F757)^3</f>
        <v/>
      </c>
      <c r="H688" s="41">
        <f>(E688-F757)^4</f>
        <v/>
      </c>
      <c r="I688" s="40" t="n"/>
    </row>
    <row r="689" ht="15" customHeight="1" s="28">
      <c r="A689" s="37" t="n">
        <v>677</v>
      </c>
      <c r="B689" s="37" t="n">
        <v>676</v>
      </c>
      <c r="C689" s="38" t="n">
        <v>4711.09</v>
      </c>
      <c r="D689" s="38">
        <f>4541.138727+0.225904*B689</f>
        <v/>
      </c>
      <c r="E689" s="39">
        <f>C689-D689</f>
        <v/>
      </c>
      <c r="F689" s="39">
        <f>(E689-F757)^2</f>
        <v/>
      </c>
      <c r="G689" s="38">
        <f>(E689-F757)^3</f>
        <v/>
      </c>
      <c r="H689" s="38">
        <f>(E689-F757)^4</f>
        <v/>
      </c>
      <c r="I689" s="37" t="n"/>
    </row>
    <row r="690" ht="15" customHeight="1" s="28">
      <c r="A690" s="40" t="n">
        <v>678</v>
      </c>
      <c r="B690" s="40" t="n">
        <v>677</v>
      </c>
      <c r="C690" s="41" t="n">
        <v>4712.09</v>
      </c>
      <c r="D690" s="41">
        <f>4541.138727+0.225904*B690</f>
        <v/>
      </c>
      <c r="E690" s="42">
        <f>C690-D690</f>
        <v/>
      </c>
      <c r="F690" s="42">
        <f>(E690-F757)^2</f>
        <v/>
      </c>
      <c r="G690" s="41">
        <f>(E690-F757)^3</f>
        <v/>
      </c>
      <c r="H690" s="41">
        <f>(E690-F757)^4</f>
        <v/>
      </c>
      <c r="I690" s="40" t="n"/>
    </row>
    <row r="691" ht="15" customHeight="1" s="28">
      <c r="A691" s="37" t="n">
        <v>679</v>
      </c>
      <c r="B691" s="37" t="n">
        <v>678</v>
      </c>
      <c r="C691" s="38" t="n">
        <v>4719.37</v>
      </c>
      <c r="D691" s="38">
        <f>4541.138727+0.225904*B691</f>
        <v/>
      </c>
      <c r="E691" s="39">
        <f>C691-D691</f>
        <v/>
      </c>
      <c r="F691" s="39">
        <f>(E691-F757)^2</f>
        <v/>
      </c>
      <c r="G691" s="38">
        <f>(E691-F757)^3</f>
        <v/>
      </c>
      <c r="H691" s="38">
        <f>(E691-F757)^4</f>
        <v/>
      </c>
      <c r="I691" s="37" t="n"/>
    </row>
    <row r="692" ht="15" customHeight="1" s="28">
      <c r="A692" s="40" t="n">
        <v>680</v>
      </c>
      <c r="B692" s="40" t="n">
        <v>679</v>
      </c>
      <c r="C692" s="41" t="n">
        <v>4724.62</v>
      </c>
      <c r="D692" s="41">
        <f>4541.138727+0.225904*B692</f>
        <v/>
      </c>
      <c r="E692" s="42">
        <f>C692-D692</f>
        <v/>
      </c>
      <c r="F692" s="42">
        <f>(E692-F757)^2</f>
        <v/>
      </c>
      <c r="G692" s="41">
        <f>(E692-F757)^3</f>
        <v/>
      </c>
      <c r="H692" s="41">
        <f>(E692-F757)^4</f>
        <v/>
      </c>
      <c r="I692" s="40" t="n"/>
    </row>
    <row r="693" ht="15" customHeight="1" s="28">
      <c r="A693" s="37" t="n">
        <v>681</v>
      </c>
      <c r="B693" s="37" t="n">
        <v>680</v>
      </c>
      <c r="C693" s="38" t="n">
        <v>4727.43</v>
      </c>
      <c r="D693" s="38">
        <f>4541.138727+0.225904*B693</f>
        <v/>
      </c>
      <c r="E693" s="39">
        <f>C693-D693</f>
        <v/>
      </c>
      <c r="F693" s="39">
        <f>(E693-F757)^2</f>
        <v/>
      </c>
      <c r="G693" s="38">
        <f>(E693-F757)^3</f>
        <v/>
      </c>
      <c r="H693" s="38">
        <f>(E693-F757)^4</f>
        <v/>
      </c>
      <c r="I693" s="37" t="n"/>
    </row>
    <row r="694" ht="15" customHeight="1" s="28">
      <c r="A694" s="40" t="n">
        <v>682</v>
      </c>
      <c r="B694" s="40" t="n">
        <v>681</v>
      </c>
      <c r="C694" s="41" t="n">
        <v>4723.03</v>
      </c>
      <c r="D694" s="41">
        <f>4541.138727+0.225904*B694</f>
        <v/>
      </c>
      <c r="E694" s="42">
        <f>C694-D694</f>
        <v/>
      </c>
      <c r="F694" s="42">
        <f>(E694-F757)^2</f>
        <v/>
      </c>
      <c r="G694" s="41">
        <f>(E694-F757)^3</f>
        <v/>
      </c>
      <c r="H694" s="41">
        <f>(E694-F757)^4</f>
        <v/>
      </c>
      <c r="I694" s="40" t="n"/>
    </row>
    <row r="695" ht="15" customHeight="1" s="28">
      <c r="A695" s="37" t="n">
        <v>683</v>
      </c>
      <c r="B695" s="37" t="n">
        <v>682</v>
      </c>
      <c r="C695" s="38" t="n">
        <v>4733.47</v>
      </c>
      <c r="D695" s="38">
        <f>4541.138727+0.225904*B695</f>
        <v/>
      </c>
      <c r="E695" s="39">
        <f>C695-D695</f>
        <v/>
      </c>
      <c r="F695" s="39">
        <f>(E695-F757)^2</f>
        <v/>
      </c>
      <c r="G695" s="38">
        <f>(E695-F757)^3</f>
        <v/>
      </c>
      <c r="H695" s="38">
        <f>(E695-F757)^4</f>
        <v/>
      </c>
      <c r="I695" s="37" t="n"/>
    </row>
    <row r="696" ht="15" customHeight="1" s="28">
      <c r="A696" s="40" t="n">
        <v>684</v>
      </c>
      <c r="B696" s="40" t="n">
        <v>683</v>
      </c>
      <c r="C696" s="41" t="n">
        <v>4728.52</v>
      </c>
      <c r="D696" s="41">
        <f>4541.138727+0.225904*B696</f>
        <v/>
      </c>
      <c r="E696" s="42">
        <f>C696-D696</f>
        <v/>
      </c>
      <c r="F696" s="42">
        <f>(E696-F757)^2</f>
        <v/>
      </c>
      <c r="G696" s="41">
        <f>(E696-F757)^3</f>
        <v/>
      </c>
      <c r="H696" s="41">
        <f>(E696-F757)^4</f>
        <v/>
      </c>
      <c r="I696" s="40" t="n"/>
    </row>
    <row r="697" ht="15" customHeight="1" s="28">
      <c r="A697" s="37" t="n">
        <v>685</v>
      </c>
      <c r="B697" s="37" t="n">
        <v>684</v>
      </c>
      <c r="C697" s="38" t="n">
        <v>4725.67</v>
      </c>
      <c r="D697" s="38">
        <f>4541.138727+0.225904*B697</f>
        <v/>
      </c>
      <c r="E697" s="39">
        <f>C697-D697</f>
        <v/>
      </c>
      <c r="F697" s="39">
        <f>(E697-F757)^2</f>
        <v/>
      </c>
      <c r="G697" s="38">
        <f>(E697-F757)^3</f>
        <v/>
      </c>
      <c r="H697" s="38">
        <f>(E697-F757)^4</f>
        <v/>
      </c>
      <c r="I697" s="37" t="n"/>
    </row>
    <row r="698" ht="15" customHeight="1" s="28">
      <c r="A698" s="40" t="n">
        <v>686</v>
      </c>
      <c r="B698" s="40" t="n">
        <v>685</v>
      </c>
      <c r="C698" s="41" t="n">
        <v>4715.31</v>
      </c>
      <c r="D698" s="41">
        <f>4541.138727+0.225904*B698</f>
        <v/>
      </c>
      <c r="E698" s="42">
        <f>C698-D698</f>
        <v/>
      </c>
      <c r="F698" s="42">
        <f>(E698-F757)^2</f>
        <v/>
      </c>
      <c r="G698" s="41">
        <f>(E698-F757)^3</f>
        <v/>
      </c>
      <c r="H698" s="41">
        <f>(E698-F757)^4</f>
        <v/>
      </c>
      <c r="I698" s="40" t="n"/>
    </row>
    <row r="699" ht="15" customHeight="1" s="28">
      <c r="A699" s="37" t="n">
        <v>687</v>
      </c>
      <c r="B699" s="37" t="n">
        <v>686</v>
      </c>
      <c r="C699" s="38" t="n">
        <v>4706.67</v>
      </c>
      <c r="D699" s="38">
        <f>4541.138727+0.225904*B699</f>
        <v/>
      </c>
      <c r="E699" s="39">
        <f>C699-D699</f>
        <v/>
      </c>
      <c r="F699" s="39">
        <f>(E699-F757)^2</f>
        <v/>
      </c>
      <c r="G699" s="38">
        <f>(E699-F757)^3</f>
        <v/>
      </c>
      <c r="H699" s="38">
        <f>(E699-F757)^4</f>
        <v/>
      </c>
      <c r="I699" s="37" t="n"/>
    </row>
    <row r="700" ht="15" customHeight="1" s="28">
      <c r="A700" s="40" t="n">
        <v>688</v>
      </c>
      <c r="B700" s="40" t="n">
        <v>687</v>
      </c>
      <c r="C700" s="41" t="n">
        <v>4708.14</v>
      </c>
      <c r="D700" s="41">
        <f>4541.138727+0.225904*B700</f>
        <v/>
      </c>
      <c r="E700" s="42">
        <f>C700-D700</f>
        <v/>
      </c>
      <c r="F700" s="42">
        <f>(E700-F757)^2</f>
        <v/>
      </c>
      <c r="G700" s="41">
        <f>(E700-F757)^3</f>
        <v/>
      </c>
      <c r="H700" s="41">
        <f>(E700-F757)^4</f>
        <v/>
      </c>
      <c r="I700" s="40" t="n"/>
    </row>
    <row r="701" ht="15" customHeight="1" s="28">
      <c r="A701" s="37" t="n">
        <v>689</v>
      </c>
      <c r="B701" s="37" t="n">
        <v>688</v>
      </c>
      <c r="C701" s="38" t="n">
        <v>4707.87</v>
      </c>
      <c r="D701" s="38">
        <f>4541.138727+0.225904*B701</f>
        <v/>
      </c>
      <c r="E701" s="39">
        <f>C701-D701</f>
        <v/>
      </c>
      <c r="F701" s="39">
        <f>(E701-F757)^2</f>
        <v/>
      </c>
      <c r="G701" s="38">
        <f>(E701-F757)^3</f>
        <v/>
      </c>
      <c r="H701" s="38">
        <f>(E701-F757)^4</f>
        <v/>
      </c>
      <c r="I701" s="37" t="n"/>
    </row>
    <row r="702" ht="15" customHeight="1" s="28">
      <c r="A702" s="40" t="n">
        <v>690</v>
      </c>
      <c r="B702" s="40" t="n">
        <v>689</v>
      </c>
      <c r="C702" s="41" t="n">
        <v>4711.45</v>
      </c>
      <c r="D702" s="41">
        <f>4541.138727+0.225904*B702</f>
        <v/>
      </c>
      <c r="E702" s="42">
        <f>C702-D702</f>
        <v/>
      </c>
      <c r="F702" s="42">
        <f>(E702-F757)^2</f>
        <v/>
      </c>
      <c r="G702" s="41">
        <f>(E702-F757)^3</f>
        <v/>
      </c>
      <c r="H702" s="41">
        <f>(E702-F757)^4</f>
        <v/>
      </c>
      <c r="I702" s="40" t="n"/>
    </row>
    <row r="703" ht="15" customHeight="1" s="28">
      <c r="A703" s="37" t="n">
        <v>691</v>
      </c>
      <c r="B703" s="37" t="n">
        <v>690</v>
      </c>
      <c r="C703" s="38" t="n">
        <v>4716.82</v>
      </c>
      <c r="D703" s="38">
        <f>4541.138727+0.225904*B703</f>
        <v/>
      </c>
      <c r="E703" s="39">
        <f>C703-D703</f>
        <v/>
      </c>
      <c r="F703" s="39">
        <f>(E703-F757)^2</f>
        <v/>
      </c>
      <c r="G703" s="38">
        <f>(E703-F757)^3</f>
        <v/>
      </c>
      <c r="H703" s="38">
        <f>(E703-F757)^4</f>
        <v/>
      </c>
      <c r="I703" s="37" t="n"/>
    </row>
    <row r="704" ht="15" customHeight="1" s="28">
      <c r="A704" s="40" t="n">
        <v>692</v>
      </c>
      <c r="B704" s="40" t="n">
        <v>691</v>
      </c>
      <c r="C704" s="41" t="n">
        <v>4716.85</v>
      </c>
      <c r="D704" s="41">
        <f>4541.138727+0.225904*B704</f>
        <v/>
      </c>
      <c r="E704" s="42">
        <f>C704-D704</f>
        <v/>
      </c>
      <c r="F704" s="42">
        <f>(E704-F757)^2</f>
        <v/>
      </c>
      <c r="G704" s="41">
        <f>(E704-F757)^3</f>
        <v/>
      </c>
      <c r="H704" s="41">
        <f>(E704-F757)^4</f>
        <v/>
      </c>
      <c r="I704" s="40" t="n"/>
    </row>
    <row r="705" ht="15" customHeight="1" s="28">
      <c r="A705" s="37" t="n">
        <v>693</v>
      </c>
      <c r="B705" s="37" t="n">
        <v>692</v>
      </c>
      <c r="C705" s="38" t="n">
        <v>4715.7</v>
      </c>
      <c r="D705" s="38">
        <f>4541.138727+0.225904*B705</f>
        <v/>
      </c>
      <c r="E705" s="39">
        <f>C705-D705</f>
        <v/>
      </c>
      <c r="F705" s="39">
        <f>(E705-F757)^2</f>
        <v/>
      </c>
      <c r="G705" s="38">
        <f>(E705-F757)^3</f>
        <v/>
      </c>
      <c r="H705" s="38">
        <f>(E705-F757)^4</f>
        <v/>
      </c>
      <c r="I705" s="37" t="n"/>
    </row>
    <row r="706" ht="15" customHeight="1" s="28">
      <c r="A706" s="40" t="n">
        <v>694</v>
      </c>
      <c r="B706" s="40" t="n">
        <v>693</v>
      </c>
      <c r="C706" s="41" t="n">
        <v>4718.38</v>
      </c>
      <c r="D706" s="41">
        <f>4541.138727+0.225904*B706</f>
        <v/>
      </c>
      <c r="E706" s="42">
        <f>C706-D706</f>
        <v/>
      </c>
      <c r="F706" s="42">
        <f>(E706-F757)^2</f>
        <v/>
      </c>
      <c r="G706" s="41">
        <f>(E706-F757)^3</f>
        <v/>
      </c>
      <c r="H706" s="41">
        <f>(E706-F757)^4</f>
        <v/>
      </c>
      <c r="I706" s="40" t="n"/>
    </row>
    <row r="707" ht="15" customHeight="1" s="28">
      <c r="A707" s="37" t="n">
        <v>695</v>
      </c>
      <c r="B707" s="37" t="n">
        <v>694</v>
      </c>
      <c r="C707" s="38" t="n">
        <v>4717.81</v>
      </c>
      <c r="D707" s="38">
        <f>4541.138727+0.225904*B707</f>
        <v/>
      </c>
      <c r="E707" s="39">
        <f>C707-D707</f>
        <v/>
      </c>
      <c r="F707" s="39">
        <f>(E707-F757)^2</f>
        <v/>
      </c>
      <c r="G707" s="38">
        <f>(E707-F757)^3</f>
        <v/>
      </c>
      <c r="H707" s="38">
        <f>(E707-F757)^4</f>
        <v/>
      </c>
      <c r="I707" s="37" t="n"/>
    </row>
    <row r="708" ht="15" customHeight="1" s="28">
      <c r="A708" s="40" t="n">
        <v>696</v>
      </c>
      <c r="B708" s="40" t="n">
        <v>695</v>
      </c>
      <c r="C708" s="41" t="n">
        <v>4713.35</v>
      </c>
      <c r="D708" s="41">
        <f>4541.138727+0.225904*B708</f>
        <v/>
      </c>
      <c r="E708" s="42">
        <f>C708-D708</f>
        <v/>
      </c>
      <c r="F708" s="42">
        <f>(E708-F757)^2</f>
        <v/>
      </c>
      <c r="G708" s="41">
        <f>(E708-F757)^3</f>
        <v/>
      </c>
      <c r="H708" s="41">
        <f>(E708-F757)^4</f>
        <v/>
      </c>
      <c r="I708" s="40" t="n"/>
    </row>
    <row r="709" ht="15" customHeight="1" s="28">
      <c r="A709" s="37" t="n">
        <v>697</v>
      </c>
      <c r="B709" s="37" t="n">
        <v>696</v>
      </c>
      <c r="C709" s="38" t="n">
        <v>4711.79</v>
      </c>
      <c r="D709" s="38">
        <f>4541.138727+0.225904*B709</f>
        <v/>
      </c>
      <c r="E709" s="39">
        <f>C709-D709</f>
        <v/>
      </c>
      <c r="F709" s="39">
        <f>(E709-F757)^2</f>
        <v/>
      </c>
      <c r="G709" s="38">
        <f>(E709-F757)^3</f>
        <v/>
      </c>
      <c r="H709" s="38">
        <f>(E709-F757)^4</f>
        <v/>
      </c>
      <c r="I709" s="37" t="n"/>
    </row>
    <row r="710" ht="15" customHeight="1" s="28">
      <c r="A710" s="40" t="n">
        <v>698</v>
      </c>
      <c r="B710" s="40" t="n">
        <v>697</v>
      </c>
      <c r="C710" s="41" t="n">
        <v>4718.94</v>
      </c>
      <c r="D710" s="41">
        <f>4541.138727+0.225904*B710</f>
        <v/>
      </c>
      <c r="E710" s="42">
        <f>C710-D710</f>
        <v/>
      </c>
      <c r="F710" s="42">
        <f>(E710-F757)^2</f>
        <v/>
      </c>
      <c r="G710" s="41">
        <f>(E710-F757)^3</f>
        <v/>
      </c>
      <c r="H710" s="41">
        <f>(E710-F757)^4</f>
        <v/>
      </c>
      <c r="I710" s="40" t="n"/>
    </row>
    <row r="711" ht="15" customHeight="1" s="28">
      <c r="A711" s="37" t="n">
        <v>699</v>
      </c>
      <c r="B711" s="37" t="n">
        <v>698</v>
      </c>
      <c r="C711" s="38" t="n">
        <v>4720.38</v>
      </c>
      <c r="D711" s="38">
        <f>4541.138727+0.225904*B711</f>
        <v/>
      </c>
      <c r="E711" s="39">
        <f>C711-D711</f>
        <v/>
      </c>
      <c r="F711" s="39">
        <f>(E711-F757)^2</f>
        <v/>
      </c>
      <c r="G711" s="38">
        <f>(E711-F757)^3</f>
        <v/>
      </c>
      <c r="H711" s="38">
        <f>(E711-F757)^4</f>
        <v/>
      </c>
      <c r="I711" s="37" t="n"/>
    </row>
    <row r="712" ht="15" customHeight="1" s="28">
      <c r="A712" s="40" t="n">
        <v>700</v>
      </c>
      <c r="B712" s="40" t="n">
        <v>699</v>
      </c>
      <c r="C712" s="41" t="n">
        <v>4724.48</v>
      </c>
      <c r="D712" s="41">
        <f>4541.138727+0.225904*B712</f>
        <v/>
      </c>
      <c r="E712" s="42">
        <f>C712-D712</f>
        <v/>
      </c>
      <c r="F712" s="42">
        <f>(E712-F757)^2</f>
        <v/>
      </c>
      <c r="G712" s="41">
        <f>(E712-F757)^3</f>
        <v/>
      </c>
      <c r="H712" s="41">
        <f>(E712-F757)^4</f>
        <v/>
      </c>
      <c r="I712" s="40" t="n"/>
    </row>
    <row r="713" ht="15" customHeight="1" s="28">
      <c r="A713" s="37" t="n">
        <v>701</v>
      </c>
      <c r="B713" s="37" t="n">
        <v>700</v>
      </c>
      <c r="C713" s="38" t="n">
        <v>4719.94</v>
      </c>
      <c r="D713" s="38">
        <f>4541.138727+0.225904*B713</f>
        <v/>
      </c>
      <c r="E713" s="39">
        <f>C713-D713</f>
        <v/>
      </c>
      <c r="F713" s="39">
        <f>(E713-F757)^2</f>
        <v/>
      </c>
      <c r="G713" s="38">
        <f>(E713-F757)^3</f>
        <v/>
      </c>
      <c r="H713" s="38">
        <f>(E713-F757)^4</f>
        <v/>
      </c>
      <c r="I713" s="37" t="n"/>
    </row>
    <row r="714" ht="15" customHeight="1" s="28">
      <c r="A714" s="40" t="n">
        <v>702</v>
      </c>
      <c r="B714" s="40" t="n">
        <v>701</v>
      </c>
      <c r="C714" s="41" t="n">
        <v>4722.05</v>
      </c>
      <c r="D714" s="41">
        <f>4541.138727+0.225904*B714</f>
        <v/>
      </c>
      <c r="E714" s="42">
        <f>C714-D714</f>
        <v/>
      </c>
      <c r="F714" s="42">
        <f>(E714-F757)^2</f>
        <v/>
      </c>
      <c r="G714" s="41">
        <f>(E714-F757)^3</f>
        <v/>
      </c>
      <c r="H714" s="41">
        <f>(E714-F757)^4</f>
        <v/>
      </c>
      <c r="I714" s="40" t="n"/>
    </row>
    <row r="715" ht="15" customHeight="1" s="28">
      <c r="A715" s="37" t="n">
        <v>703</v>
      </c>
      <c r="B715" s="37" t="n">
        <v>702</v>
      </c>
      <c r="C715" s="38" t="n">
        <v>4724.08</v>
      </c>
      <c r="D715" s="38">
        <f>4541.138727+0.225904*B715</f>
        <v/>
      </c>
      <c r="E715" s="39">
        <f>C715-D715</f>
        <v/>
      </c>
      <c r="F715" s="39">
        <f>(E715-F757)^2</f>
        <v/>
      </c>
      <c r="G715" s="38">
        <f>(E715-F757)^3</f>
        <v/>
      </c>
      <c r="H715" s="38">
        <f>(E715-F757)^4</f>
        <v/>
      </c>
      <c r="I715" s="37" t="n"/>
    </row>
    <row r="716" ht="15" customHeight="1" s="28">
      <c r="A716" s="40" t="n">
        <v>704</v>
      </c>
      <c r="B716" s="40" t="n">
        <v>703</v>
      </c>
      <c r="C716" s="41" t="n">
        <v>4721.18</v>
      </c>
      <c r="D716" s="41">
        <f>4541.138727+0.225904*B716</f>
        <v/>
      </c>
      <c r="E716" s="42">
        <f>C716-D716</f>
        <v/>
      </c>
      <c r="F716" s="42">
        <f>(E716-F757)^2</f>
        <v/>
      </c>
      <c r="G716" s="41">
        <f>(E716-F757)^3</f>
        <v/>
      </c>
      <c r="H716" s="41">
        <f>(E716-F757)^4</f>
        <v/>
      </c>
      <c r="I716" s="40" t="n"/>
    </row>
    <row r="717" ht="15" customHeight="1" s="28">
      <c r="A717" s="37" t="n">
        <v>705</v>
      </c>
      <c r="B717" s="37" t="n">
        <v>704</v>
      </c>
      <c r="C717" s="38" t="n">
        <v>4717.8</v>
      </c>
      <c r="D717" s="38">
        <f>4541.138727+0.225904*B717</f>
        <v/>
      </c>
      <c r="E717" s="39">
        <f>C717-D717</f>
        <v/>
      </c>
      <c r="F717" s="39">
        <f>(E717-F757)^2</f>
        <v/>
      </c>
      <c r="G717" s="38">
        <f>(E717-F757)^3</f>
        <v/>
      </c>
      <c r="H717" s="38">
        <f>(E717-F757)^4</f>
        <v/>
      </c>
      <c r="I717" s="37" t="n"/>
    </row>
    <row r="718" ht="15" customHeight="1" s="28">
      <c r="A718" s="40" t="n">
        <v>706</v>
      </c>
      <c r="B718" s="40" t="n">
        <v>705</v>
      </c>
      <c r="C718" s="41" t="n">
        <v>4704.7</v>
      </c>
      <c r="D718" s="41">
        <f>4541.138727+0.225904*B718</f>
        <v/>
      </c>
      <c r="E718" s="42">
        <f>C718-D718</f>
        <v/>
      </c>
      <c r="F718" s="42">
        <f>(E718-F757)^2</f>
        <v/>
      </c>
      <c r="G718" s="41">
        <f>(E718-F757)^3</f>
        <v/>
      </c>
      <c r="H718" s="41">
        <f>(E718-F757)^4</f>
        <v/>
      </c>
      <c r="I718" s="40" t="n"/>
    </row>
    <row r="719" ht="15" customHeight="1" s="28">
      <c r="A719" s="37" t="n">
        <v>707</v>
      </c>
      <c r="B719" s="37" t="n">
        <v>706</v>
      </c>
      <c r="C719" s="38" t="n">
        <v>4710.4</v>
      </c>
      <c r="D719" s="38">
        <f>4541.138727+0.225904*B719</f>
        <v/>
      </c>
      <c r="E719" s="39">
        <f>C719-D719</f>
        <v/>
      </c>
      <c r="F719" s="39">
        <f>(E719-F757)^2</f>
        <v/>
      </c>
      <c r="G719" s="38">
        <f>(E719-F757)^3</f>
        <v/>
      </c>
      <c r="H719" s="38">
        <f>(E719-F757)^4</f>
        <v/>
      </c>
      <c r="I719" s="37" t="n"/>
    </row>
    <row r="720" ht="15" customHeight="1" s="28">
      <c r="A720" s="40" t="n">
        <v>708</v>
      </c>
      <c r="B720" s="40" t="n">
        <v>707</v>
      </c>
      <c r="C720" s="41" t="n">
        <v>4723.84</v>
      </c>
      <c r="D720" s="41">
        <f>4541.138727+0.225904*B720</f>
        <v/>
      </c>
      <c r="E720" s="42">
        <f>C720-D720</f>
        <v/>
      </c>
      <c r="F720" s="42">
        <f>(E720-F757)^2</f>
        <v/>
      </c>
      <c r="G720" s="41">
        <f>(E720-F757)^3</f>
        <v/>
      </c>
      <c r="H720" s="41">
        <f>(E720-F757)^4</f>
        <v/>
      </c>
      <c r="I720" s="40" t="n"/>
    </row>
    <row r="721" ht="15" customHeight="1" s="28">
      <c r="A721" s="37" t="n">
        <v>709</v>
      </c>
      <c r="B721" s="37" t="n">
        <v>708</v>
      </c>
      <c r="C721" s="38" t="n">
        <v>4724.41</v>
      </c>
      <c r="D721" s="38">
        <f>4541.138727+0.225904*B721</f>
        <v/>
      </c>
      <c r="E721" s="39">
        <f>C721-D721</f>
        <v/>
      </c>
      <c r="F721" s="39">
        <f>(E721-F757)^2</f>
        <v/>
      </c>
      <c r="G721" s="38">
        <f>(E721-F757)^3</f>
        <v/>
      </c>
      <c r="H721" s="38">
        <f>(E721-F757)^4</f>
        <v/>
      </c>
      <c r="I721" s="37" t="n"/>
    </row>
    <row r="722" ht="15" customHeight="1" s="28">
      <c r="A722" s="40" t="n">
        <v>710</v>
      </c>
      <c r="B722" s="40" t="n">
        <v>709</v>
      </c>
      <c r="C722" s="41" t="n">
        <v>4720.41</v>
      </c>
      <c r="D722" s="41">
        <f>4541.138727+0.225904*B722</f>
        <v/>
      </c>
      <c r="E722" s="42">
        <f>C722-D722</f>
        <v/>
      </c>
      <c r="F722" s="42">
        <f>(E722-F757)^2</f>
        <v/>
      </c>
      <c r="G722" s="41">
        <f>(E722-F757)^3</f>
        <v/>
      </c>
      <c r="H722" s="41">
        <f>(E722-F757)^4</f>
        <v/>
      </c>
      <c r="I722" s="40" t="n"/>
    </row>
    <row r="723" ht="15" customHeight="1" s="28">
      <c r="A723" s="37" t="n">
        <v>711</v>
      </c>
      <c r="B723" s="37" t="n">
        <v>710</v>
      </c>
      <c r="C723" s="38" t="n">
        <v>4727.11</v>
      </c>
      <c r="D723" s="38">
        <f>4541.138727+0.225904*B723</f>
        <v/>
      </c>
      <c r="E723" s="39">
        <f>C723-D723</f>
        <v/>
      </c>
      <c r="F723" s="39">
        <f>(E723-F757)^2</f>
        <v/>
      </c>
      <c r="G723" s="38">
        <f>(E723-F757)^3</f>
        <v/>
      </c>
      <c r="H723" s="38">
        <f>(E723-F757)^4</f>
        <v/>
      </c>
      <c r="I723" s="37" t="n"/>
    </row>
    <row r="724" ht="15" customHeight="1" s="28">
      <c r="A724" s="40" t="n">
        <v>712</v>
      </c>
      <c r="B724" s="40" t="n">
        <v>711</v>
      </c>
      <c r="C724" s="41" t="n">
        <v>4738.02</v>
      </c>
      <c r="D724" s="41">
        <f>4541.138727+0.225904*B724</f>
        <v/>
      </c>
      <c r="E724" s="42">
        <f>C724-D724</f>
        <v/>
      </c>
      <c r="F724" s="42">
        <f>(E724-F757)^2</f>
        <v/>
      </c>
      <c r="G724" s="41">
        <f>(E724-F757)^3</f>
        <v/>
      </c>
      <c r="H724" s="41">
        <f>(E724-F757)^4</f>
        <v/>
      </c>
      <c r="I724" s="40" t="n"/>
    </row>
    <row r="725" ht="15" customHeight="1" s="28">
      <c r="A725" s="37" t="n">
        <v>713</v>
      </c>
      <c r="B725" s="37" t="n">
        <v>712</v>
      </c>
      <c r="C725" s="38" t="n">
        <v>4747.9</v>
      </c>
      <c r="D725" s="38">
        <f>4541.138727+0.225904*B725</f>
        <v/>
      </c>
      <c r="E725" s="39">
        <f>C725-D725</f>
        <v/>
      </c>
      <c r="F725" s="39">
        <f>(E725-F757)^2</f>
        <v/>
      </c>
      <c r="G725" s="38">
        <f>(E725-F757)^3</f>
        <v/>
      </c>
      <c r="H725" s="38">
        <f>(E725-F757)^4</f>
        <v/>
      </c>
      <c r="I725" s="37" t="n"/>
    </row>
    <row r="726" ht="15" customHeight="1" s="28">
      <c r="A726" s="40" t="n">
        <v>714</v>
      </c>
      <c r="B726" s="40" t="n">
        <v>713</v>
      </c>
      <c r="C726" s="41" t="n">
        <v>4731.78</v>
      </c>
      <c r="D726" s="41">
        <f>4541.138727+0.225904*B726</f>
        <v/>
      </c>
      <c r="E726" s="42">
        <f>C726-D726</f>
        <v/>
      </c>
      <c r="F726" s="42">
        <f>(E726-F757)^2</f>
        <v/>
      </c>
      <c r="G726" s="41">
        <f>(E726-F757)^3</f>
        <v/>
      </c>
      <c r="H726" s="41">
        <f>(E726-F757)^4</f>
        <v/>
      </c>
      <c r="I726" s="40" t="n"/>
    </row>
    <row r="727" ht="15" customHeight="1" s="28">
      <c r="A727" s="37" t="n">
        <v>715</v>
      </c>
      <c r="B727" s="37" t="n">
        <v>714</v>
      </c>
      <c r="C727" s="38" t="n">
        <v>4719.14</v>
      </c>
      <c r="D727" s="38">
        <f>4541.138727+0.225904*B727</f>
        <v/>
      </c>
      <c r="E727" s="39">
        <f>C727-D727</f>
        <v/>
      </c>
      <c r="F727" s="39">
        <f>(E727-F757)^2</f>
        <v/>
      </c>
      <c r="G727" s="38">
        <f>(E727-F757)^3</f>
        <v/>
      </c>
      <c r="H727" s="38">
        <f>(E727-F757)^4</f>
        <v/>
      </c>
      <c r="I727" s="37" t="n"/>
    </row>
    <row r="728" ht="15" customHeight="1" s="28">
      <c r="A728" s="40" t="n">
        <v>716</v>
      </c>
      <c r="B728" s="40" t="n">
        <v>715</v>
      </c>
      <c r="C728" s="41" t="n">
        <v>4722.71</v>
      </c>
      <c r="D728" s="41">
        <f>4541.138727+0.225904*B728</f>
        <v/>
      </c>
      <c r="E728" s="42">
        <f>C728-D728</f>
        <v/>
      </c>
      <c r="F728" s="42">
        <f>(E728-F757)^2</f>
        <v/>
      </c>
      <c r="G728" s="41">
        <f>(E728-F757)^3</f>
        <v/>
      </c>
      <c r="H728" s="41">
        <f>(E728-F757)^4</f>
        <v/>
      </c>
      <c r="I728" s="40" t="n"/>
    </row>
    <row r="729" ht="15" customHeight="1" s="28">
      <c r="A729" s="37" t="n">
        <v>717</v>
      </c>
      <c r="B729" s="37" t="n">
        <v>716</v>
      </c>
      <c r="C729" s="38" t="n">
        <v>4716.02</v>
      </c>
      <c r="D729" s="38">
        <f>4541.138727+0.225904*B729</f>
        <v/>
      </c>
      <c r="E729" s="39">
        <f>C729-D729</f>
        <v/>
      </c>
      <c r="F729" s="39">
        <f>(E729-F757)^2</f>
        <v/>
      </c>
      <c r="G729" s="38">
        <f>(E729-F757)^3</f>
        <v/>
      </c>
      <c r="H729" s="38">
        <f>(E729-F757)^4</f>
        <v/>
      </c>
      <c r="I729" s="37" t="n"/>
    </row>
    <row r="730" ht="15" customHeight="1" s="28">
      <c r="A730" s="40" t="n">
        <v>718</v>
      </c>
      <c r="B730" s="40" t="n">
        <v>717</v>
      </c>
      <c r="C730" s="41" t="n">
        <v>4707.62</v>
      </c>
      <c r="D730" s="41">
        <f>4541.138727+0.225904*B730</f>
        <v/>
      </c>
      <c r="E730" s="42">
        <f>C730-D730</f>
        <v/>
      </c>
      <c r="F730" s="42">
        <f>(E730-F757)^2</f>
        <v/>
      </c>
      <c r="G730" s="41">
        <f>(E730-F757)^3</f>
        <v/>
      </c>
      <c r="H730" s="41">
        <f>(E730-F757)^4</f>
        <v/>
      </c>
      <c r="I730" s="40" t="n"/>
    </row>
    <row r="731" ht="15" customHeight="1" s="28">
      <c r="A731" s="37" t="n">
        <v>719</v>
      </c>
      <c r="B731" s="37" t="n">
        <v>718</v>
      </c>
      <c r="C731" s="38" t="n">
        <v>4713.43</v>
      </c>
      <c r="D731" s="38">
        <f>4541.138727+0.225904*B731</f>
        <v/>
      </c>
      <c r="E731" s="39">
        <f>C731-D731</f>
        <v/>
      </c>
      <c r="F731" s="39">
        <f>(E731-F757)^2</f>
        <v/>
      </c>
      <c r="G731" s="38">
        <f>(E731-F757)^3</f>
        <v/>
      </c>
      <c r="H731" s="38">
        <f>(E731-F757)^4</f>
        <v/>
      </c>
      <c r="I731" s="37" t="n"/>
    </row>
    <row r="732" ht="15" customHeight="1" s="28">
      <c r="A732" s="40" t="n">
        <v>720</v>
      </c>
      <c r="B732" s="40" t="n">
        <v>719</v>
      </c>
      <c r="C732" s="41" t="n">
        <v>4705.96</v>
      </c>
      <c r="D732" s="41">
        <f>4541.138727+0.225904*B732</f>
        <v/>
      </c>
      <c r="E732" s="42">
        <f>C732-D732</f>
        <v/>
      </c>
      <c r="F732" s="42">
        <f>(E732-F757)^2</f>
        <v/>
      </c>
      <c r="G732" s="41">
        <f>(E732-F757)^3</f>
        <v/>
      </c>
      <c r="H732" s="41">
        <f>(E732-F757)^4</f>
        <v/>
      </c>
      <c r="I732" s="40" t="n"/>
    </row>
    <row r="733" ht="15" customHeight="1" s="28">
      <c r="A733" s="37" t="n">
        <v>721</v>
      </c>
      <c r="B733" s="37" t="n">
        <v>720</v>
      </c>
      <c r="C733" s="38" t="n">
        <v>4707.13</v>
      </c>
      <c r="D733" s="38">
        <f>4541.138727+0.225904*B733</f>
        <v/>
      </c>
      <c r="E733" s="39">
        <f>C733-D733</f>
        <v/>
      </c>
      <c r="F733" s="39">
        <f>(E733-F757)^2</f>
        <v/>
      </c>
      <c r="G733" s="38">
        <f>(E733-F757)^3</f>
        <v/>
      </c>
      <c r="H733" s="38">
        <f>(E733-F757)^4</f>
        <v/>
      </c>
      <c r="I733" s="37" t="n"/>
    </row>
    <row r="734" ht="15" customHeight="1" s="28">
      <c r="A734" s="40" t="n">
        <v>722</v>
      </c>
      <c r="B734" s="40" t="n">
        <v>721</v>
      </c>
      <c r="C734" s="41" t="n">
        <v>4711.49</v>
      </c>
      <c r="D734" s="41">
        <f>4541.138727+0.225904*B734</f>
        <v/>
      </c>
      <c r="E734" s="42">
        <f>C734-D734</f>
        <v/>
      </c>
      <c r="F734" s="42">
        <f>(E734-F757)^2</f>
        <v/>
      </c>
      <c r="G734" s="41">
        <f>(E734-F757)^3</f>
        <v/>
      </c>
      <c r="H734" s="41">
        <f>(E734-F757)^4</f>
        <v/>
      </c>
      <c r="I734" s="40" t="n"/>
    </row>
    <row r="735" ht="15" customHeight="1" s="28">
      <c r="A735" s="37" t="n">
        <v>723</v>
      </c>
      <c r="B735" s="37" t="n">
        <v>722</v>
      </c>
      <c r="C735" s="38" t="n">
        <v>4717.67</v>
      </c>
      <c r="D735" s="38">
        <f>4541.138727+0.225904*B735</f>
        <v/>
      </c>
      <c r="E735" s="39">
        <f>C735-D735</f>
        <v/>
      </c>
      <c r="F735" s="39">
        <f>(E735-F757)^2</f>
        <v/>
      </c>
      <c r="G735" s="38">
        <f>(E735-F757)^3</f>
        <v/>
      </c>
      <c r="H735" s="38">
        <f>(E735-F757)^4</f>
        <v/>
      </c>
      <c r="I735" s="37" t="n"/>
    </row>
    <row r="736" ht="15" customHeight="1" s="28">
      <c r="A736" s="40" t="n">
        <v>724</v>
      </c>
      <c r="B736" s="40" t="n">
        <v>723</v>
      </c>
      <c r="C736" s="41" t="n">
        <v>4713.4</v>
      </c>
      <c r="D736" s="41">
        <f>4541.138727+0.225904*B736</f>
        <v/>
      </c>
      <c r="E736" s="42">
        <f>C736-D736</f>
        <v/>
      </c>
      <c r="F736" s="42">
        <f>(E736-F757)^2</f>
        <v/>
      </c>
      <c r="G736" s="41">
        <f>(E736-F757)^3</f>
        <v/>
      </c>
      <c r="H736" s="41">
        <f>(E736-F757)^4</f>
        <v/>
      </c>
      <c r="I736" s="40" t="n"/>
    </row>
    <row r="737" ht="15" customHeight="1" s="28">
      <c r="A737" s="37" t="n">
        <v>725</v>
      </c>
      <c r="B737" s="37" t="n">
        <v>724</v>
      </c>
      <c r="C737" s="38" t="n">
        <v>4712.52</v>
      </c>
      <c r="D737" s="38">
        <f>4541.138727+0.225904*B737</f>
        <v/>
      </c>
      <c r="E737" s="39">
        <f>C737-D737</f>
        <v/>
      </c>
      <c r="F737" s="39">
        <f>(E737-F757)^2</f>
        <v/>
      </c>
      <c r="G737" s="38">
        <f>(E737-F757)^3</f>
        <v/>
      </c>
      <c r="H737" s="38">
        <f>(E737-F757)^4</f>
        <v/>
      </c>
      <c r="I737" s="37" t="n"/>
    </row>
    <row r="738" ht="15" customHeight="1" s="28">
      <c r="A738" s="40" t="n">
        <v>726</v>
      </c>
      <c r="B738" s="40" t="n">
        <v>725</v>
      </c>
      <c r="C738" s="41" t="n">
        <v>4715.4</v>
      </c>
      <c r="D738" s="41">
        <f>4541.138727+0.225904*B738</f>
        <v/>
      </c>
      <c r="E738" s="42">
        <f>C738-D738</f>
        <v/>
      </c>
      <c r="F738" s="42">
        <f>(E738-F757)^2</f>
        <v/>
      </c>
      <c r="G738" s="41">
        <f>(E738-F757)^3</f>
        <v/>
      </c>
      <c r="H738" s="41">
        <f>(E738-F757)^4</f>
        <v/>
      </c>
      <c r="I738" s="40" t="n"/>
    </row>
    <row r="739" ht="15" customHeight="1" s="28">
      <c r="A739" s="37" t="n">
        <v>727</v>
      </c>
      <c r="B739" s="37" t="n">
        <v>726</v>
      </c>
      <c r="C739" s="38" t="n">
        <v>4720.64</v>
      </c>
      <c r="D739" s="38">
        <f>4541.138727+0.225904*B739</f>
        <v/>
      </c>
      <c r="E739" s="39">
        <f>C739-D739</f>
        <v/>
      </c>
      <c r="F739" s="39">
        <f>(E739-F757)^2</f>
        <v/>
      </c>
      <c r="G739" s="38">
        <f>(E739-F757)^3</f>
        <v/>
      </c>
      <c r="H739" s="38">
        <f>(E739-F757)^4</f>
        <v/>
      </c>
      <c r="I739" s="37" t="n"/>
    </row>
    <row r="740" ht="15" customHeight="1" s="28">
      <c r="A740" s="40" t="n">
        <v>728</v>
      </c>
      <c r="B740" s="40" t="n">
        <v>727</v>
      </c>
      <c r="C740" s="41" t="n">
        <v>4720.74</v>
      </c>
      <c r="D740" s="41">
        <f>4541.138727+0.225904*B740</f>
        <v/>
      </c>
      <c r="E740" s="42">
        <f>C740-D740</f>
        <v/>
      </c>
      <c r="F740" s="42">
        <f>(E740-F757)^2</f>
        <v/>
      </c>
      <c r="G740" s="41">
        <f>(E740-F757)^3</f>
        <v/>
      </c>
      <c r="H740" s="41">
        <f>(E740-F757)^4</f>
        <v/>
      </c>
      <c r="I740" s="40" t="n"/>
    </row>
    <row r="741" ht="15" customHeight="1" s="28">
      <c r="A741" s="37" t="n">
        <v>729</v>
      </c>
      <c r="B741" s="37" t="n">
        <v>728</v>
      </c>
      <c r="C741" s="38" t="n">
        <v>4720.99</v>
      </c>
      <c r="D741" s="38">
        <f>4541.138727+0.225904*B741</f>
        <v/>
      </c>
      <c r="E741" s="39">
        <f>C741-D741</f>
        <v/>
      </c>
      <c r="F741" s="39">
        <f>(E741-F757)^2</f>
        <v/>
      </c>
      <c r="G741" s="38">
        <f>(E741-F757)^3</f>
        <v/>
      </c>
      <c r="H741" s="38">
        <f>(E741-F757)^4</f>
        <v/>
      </c>
      <c r="I741" s="37" t="n"/>
    </row>
    <row r="742" ht="15" customHeight="1" s="28">
      <c r="A742" s="40" t="n">
        <v>730</v>
      </c>
      <c r="B742" s="40" t="n">
        <v>729</v>
      </c>
      <c r="C742" s="41" t="n">
        <v>4727.48</v>
      </c>
      <c r="D742" s="41">
        <f>4541.138727+0.225904*B742</f>
        <v/>
      </c>
      <c r="E742" s="42">
        <f>C742-D742</f>
        <v/>
      </c>
      <c r="F742" s="42">
        <f>(E742-F757)^2</f>
        <v/>
      </c>
      <c r="G742" s="41">
        <f>(E742-F757)^3</f>
        <v/>
      </c>
      <c r="H742" s="41">
        <f>(E742-F757)^4</f>
        <v/>
      </c>
      <c r="I742" s="40" t="n"/>
    </row>
    <row r="743" ht="15" customHeight="1" s="28">
      <c r="A743" s="37" t="n">
        <v>731</v>
      </c>
      <c r="B743" s="37" t="n">
        <v>730</v>
      </c>
      <c r="C743" s="38" t="n">
        <v>4725.66</v>
      </c>
      <c r="D743" s="38">
        <f>4541.138727+0.225904*B743</f>
        <v/>
      </c>
      <c r="E743" s="39">
        <f>C743-D743</f>
        <v/>
      </c>
      <c r="F743" s="39">
        <f>(E743-F757)^2</f>
        <v/>
      </c>
      <c r="G743" s="38">
        <f>(E743-F757)^3</f>
        <v/>
      </c>
      <c r="H743" s="38">
        <f>(E743-F757)^4</f>
        <v/>
      </c>
      <c r="I743" s="37" t="n"/>
    </row>
    <row r="744" ht="15" customHeight="1" s="28">
      <c r="A744" s="40" t="n">
        <v>732</v>
      </c>
      <c r="B744" s="40" t="n">
        <v>731</v>
      </c>
      <c r="C744" s="41" t="n">
        <v>4724.59</v>
      </c>
      <c r="D744" s="41">
        <f>4541.138727+0.225904*B744</f>
        <v/>
      </c>
      <c r="E744" s="42">
        <f>C744-D744</f>
        <v/>
      </c>
      <c r="F744" s="42">
        <f>(E744-F757)^2</f>
        <v/>
      </c>
      <c r="G744" s="41">
        <f>(E744-F757)^3</f>
        <v/>
      </c>
      <c r="H744" s="41">
        <f>(E744-F757)^4</f>
        <v/>
      </c>
      <c r="I744" s="40" t="n"/>
    </row>
    <row r="745" ht="15" customHeight="1" s="28">
      <c r="A745" s="37" t="n">
        <v>733</v>
      </c>
      <c r="B745" s="37" t="n">
        <v>732</v>
      </c>
      <c r="C745" s="38" t="n">
        <v>4721.83</v>
      </c>
      <c r="D745" s="38">
        <f>4541.138727+0.225904*B745</f>
        <v/>
      </c>
      <c r="E745" s="39">
        <f>C745-D745</f>
        <v/>
      </c>
      <c r="F745" s="39">
        <f>(E745-F757)^2</f>
        <v/>
      </c>
      <c r="G745" s="38">
        <f>(E745-F757)^3</f>
        <v/>
      </c>
      <c r="H745" s="38">
        <f>(E745-F757)^4</f>
        <v/>
      </c>
      <c r="I745" s="37" t="n"/>
    </row>
    <row r="746" ht="15" customHeight="1" s="28">
      <c r="A746" s="40" t="n">
        <v>734</v>
      </c>
      <c r="B746" s="40" t="n">
        <v>733</v>
      </c>
      <c r="C746" s="41" t="n">
        <v>4723.57</v>
      </c>
      <c r="D746" s="41">
        <f>4541.138727+0.225904*B746</f>
        <v/>
      </c>
      <c r="E746" s="42">
        <f>C746-D746</f>
        <v/>
      </c>
      <c r="F746" s="42">
        <f>(E746-F757)^2</f>
        <v/>
      </c>
      <c r="G746" s="41">
        <f>(E746-F757)^3</f>
        <v/>
      </c>
      <c r="H746" s="41">
        <f>(E746-F757)^4</f>
        <v/>
      </c>
      <c r="I746" s="40" t="n"/>
    </row>
    <row r="747" ht="15" customHeight="1" s="28">
      <c r="A747" s="37" t="n">
        <v>735</v>
      </c>
      <c r="B747" s="37" t="n">
        <v>734</v>
      </c>
      <c r="C747" s="38" t="n">
        <v>4723.71</v>
      </c>
      <c r="D747" s="38">
        <f>4541.138727+0.225904*B747</f>
        <v/>
      </c>
      <c r="E747" s="39">
        <f>C747-D747</f>
        <v/>
      </c>
      <c r="F747" s="39">
        <f>(E747-F757)^2</f>
        <v/>
      </c>
      <c r="G747" s="38">
        <f>(E747-F757)^3</f>
        <v/>
      </c>
      <c r="H747" s="38">
        <f>(E747-F757)^4</f>
        <v/>
      </c>
      <c r="I747" s="37" t="n"/>
    </row>
    <row r="748" ht="15" customHeight="1" s="28">
      <c r="A748" s="40" t="n">
        <v>736</v>
      </c>
      <c r="B748" s="40" t="n">
        <v>735</v>
      </c>
      <c r="C748" s="41" t="n">
        <v>4725.3</v>
      </c>
      <c r="D748" s="41">
        <f>4541.138727+0.225904*B748</f>
        <v/>
      </c>
      <c r="E748" s="42">
        <f>C748-D748</f>
        <v/>
      </c>
      <c r="F748" s="42">
        <f>(E748-F757)^2</f>
        <v/>
      </c>
      <c r="G748" s="41">
        <f>(E748-F757)^3</f>
        <v/>
      </c>
      <c r="H748" s="41">
        <f>(E748-F757)^4</f>
        <v/>
      </c>
      <c r="I748" s="40" t="n"/>
    </row>
    <row r="749" ht="15" customHeight="1" s="28">
      <c r="A749" s="37" t="n">
        <v>737</v>
      </c>
      <c r="B749" s="37" t="n">
        <v>736</v>
      </c>
      <c r="C749" s="38" t="n">
        <v>4724.02</v>
      </c>
      <c r="D749" s="38">
        <f>4541.138727+0.225904*B749</f>
        <v/>
      </c>
      <c r="E749" s="39">
        <f>C749-D749</f>
        <v/>
      </c>
      <c r="F749" s="39">
        <f>(E749-F757)^2</f>
        <v/>
      </c>
      <c r="G749" s="38">
        <f>(E749-F757)^3</f>
        <v/>
      </c>
      <c r="H749" s="38">
        <f>(E749-F757)^4</f>
        <v/>
      </c>
      <c r="I749" s="37" t="n"/>
    </row>
    <row r="750" ht="15" customHeight="1" s="28">
      <c r="A750" s="40" t="n">
        <v>738</v>
      </c>
      <c r="B750" s="40" t="n">
        <v>737</v>
      </c>
      <c r="C750" s="41" t="n">
        <v>4718.85</v>
      </c>
      <c r="D750" s="41">
        <f>4541.138727+0.225904*B750</f>
        <v/>
      </c>
      <c r="E750" s="42">
        <f>C750-D750</f>
        <v/>
      </c>
      <c r="F750" s="42">
        <f>(E750-F757)^2</f>
        <v/>
      </c>
      <c r="G750" s="41">
        <f>(E750-F757)^3</f>
        <v/>
      </c>
      <c r="H750" s="41">
        <f>(E750-F757)^4</f>
        <v/>
      </c>
      <c r="I750" s="40" t="n"/>
    </row>
    <row r="751" ht="15" customHeight="1" s="28">
      <c r="A751" s="37" t="n">
        <v>739</v>
      </c>
      <c r="B751" s="37" t="n">
        <v>738</v>
      </c>
      <c r="C751" s="38" t="n">
        <v>4717.38</v>
      </c>
      <c r="D751" s="38">
        <f>4541.138727+0.225904*B751</f>
        <v/>
      </c>
      <c r="E751" s="39">
        <f>C751-D751</f>
        <v/>
      </c>
      <c r="F751" s="39">
        <f>(E751-F757)^2</f>
        <v/>
      </c>
      <c r="G751" s="38">
        <f>(E751-F757)^3</f>
        <v/>
      </c>
      <c r="H751" s="38">
        <f>(E751-F757)^4</f>
        <v/>
      </c>
      <c r="I751" s="37" t="n"/>
    </row>
    <row r="752" ht="15" customHeight="1" s="28">
      <c r="A752" s="40" t="n">
        <v>740</v>
      </c>
      <c r="B752" s="40" t="n">
        <v>739</v>
      </c>
      <c r="C752" s="41" t="n">
        <v>4716.4</v>
      </c>
      <c r="D752" s="41">
        <f>4541.138727+0.225904*B752</f>
        <v/>
      </c>
      <c r="E752" s="42">
        <f>C752-D752</f>
        <v/>
      </c>
      <c r="F752" s="42">
        <f>(E752-F757)^2</f>
        <v/>
      </c>
      <c r="G752" s="41">
        <f>(E752-F757)^3</f>
        <v/>
      </c>
      <c r="H752" s="41">
        <f>(E752-F757)^4</f>
        <v/>
      </c>
      <c r="I752" s="40" t="n"/>
    </row>
    <row r="753" ht="15" customHeight="1" s="28">
      <c r="A753" s="37" t="n">
        <v>741</v>
      </c>
      <c r="B753" s="37" t="n">
        <v>740</v>
      </c>
      <c r="C753" s="38" t="n">
        <v>4715.36</v>
      </c>
      <c r="D753" s="38">
        <f>4541.138727+0.225904*B753</f>
        <v/>
      </c>
      <c r="E753" s="39">
        <f>C753-D753</f>
        <v/>
      </c>
      <c r="F753" s="39">
        <f>(E753-F757)^2</f>
        <v/>
      </c>
      <c r="G753" s="38">
        <f>(E753-F757)^3</f>
        <v/>
      </c>
      <c r="H753" s="38">
        <f>(E753-F757)^4</f>
        <v/>
      </c>
      <c r="I753" s="37" t="n"/>
    </row>
    <row r="755" ht="18" customHeight="1" s="28">
      <c r="A755" s="33" t="inlineStr">
        <is>
          <t>STEP 2 — Summary Statistics: Mean, Variance, Skewness, Kurtosis, JB</t>
        </is>
      </c>
    </row>
    <row r="756" ht="15" customHeight="1" s="28">
      <c r="A756" s="44" t="inlineStr">
        <is>
          <t>n  (sample size)</t>
        </is>
      </c>
      <c r="B756" s="35" t="n"/>
      <c r="C756" s="35" t="n"/>
      <c r="D756" s="35" t="n"/>
      <c r="E756" s="35" t="n"/>
      <c r="F756" s="45" t="n">
        <v>741</v>
      </c>
      <c r="G756" s="35" t="n"/>
      <c r="H756" s="35" t="n"/>
      <c r="I756" s="35" t="n"/>
    </row>
    <row r="757" ht="15" customHeight="1" s="28">
      <c r="A757" s="44" t="inlineStr">
        <is>
          <t>ē  =  AVERAGE(residuals)</t>
        </is>
      </c>
      <c r="B757" s="35" t="n"/>
      <c r="C757" s="35" t="n"/>
      <c r="D757" s="35" t="n"/>
      <c r="E757" s="35" t="n"/>
      <c r="F757" s="47">
        <f>AVERAGE(E13:E753)</f>
        <v/>
      </c>
      <c r="G757" s="35" t="n"/>
      <c r="H757" s="35" t="n"/>
      <c r="I757" s="35" t="n"/>
    </row>
    <row r="758" ht="15" customHeight="1" s="28">
      <c r="A758" s="44" t="inlineStr">
        <is>
          <t>Σ(eᵢ−ē)²</t>
        </is>
      </c>
      <c r="B758" s="35" t="n"/>
      <c r="C758" s="35" t="n"/>
      <c r="D758" s="35" t="n"/>
      <c r="E758" s="35" t="n"/>
      <c r="F758" s="49">
        <f>SUM(F13:F753)</f>
        <v/>
      </c>
      <c r="G758" s="35" t="n"/>
      <c r="H758" s="35" t="n"/>
      <c r="I758" s="35" t="n"/>
    </row>
    <row r="759" ht="15" customHeight="1" s="28">
      <c r="A759" s="44" t="inlineStr">
        <is>
          <t>Variance  σ²  =  Σ(eᵢ−ē)² / n</t>
        </is>
      </c>
      <c r="B759" s="35" t="n"/>
      <c r="C759" s="35" t="n"/>
      <c r="D759" s="35" t="n"/>
      <c r="E759" s="35" t="n"/>
      <c r="F759" s="47">
        <f>F758/F756</f>
        <v/>
      </c>
      <c r="G759" s="35" t="n"/>
      <c r="H759" s="35" t="n"/>
      <c r="I759" s="35" t="n"/>
    </row>
    <row r="760" ht="15" customHeight="1" s="28">
      <c r="A760" s="44" t="inlineStr">
        <is>
          <t>Std Dev  σ  =  √σ²</t>
        </is>
      </c>
      <c r="B760" s="35" t="n"/>
      <c r="C760" s="35" t="n"/>
      <c r="D760" s="35" t="n"/>
      <c r="E760" s="35" t="n"/>
      <c r="F760" s="47">
        <f>SQRT(F759)</f>
        <v/>
      </c>
      <c r="G760" s="35" t="n"/>
      <c r="H760" s="35" t="n"/>
      <c r="I760" s="35" t="n"/>
    </row>
    <row r="761" ht="15" customHeight="1" s="28">
      <c r="A761" s="44" t="inlineStr">
        <is>
          <t>Σ(eᵢ−ē)³</t>
        </is>
      </c>
      <c r="B761" s="35" t="n"/>
      <c r="C761" s="35" t="n"/>
      <c r="D761" s="35" t="n"/>
      <c r="E761" s="35" t="n"/>
      <c r="F761" s="49">
        <f>SUM(G13:G753)</f>
        <v/>
      </c>
      <c r="G761" s="35" t="n"/>
      <c r="H761" s="35" t="n"/>
      <c r="I761" s="35" t="n"/>
    </row>
    <row r="762" ht="15" customHeight="1" s="28">
      <c r="A762" s="44" t="inlineStr">
        <is>
          <t>Σ(eᵢ−ē)⁴</t>
        </is>
      </c>
      <c r="B762" s="35" t="n"/>
      <c r="C762" s="35" t="n"/>
      <c r="D762" s="35" t="n"/>
      <c r="E762" s="35" t="n"/>
      <c r="F762" s="49">
        <f>SUM(H13:H753)</f>
        <v/>
      </c>
      <c r="G762" s="35" t="n"/>
      <c r="H762" s="35" t="n"/>
      <c r="I762" s="35" t="n"/>
    </row>
    <row r="763" ht="15" customHeight="1" s="28">
      <c r="A763" s="44" t="inlineStr">
        <is>
          <t>Skewness  S  =  [Σ(eᵢ−ē)³/n] / σ³</t>
        </is>
      </c>
      <c r="B763" s="35" t="n"/>
      <c r="C763" s="35" t="n"/>
      <c r="D763" s="35" t="n"/>
      <c r="E763" s="35" t="n"/>
      <c r="F763" s="47">
        <f>(F761/F756)/(F760^3)</f>
        <v/>
      </c>
      <c r="G763" s="35" t="n"/>
      <c r="H763" s="35" t="n"/>
      <c r="I763" s="35" t="n"/>
    </row>
    <row r="764" ht="15" customHeight="1" s="28">
      <c r="A764" s="44" t="inlineStr">
        <is>
          <t>Kurtosis  K  =  [Σ(eᵢ−ē)⁴/n] / σ⁴</t>
        </is>
      </c>
      <c r="B764" s="35" t="n"/>
      <c r="C764" s="35" t="n"/>
      <c r="D764" s="35" t="n"/>
      <c r="E764" s="35" t="n"/>
      <c r="F764" s="47">
        <f>(F762/F756)/(F760^4)</f>
        <v/>
      </c>
      <c r="G764" s="35" t="n"/>
      <c r="H764" s="35" t="n"/>
      <c r="I764" s="35" t="n"/>
    </row>
    <row r="765" ht="15" customHeight="1" s="28">
      <c r="A765" s="44" t="inlineStr">
        <is>
          <t>Excess Kurtosis  (K − 3)</t>
        </is>
      </c>
      <c r="B765" s="35" t="n"/>
      <c r="C765" s="35" t="n"/>
      <c r="D765" s="35" t="n"/>
      <c r="E765" s="35" t="n"/>
      <c r="F765" s="47">
        <f>F764-3</f>
        <v/>
      </c>
      <c r="G765" s="35" t="n"/>
      <c r="H765" s="35" t="n"/>
      <c r="I765" s="35" t="n"/>
    </row>
    <row r="766" ht="15" customHeight="1" s="28">
      <c r="A766" s="44" t="inlineStr">
        <is>
          <t>JB  =  (n/6) · [ S² + (K−3)²/4 ]</t>
        </is>
      </c>
      <c r="B766" s="35" t="n"/>
      <c r="C766" s="35" t="n"/>
      <c r="D766" s="35" t="n"/>
      <c r="E766" s="35" t="n"/>
      <c r="F766" s="52">
        <f>(F756/6)*(F763^2+(F765)^2/4)</f>
        <v/>
      </c>
      <c r="G766" s="35" t="n"/>
      <c r="H766" s="35" t="n"/>
      <c r="I766" s="35" t="n"/>
    </row>
    <row r="767" ht="15" customHeight="1" s="28">
      <c r="A767" s="44" t="inlineStr">
        <is>
          <t>p-value  =  CHISQ.DIST.RT(JB, 2)</t>
        </is>
      </c>
      <c r="B767" s="35" t="n"/>
      <c r="C767" s="35" t="n"/>
      <c r="D767" s="35" t="n"/>
      <c r="E767" s="35" t="n"/>
      <c r="F767" s="53">
        <f>CHIDIST(F766,2)</f>
        <v/>
      </c>
      <c r="G767" s="35" t="n"/>
      <c r="H767" s="35" t="n"/>
      <c r="I767" s="35" t="n"/>
    </row>
    <row r="768" ht="15" customHeight="1" s="28">
      <c r="A768" s="44" t="inlineStr">
        <is>
          <t>α  (significance level)</t>
        </is>
      </c>
      <c r="B768" s="35" t="n"/>
      <c r="C768" s="35" t="n"/>
      <c r="D768" s="35" t="n"/>
      <c r="E768" s="35" t="n"/>
      <c r="F768" s="49" t="n">
        <v>0.05</v>
      </c>
      <c r="G768" s="35" t="n"/>
      <c r="H768" s="35" t="n"/>
      <c r="I768" s="35" t="n"/>
    </row>
    <row r="769" ht="21.75" customHeight="1" s="28">
      <c r="A769" s="50" t="inlineStr">
        <is>
          <t>DECISION:  p-value ≈ 2.28e-20 &lt; α (0.05)  ⟹  REJECT H₀  →  Residuals are NOT normally distributed  [JB ≈ 90.46 | Skewness and/or Excess Kurtosis significantly ≠ 0]</t>
        </is>
      </c>
    </row>
  </sheetData>
  <mergeCells count="38">
    <mergeCell ref="F764:I764"/>
    <mergeCell ref="B7:I7"/>
    <mergeCell ref="A757:E757"/>
    <mergeCell ref="A766:E766"/>
    <mergeCell ref="A760:E760"/>
    <mergeCell ref="F761:I761"/>
    <mergeCell ref="B3:I3"/>
    <mergeCell ref="A756:E756"/>
    <mergeCell ref="F760:I760"/>
    <mergeCell ref="A762:E762"/>
    <mergeCell ref="F766:I766"/>
    <mergeCell ref="B2:I2"/>
    <mergeCell ref="F756:I756"/>
    <mergeCell ref="F762:I762"/>
    <mergeCell ref="B8:I8"/>
    <mergeCell ref="A758:E758"/>
    <mergeCell ref="A767:E767"/>
    <mergeCell ref="A763:E763"/>
    <mergeCell ref="F758:I758"/>
    <mergeCell ref="F767:I767"/>
    <mergeCell ref="B4:I4"/>
    <mergeCell ref="F757:I757"/>
    <mergeCell ref="A755:I755"/>
    <mergeCell ref="F759:I759"/>
    <mergeCell ref="A769:I769"/>
    <mergeCell ref="A768:E768"/>
    <mergeCell ref="A759:E759"/>
    <mergeCell ref="B9:I9"/>
    <mergeCell ref="A11:I11"/>
    <mergeCell ref="F763:I763"/>
    <mergeCell ref="B6:I6"/>
    <mergeCell ref="A765:E765"/>
    <mergeCell ref="F768:I768"/>
    <mergeCell ref="A1:I1"/>
    <mergeCell ref="B5:I5"/>
    <mergeCell ref="A761:E761"/>
    <mergeCell ref="A764:E764"/>
    <mergeCell ref="F765:I76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9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29" min="1" max="1"/>
    <col width="16" customWidth="1" style="29" min="2" max="2"/>
    <col width="14" customWidth="1" style="29" min="3" max="3"/>
    <col width="16" customWidth="1" style="29" min="4" max="5"/>
    <col width="18" customWidth="1" style="29" min="6" max="6"/>
    <col width="8" customWidth="1" style="29" min="7" max="8"/>
  </cols>
  <sheetData>
    <row r="1" ht="25.5" customHeight="1" s="28">
      <c r="A1" s="30" t="inlineStr">
        <is>
          <t>BREUSCH-PAGAN HOMOSCEDASTICITY TEST  |  MODEL A  |  n = 65 Crossings</t>
        </is>
      </c>
    </row>
    <row r="2" ht="15.75" customHeight="1" s="28">
      <c r="A2" s="31" t="inlineStr">
        <is>
          <t>H₀:</t>
        </is>
      </c>
      <c r="B2" s="32" t="inlineStr">
        <is>
          <t>Variance of residuals is constant  (homoscedastic)   |   H₁: Variance depends on X  (heteroscedastic)</t>
        </is>
      </c>
    </row>
    <row r="3" ht="15.75" customHeight="1" s="28">
      <c r="A3" s="31" t="inlineStr">
        <is>
          <t>PURPOSE:</t>
        </is>
      </c>
      <c r="B3" s="32" t="inlineStr">
        <is>
          <t>Tests whether residual variance increases or decreases with the predictor X by regressing squared residuals on X.  Best for small samples with approximately normal residuals.</t>
        </is>
      </c>
    </row>
    <row r="4" ht="15.75" customHeight="1" s="28">
      <c r="A4" s="31" t="inlineStr">
        <is>
          <t>STEPS:</t>
        </is>
      </c>
      <c r="B4" s="32" t="inlineStr">
        <is>
          <t>1. Fit main OLS:  close = β₀ + β₁·X + ε   →   get residuals eᵢ</t>
        </is>
      </c>
    </row>
    <row r="5" ht="15.75" customHeight="1" s="28">
      <c r="A5" s="31" t="n"/>
      <c r="B5" s="32" t="inlineStr">
        <is>
          <t>2. Compute eᵢ²   (squared residuals become the auxiliary dependent variable)</t>
        </is>
      </c>
    </row>
    <row r="6" ht="15.75" customHeight="1" s="28">
      <c r="A6" s="31" t="n"/>
      <c r="B6" s="32" t="inlineStr">
        <is>
          <t>3. Auxiliary OLS:  eᵢ² = γ₀ + γ₁·X + u   →   obtain R²_aux</t>
        </is>
      </c>
    </row>
    <row r="7" ht="15.75" customHeight="1" s="28">
      <c r="A7" s="31" t="n"/>
      <c r="B7" s="32" t="inlineStr">
        <is>
          <t>4. LM = n · R²_aux   ~  χ²(k),   k = 1 predictor in auxiliary regression</t>
        </is>
      </c>
    </row>
    <row r="8" ht="15.75" customHeight="1" s="28">
      <c r="A8" s="31" t="inlineStr">
        <is>
          <t>p-value:</t>
        </is>
      </c>
      <c r="B8" s="32" t="inlineStr">
        <is>
          <t>CHISQ.DIST.RT(LM, k)</t>
        </is>
      </c>
    </row>
    <row r="9" ht="15.75" customHeight="1" s="28">
      <c r="A9" s="31" t="inlineStr">
        <is>
          <t>REGRESSION:</t>
        </is>
      </c>
      <c r="B9" s="32" t="inlineStr">
        <is>
          <t>β₀ = 4540.2666   β₁ = 2.733967   [blue = hardcoded inputs]</t>
        </is>
      </c>
    </row>
    <row r="10" ht="15.75" customHeight="1" s="28">
      <c r="A10" s="31" t="inlineStr">
        <is>
          <t>DECISION:</t>
        </is>
      </c>
      <c r="B10" s="32" t="inlineStr">
        <is>
          <t>Reject H₀ if  p-value &lt; α = 0.05</t>
        </is>
      </c>
    </row>
    <row r="12" ht="18" customHeight="1" s="28">
      <c r="A12" s="33" t="inlineStr">
        <is>
          <t>STEP 1 — Main OLS: Residuals eᵢ and Squared Residuals eᵢ²  (ŷᵢ = 4540.2666 + 2.733967 · bar_idx)</t>
        </is>
      </c>
    </row>
    <row r="13" ht="31.5" customHeight="1" s="28">
      <c r="A13" s="34" t="inlineStr">
        <is>
          <t>i</t>
        </is>
      </c>
      <c r="B13" s="34" t="inlineStr">
        <is>
          <t>Bar Index (X)</t>
        </is>
      </c>
      <c r="C13" s="34" t="inlineStr">
        <is>
          <t>Close Price</t>
        </is>
      </c>
      <c r="D13" s="34" t="inlineStr">
        <is>
          <t>OLS Fitted ŷᵢ</t>
        </is>
      </c>
      <c r="E13" s="34" t="inlineStr">
        <is>
          <t>Residual eᵢ</t>
        </is>
      </c>
      <c r="F13" s="34" t="inlineStr">
        <is>
          <t>eᵢ²  (aux. Y)</t>
        </is>
      </c>
      <c r="G13" s="34" t="n"/>
      <c r="H13" s="36" t="n"/>
    </row>
    <row r="14" ht="15" customHeight="1" s="28">
      <c r="A14" s="37" t="n">
        <v>1</v>
      </c>
      <c r="B14" s="37" t="n">
        <v>0</v>
      </c>
      <c r="C14" s="38" t="n">
        <v>4595.7</v>
      </c>
      <c r="D14" s="38">
        <f>4540.266601+2.733967*B14</f>
        <v/>
      </c>
      <c r="E14" s="39">
        <f>C14-D14</f>
        <v/>
      </c>
      <c r="F14" s="38">
        <f>E14^2</f>
        <v/>
      </c>
      <c r="G14" s="37" t="n"/>
      <c r="H14" s="37" t="n"/>
    </row>
    <row r="15" ht="15" customHeight="1" s="28">
      <c r="A15" s="40" t="n">
        <v>2</v>
      </c>
      <c r="B15" s="40" t="n">
        <v>1</v>
      </c>
      <c r="C15" s="41" t="n">
        <v>4590.84</v>
      </c>
      <c r="D15" s="41">
        <f>4540.266601+2.733967*B15</f>
        <v/>
      </c>
      <c r="E15" s="42">
        <f>C15-D15</f>
        <v/>
      </c>
      <c r="F15" s="41">
        <f>E15^2</f>
        <v/>
      </c>
      <c r="G15" s="40" t="n"/>
      <c r="H15" s="40" t="n"/>
    </row>
    <row r="16" ht="15" customHeight="1" s="28">
      <c r="A16" s="37" t="n">
        <v>3</v>
      </c>
      <c r="B16" s="37" t="n">
        <v>2</v>
      </c>
      <c r="C16" s="38" t="n">
        <v>4603.88</v>
      </c>
      <c r="D16" s="38">
        <f>4540.266601+2.733967*B16</f>
        <v/>
      </c>
      <c r="E16" s="39">
        <f>C16-D16</f>
        <v/>
      </c>
      <c r="F16" s="38">
        <f>E16^2</f>
        <v/>
      </c>
      <c r="G16" s="37" t="n"/>
      <c r="H16" s="37" t="n"/>
    </row>
    <row r="17" ht="15" customHeight="1" s="28">
      <c r="A17" s="40" t="n">
        <v>4</v>
      </c>
      <c r="B17" s="40" t="n">
        <v>3</v>
      </c>
      <c r="C17" s="41" t="n">
        <v>4600.87</v>
      </c>
      <c r="D17" s="41">
        <f>4540.266601+2.733967*B17</f>
        <v/>
      </c>
      <c r="E17" s="42">
        <f>C17-D17</f>
        <v/>
      </c>
      <c r="F17" s="41">
        <f>E17^2</f>
        <v/>
      </c>
      <c r="G17" s="40" t="n"/>
      <c r="H17" s="40" t="n"/>
    </row>
    <row r="18" ht="15" customHeight="1" s="28">
      <c r="A18" s="37" t="n">
        <v>5</v>
      </c>
      <c r="B18" s="37" t="n">
        <v>4</v>
      </c>
      <c r="C18" s="38" t="n">
        <v>4601.15</v>
      </c>
      <c r="D18" s="38">
        <f>4540.266601+2.733967*B18</f>
        <v/>
      </c>
      <c r="E18" s="39">
        <f>C18-D18</f>
        <v/>
      </c>
      <c r="F18" s="38">
        <f>E18^2</f>
        <v/>
      </c>
      <c r="G18" s="37" t="n"/>
      <c r="H18" s="37" t="n"/>
    </row>
    <row r="19" ht="15" customHeight="1" s="28">
      <c r="A19" s="40" t="n">
        <v>6</v>
      </c>
      <c r="B19" s="40" t="n">
        <v>5</v>
      </c>
      <c r="C19" s="41" t="n">
        <v>4571.78</v>
      </c>
      <c r="D19" s="41">
        <f>4540.266601+2.733967*B19</f>
        <v/>
      </c>
      <c r="E19" s="42">
        <f>C19-D19</f>
        <v/>
      </c>
      <c r="F19" s="41">
        <f>E19^2</f>
        <v/>
      </c>
      <c r="G19" s="40" t="n"/>
      <c r="H19" s="40" t="n"/>
    </row>
    <row r="20" ht="15" customHeight="1" s="28">
      <c r="A20" s="37" t="n">
        <v>7</v>
      </c>
      <c r="B20" s="37" t="n">
        <v>6</v>
      </c>
      <c r="C20" s="38" t="n">
        <v>4561.87</v>
      </c>
      <c r="D20" s="38">
        <f>4540.266601+2.733967*B20</f>
        <v/>
      </c>
      <c r="E20" s="39">
        <f>C20-D20</f>
        <v/>
      </c>
      <c r="F20" s="38">
        <f>E20^2</f>
        <v/>
      </c>
      <c r="G20" s="37" t="n"/>
      <c r="H20" s="37" t="n"/>
    </row>
    <row r="21" ht="15" customHeight="1" s="28">
      <c r="A21" s="40" t="n">
        <v>8</v>
      </c>
      <c r="B21" s="40" t="n">
        <v>7</v>
      </c>
      <c r="C21" s="41" t="n">
        <v>4538.69</v>
      </c>
      <c r="D21" s="41">
        <f>4540.266601+2.733967*B21</f>
        <v/>
      </c>
      <c r="E21" s="42">
        <f>C21-D21</f>
        <v/>
      </c>
      <c r="F21" s="41">
        <f>E21^2</f>
        <v/>
      </c>
      <c r="G21" s="40" t="n"/>
      <c r="H21" s="40" t="n"/>
    </row>
    <row r="22" ht="15" customHeight="1" s="28">
      <c r="A22" s="37" t="n">
        <v>9</v>
      </c>
      <c r="B22" s="37" t="n">
        <v>8</v>
      </c>
      <c r="C22" s="38" t="n">
        <v>4545.36</v>
      </c>
      <c r="D22" s="38">
        <f>4540.266601+2.733967*B22</f>
        <v/>
      </c>
      <c r="E22" s="39">
        <f>C22-D22</f>
        <v/>
      </c>
      <c r="F22" s="38">
        <f>E22^2</f>
        <v/>
      </c>
      <c r="G22" s="37" t="n"/>
      <c r="H22" s="37" t="n"/>
    </row>
    <row r="23" ht="15" customHeight="1" s="28">
      <c r="A23" s="40" t="n">
        <v>10</v>
      </c>
      <c r="B23" s="40" t="n">
        <v>9</v>
      </c>
      <c r="C23" s="41" t="n">
        <v>4538.19</v>
      </c>
      <c r="D23" s="41">
        <f>4540.266601+2.733967*B23</f>
        <v/>
      </c>
      <c r="E23" s="42">
        <f>C23-D23</f>
        <v/>
      </c>
      <c r="F23" s="41">
        <f>E23^2</f>
        <v/>
      </c>
      <c r="G23" s="40" t="n"/>
      <c r="H23" s="40" t="n"/>
    </row>
    <row r="24" ht="15" customHeight="1" s="28">
      <c r="A24" s="37" t="n">
        <v>11</v>
      </c>
      <c r="B24" s="37" t="n">
        <v>10</v>
      </c>
      <c r="C24" s="38" t="n">
        <v>4573.13</v>
      </c>
      <c r="D24" s="38">
        <f>4540.266601+2.733967*B24</f>
        <v/>
      </c>
      <c r="E24" s="39">
        <f>C24-D24</f>
        <v/>
      </c>
      <c r="F24" s="38">
        <f>E24^2</f>
        <v/>
      </c>
      <c r="G24" s="37" t="n"/>
      <c r="H24" s="37" t="n"/>
    </row>
    <row r="25" ht="15" customHeight="1" s="28">
      <c r="A25" s="40" t="n">
        <v>12</v>
      </c>
      <c r="B25" s="40" t="n">
        <v>11</v>
      </c>
      <c r="C25" s="41" t="n">
        <v>4553.22</v>
      </c>
      <c r="D25" s="41">
        <f>4540.266601+2.733967*B25</f>
        <v/>
      </c>
      <c r="E25" s="42">
        <f>C25-D25</f>
        <v/>
      </c>
      <c r="F25" s="41">
        <f>E25^2</f>
        <v/>
      </c>
      <c r="G25" s="40" t="n"/>
      <c r="H25" s="40" t="n"/>
    </row>
    <row r="26" ht="15" customHeight="1" s="28">
      <c r="A26" s="37" t="n">
        <v>13</v>
      </c>
      <c r="B26" s="37" t="n">
        <v>12</v>
      </c>
      <c r="C26" s="38" t="n">
        <v>4629.82</v>
      </c>
      <c r="D26" s="38">
        <f>4540.266601+2.733967*B26</f>
        <v/>
      </c>
      <c r="E26" s="39">
        <f>C26-D26</f>
        <v/>
      </c>
      <c r="F26" s="38">
        <f>E26^2</f>
        <v/>
      </c>
      <c r="G26" s="37" t="n"/>
      <c r="H26" s="37" t="n"/>
    </row>
    <row r="27" ht="15" customHeight="1" s="28">
      <c r="A27" s="40" t="n">
        <v>14</v>
      </c>
      <c r="B27" s="40" t="n">
        <v>13</v>
      </c>
      <c r="C27" s="41" t="n">
        <v>4615.95</v>
      </c>
      <c r="D27" s="41">
        <f>4540.266601+2.733967*B27</f>
        <v/>
      </c>
      <c r="E27" s="42">
        <f>C27-D27</f>
        <v/>
      </c>
      <c r="F27" s="41">
        <f>E27^2</f>
        <v/>
      </c>
      <c r="G27" s="40" t="n"/>
      <c r="H27" s="40" t="n"/>
    </row>
    <row r="28" ht="15" customHeight="1" s="28">
      <c r="A28" s="37" t="n">
        <v>15</v>
      </c>
      <c r="B28" s="37" t="n">
        <v>14</v>
      </c>
      <c r="C28" s="38" t="n">
        <v>4624.33</v>
      </c>
      <c r="D28" s="38">
        <f>4540.266601+2.733967*B28</f>
        <v/>
      </c>
      <c r="E28" s="39">
        <f>C28-D28</f>
        <v/>
      </c>
      <c r="F28" s="38">
        <f>E28^2</f>
        <v/>
      </c>
      <c r="G28" s="37" t="n"/>
      <c r="H28" s="37" t="n"/>
    </row>
    <row r="29" ht="15" customHeight="1" s="28">
      <c r="A29" s="40" t="n">
        <v>16</v>
      </c>
      <c r="B29" s="40" t="n">
        <v>15</v>
      </c>
      <c r="C29" s="41" t="n">
        <v>4616.72</v>
      </c>
      <c r="D29" s="41">
        <f>4540.266601+2.733967*B29</f>
        <v/>
      </c>
      <c r="E29" s="42">
        <f>C29-D29</f>
        <v/>
      </c>
      <c r="F29" s="41">
        <f>E29^2</f>
        <v/>
      </c>
      <c r="G29" s="40" t="n"/>
      <c r="H29" s="40" t="n"/>
    </row>
    <row r="30" ht="15" customHeight="1" s="28">
      <c r="A30" s="37" t="n">
        <v>17</v>
      </c>
      <c r="B30" s="37" t="n">
        <v>16</v>
      </c>
      <c r="C30" s="38" t="n">
        <v>4630.75</v>
      </c>
      <c r="D30" s="38">
        <f>4540.266601+2.733967*B30</f>
        <v/>
      </c>
      <c r="E30" s="39">
        <f>C30-D30</f>
        <v/>
      </c>
      <c r="F30" s="38">
        <f>E30^2</f>
        <v/>
      </c>
      <c r="G30" s="37" t="n"/>
      <c r="H30" s="37" t="n"/>
    </row>
    <row r="31" ht="15" customHeight="1" s="28">
      <c r="A31" s="40" t="n">
        <v>18</v>
      </c>
      <c r="B31" s="40" t="n">
        <v>17</v>
      </c>
      <c r="C31" s="41" t="n">
        <v>4620.2</v>
      </c>
      <c r="D31" s="41">
        <f>4540.266601+2.733967*B31</f>
        <v/>
      </c>
      <c r="E31" s="42">
        <f>C31-D31</f>
        <v/>
      </c>
      <c r="F31" s="41">
        <f>E31^2</f>
        <v/>
      </c>
      <c r="G31" s="40" t="n"/>
      <c r="H31" s="40" t="n"/>
    </row>
    <row r="32" ht="15" customHeight="1" s="28">
      <c r="A32" s="37" t="n">
        <v>19</v>
      </c>
      <c r="B32" s="37" t="n">
        <v>18</v>
      </c>
      <c r="C32" s="38" t="n">
        <v>4626.13</v>
      </c>
      <c r="D32" s="38">
        <f>4540.266601+2.733967*B32</f>
        <v/>
      </c>
      <c r="E32" s="39">
        <f>C32-D32</f>
        <v/>
      </c>
      <c r="F32" s="38">
        <f>E32^2</f>
        <v/>
      </c>
      <c r="G32" s="37" t="n"/>
      <c r="H32" s="37" t="n"/>
    </row>
    <row r="33" ht="15" customHeight="1" s="28">
      <c r="A33" s="40" t="n">
        <v>20</v>
      </c>
      <c r="B33" s="40" t="n">
        <v>19</v>
      </c>
      <c r="C33" s="41" t="n">
        <v>4566.78</v>
      </c>
      <c r="D33" s="41">
        <f>4540.266601+2.733967*B33</f>
        <v/>
      </c>
      <c r="E33" s="42">
        <f>C33-D33</f>
        <v/>
      </c>
      <c r="F33" s="41">
        <f>E33^2</f>
        <v/>
      </c>
      <c r="G33" s="40" t="n"/>
      <c r="H33" s="40" t="n"/>
    </row>
    <row r="34" ht="15" customHeight="1" s="28">
      <c r="A34" s="37" t="n">
        <v>21</v>
      </c>
      <c r="B34" s="37" t="n">
        <v>20</v>
      </c>
      <c r="C34" s="38" t="n">
        <v>4642.75</v>
      </c>
      <c r="D34" s="38">
        <f>4540.266601+2.733967*B34</f>
        <v/>
      </c>
      <c r="E34" s="39">
        <f>C34-D34</f>
        <v/>
      </c>
      <c r="F34" s="38">
        <f>E34^2</f>
        <v/>
      </c>
      <c r="G34" s="37" t="n"/>
      <c r="H34" s="37" t="n"/>
    </row>
    <row r="35" ht="15" customHeight="1" s="28">
      <c r="A35" s="40" t="n">
        <v>22</v>
      </c>
      <c r="B35" s="40" t="n">
        <v>21</v>
      </c>
      <c r="C35" s="41" t="n">
        <v>4613.77</v>
      </c>
      <c r="D35" s="41">
        <f>4540.266601+2.733967*B35</f>
        <v/>
      </c>
      <c r="E35" s="42">
        <f>C35-D35</f>
        <v/>
      </c>
      <c r="F35" s="41">
        <f>E35^2</f>
        <v/>
      </c>
      <c r="G35" s="40" t="n"/>
      <c r="H35" s="40" t="n"/>
    </row>
    <row r="36" ht="15" customHeight="1" s="28">
      <c r="A36" s="37" t="n">
        <v>23</v>
      </c>
      <c r="B36" s="37" t="n">
        <v>22</v>
      </c>
      <c r="C36" s="38" t="n">
        <v>4615.08</v>
      </c>
      <c r="D36" s="38">
        <f>4540.266601+2.733967*B36</f>
        <v/>
      </c>
      <c r="E36" s="39">
        <f>C36-D36</f>
        <v/>
      </c>
      <c r="F36" s="38">
        <f>E36^2</f>
        <v/>
      </c>
      <c r="G36" s="37" t="n"/>
      <c r="H36" s="37" t="n"/>
    </row>
    <row r="37" ht="15" customHeight="1" s="28">
      <c r="A37" s="40" t="n">
        <v>24</v>
      </c>
      <c r="B37" s="40" t="n">
        <v>23</v>
      </c>
      <c r="C37" s="41" t="n">
        <v>4593.09</v>
      </c>
      <c r="D37" s="41">
        <f>4540.266601+2.733967*B37</f>
        <v/>
      </c>
      <c r="E37" s="42">
        <f>C37-D37</f>
        <v/>
      </c>
      <c r="F37" s="41">
        <f>E37^2</f>
        <v/>
      </c>
      <c r="G37" s="40" t="n"/>
      <c r="H37" s="40" t="n"/>
    </row>
    <row r="38" ht="15" customHeight="1" s="28">
      <c r="A38" s="37" t="n">
        <v>25</v>
      </c>
      <c r="B38" s="37" t="n">
        <v>24</v>
      </c>
      <c r="C38" s="38" t="n">
        <v>4608.12</v>
      </c>
      <c r="D38" s="38">
        <f>4540.266601+2.733967*B38</f>
        <v/>
      </c>
      <c r="E38" s="39">
        <f>C38-D38</f>
        <v/>
      </c>
      <c r="F38" s="38">
        <f>E38^2</f>
        <v/>
      </c>
      <c r="G38" s="37" t="n"/>
      <c r="H38" s="37" t="n"/>
    </row>
    <row r="39" ht="15" customHeight="1" s="28">
      <c r="A39" s="40" t="n">
        <v>26</v>
      </c>
      <c r="B39" s="40" t="n">
        <v>25</v>
      </c>
      <c r="C39" s="41" t="n">
        <v>4562.26</v>
      </c>
      <c r="D39" s="41">
        <f>4540.266601+2.733967*B39</f>
        <v/>
      </c>
      <c r="E39" s="42">
        <f>C39-D39</f>
        <v/>
      </c>
      <c r="F39" s="41">
        <f>E39^2</f>
        <v/>
      </c>
      <c r="G39" s="40" t="n"/>
      <c r="H39" s="40" t="n"/>
    </row>
    <row r="40" ht="15" customHeight="1" s="28">
      <c r="A40" s="37" t="n">
        <v>27</v>
      </c>
      <c r="B40" s="37" t="n">
        <v>26</v>
      </c>
      <c r="C40" s="38" t="n">
        <v>4571.2</v>
      </c>
      <c r="D40" s="38">
        <f>4540.266601+2.733967*B40</f>
        <v/>
      </c>
      <c r="E40" s="39">
        <f>C40-D40</f>
        <v/>
      </c>
      <c r="F40" s="38">
        <f>E40^2</f>
        <v/>
      </c>
      <c r="G40" s="37" t="n"/>
      <c r="H40" s="37" t="n"/>
    </row>
    <row r="41" ht="15" customHeight="1" s="28">
      <c r="A41" s="40" t="n">
        <v>28</v>
      </c>
      <c r="B41" s="40" t="n">
        <v>27</v>
      </c>
      <c r="C41" s="41" t="n">
        <v>4522.39</v>
      </c>
      <c r="D41" s="41">
        <f>4540.266601+2.733967*B41</f>
        <v/>
      </c>
      <c r="E41" s="42">
        <f>C41-D41</f>
        <v/>
      </c>
      <c r="F41" s="41">
        <f>E41^2</f>
        <v/>
      </c>
      <c r="G41" s="40" t="n"/>
      <c r="H41" s="40" t="n"/>
    </row>
    <row r="42" ht="15" customHeight="1" s="28">
      <c r="A42" s="37" t="n">
        <v>29</v>
      </c>
      <c r="B42" s="37" t="n">
        <v>28</v>
      </c>
      <c r="C42" s="38" t="n">
        <v>4511.95</v>
      </c>
      <c r="D42" s="38">
        <f>4540.266601+2.733967*B42</f>
        <v/>
      </c>
      <c r="E42" s="39">
        <f>C42-D42</f>
        <v/>
      </c>
      <c r="F42" s="38">
        <f>E42^2</f>
        <v/>
      </c>
      <c r="G42" s="37" t="n"/>
      <c r="H42" s="37" t="n"/>
    </row>
    <row r="43" ht="15" customHeight="1" s="28">
      <c r="A43" s="40" t="n">
        <v>30</v>
      </c>
      <c r="B43" s="40" t="n">
        <v>29</v>
      </c>
      <c r="C43" s="41" t="n">
        <v>4517.46</v>
      </c>
      <c r="D43" s="41">
        <f>4540.266601+2.733967*B43</f>
        <v/>
      </c>
      <c r="E43" s="42">
        <f>C43-D43</f>
        <v/>
      </c>
      <c r="F43" s="41">
        <f>E43^2</f>
        <v/>
      </c>
      <c r="G43" s="40" t="n"/>
      <c r="H43" s="40" t="n"/>
    </row>
    <row r="44" ht="15" customHeight="1" s="28">
      <c r="A44" s="37" t="n">
        <v>31</v>
      </c>
      <c r="B44" s="37" t="n">
        <v>30</v>
      </c>
      <c r="C44" s="38" t="n">
        <v>4519.02</v>
      </c>
      <c r="D44" s="38">
        <f>4540.266601+2.733967*B44</f>
        <v/>
      </c>
      <c r="E44" s="39">
        <f>C44-D44</f>
        <v/>
      </c>
      <c r="F44" s="38">
        <f>E44^2</f>
        <v/>
      </c>
      <c r="G44" s="37" t="n"/>
      <c r="H44" s="37" t="n"/>
    </row>
    <row r="45" ht="15" customHeight="1" s="28">
      <c r="A45" s="40" t="n">
        <v>32</v>
      </c>
      <c r="B45" s="40" t="n">
        <v>31</v>
      </c>
      <c r="C45" s="41" t="n">
        <v>4518.52</v>
      </c>
      <c r="D45" s="41">
        <f>4540.266601+2.733967*B45</f>
        <v/>
      </c>
      <c r="E45" s="42">
        <f>C45-D45</f>
        <v/>
      </c>
      <c r="F45" s="41">
        <f>E45^2</f>
        <v/>
      </c>
      <c r="G45" s="40" t="n"/>
      <c r="H45" s="40" t="n"/>
    </row>
    <row r="46" ht="15" customHeight="1" s="28">
      <c r="A46" s="37" t="n">
        <v>33</v>
      </c>
      <c r="B46" s="37" t="n">
        <v>32</v>
      </c>
      <c r="C46" s="38" t="n">
        <v>4539.17</v>
      </c>
      <c r="D46" s="38">
        <f>4540.266601+2.733967*B46</f>
        <v/>
      </c>
      <c r="E46" s="39">
        <f>C46-D46</f>
        <v/>
      </c>
      <c r="F46" s="38">
        <f>E46^2</f>
        <v/>
      </c>
      <c r="G46" s="37" t="n"/>
      <c r="H46" s="37" t="n"/>
    </row>
    <row r="47" ht="15" customHeight="1" s="28">
      <c r="A47" s="40" t="n">
        <v>34</v>
      </c>
      <c r="B47" s="40" t="n">
        <v>33</v>
      </c>
      <c r="C47" s="41" t="n">
        <v>4531.71</v>
      </c>
      <c r="D47" s="41">
        <f>4540.266601+2.733967*B47</f>
        <v/>
      </c>
      <c r="E47" s="42">
        <f>C47-D47</f>
        <v/>
      </c>
      <c r="F47" s="41">
        <f>E47^2</f>
        <v/>
      </c>
      <c r="G47" s="40" t="n"/>
      <c r="H47" s="40" t="n"/>
    </row>
    <row r="48" ht="15" customHeight="1" s="28">
      <c r="A48" s="37" t="n">
        <v>35</v>
      </c>
      <c r="B48" s="37" t="n">
        <v>34</v>
      </c>
      <c r="C48" s="38" t="n">
        <v>4555.5</v>
      </c>
      <c r="D48" s="38">
        <f>4540.266601+2.733967*B48</f>
        <v/>
      </c>
      <c r="E48" s="39">
        <f>C48-D48</f>
        <v/>
      </c>
      <c r="F48" s="38">
        <f>E48^2</f>
        <v/>
      </c>
      <c r="G48" s="37" t="n"/>
      <c r="H48" s="37" t="n"/>
    </row>
    <row r="49" ht="15" customHeight="1" s="28">
      <c r="A49" s="40" t="n">
        <v>36</v>
      </c>
      <c r="B49" s="40" t="n">
        <v>35</v>
      </c>
      <c r="C49" s="41" t="n">
        <v>4543.73</v>
      </c>
      <c r="D49" s="41">
        <f>4540.266601+2.733967*B49</f>
        <v/>
      </c>
      <c r="E49" s="42">
        <f>C49-D49</f>
        <v/>
      </c>
      <c r="F49" s="41">
        <f>E49^2</f>
        <v/>
      </c>
      <c r="G49" s="40" t="n"/>
      <c r="H49" s="40" t="n"/>
    </row>
    <row r="50" ht="15" customHeight="1" s="28">
      <c r="A50" s="37" t="n">
        <v>37</v>
      </c>
      <c r="B50" s="37" t="n">
        <v>36</v>
      </c>
      <c r="C50" s="38" t="n">
        <v>4580.89</v>
      </c>
      <c r="D50" s="38">
        <f>4540.266601+2.733967*B50</f>
        <v/>
      </c>
      <c r="E50" s="39">
        <f>C50-D50</f>
        <v/>
      </c>
      <c r="F50" s="38">
        <f>E50^2</f>
        <v/>
      </c>
      <c r="G50" s="37" t="n"/>
      <c r="H50" s="37" t="n"/>
    </row>
    <row r="51" ht="15" customHeight="1" s="28">
      <c r="A51" s="40" t="n">
        <v>38</v>
      </c>
      <c r="B51" s="40" t="n">
        <v>37</v>
      </c>
      <c r="C51" s="41" t="n">
        <v>4560.43</v>
      </c>
      <c r="D51" s="41">
        <f>4540.266601+2.733967*B51</f>
        <v/>
      </c>
      <c r="E51" s="42">
        <f>C51-D51</f>
        <v/>
      </c>
      <c r="F51" s="41">
        <f>E51^2</f>
        <v/>
      </c>
      <c r="G51" s="40" t="n"/>
      <c r="H51" s="40" t="n"/>
    </row>
    <row r="52" ht="15" customHeight="1" s="28">
      <c r="A52" s="37" t="n">
        <v>39</v>
      </c>
      <c r="B52" s="37" t="n">
        <v>38</v>
      </c>
      <c r="C52" s="38" t="n">
        <v>4561.04</v>
      </c>
      <c r="D52" s="38">
        <f>4540.266601+2.733967*B52</f>
        <v/>
      </c>
      <c r="E52" s="39">
        <f>C52-D52</f>
        <v/>
      </c>
      <c r="F52" s="38">
        <f>E52^2</f>
        <v/>
      </c>
      <c r="G52" s="37" t="n"/>
      <c r="H52" s="37" t="n"/>
    </row>
    <row r="53" ht="15" customHeight="1" s="28">
      <c r="A53" s="40" t="n">
        <v>40</v>
      </c>
      <c r="B53" s="40" t="n">
        <v>39</v>
      </c>
      <c r="C53" s="41" t="n">
        <v>4550.67</v>
      </c>
      <c r="D53" s="41">
        <f>4540.266601+2.733967*B53</f>
        <v/>
      </c>
      <c r="E53" s="42">
        <f>C53-D53</f>
        <v/>
      </c>
      <c r="F53" s="41">
        <f>E53^2</f>
        <v/>
      </c>
      <c r="G53" s="40" t="n"/>
      <c r="H53" s="40" t="n"/>
    </row>
    <row r="54" ht="15" customHeight="1" s="28">
      <c r="A54" s="37" t="n">
        <v>41</v>
      </c>
      <c r="B54" s="37" t="n">
        <v>40</v>
      </c>
      <c r="C54" s="38" t="n">
        <v>4711.97</v>
      </c>
      <c r="D54" s="38">
        <f>4540.266601+2.733967*B54</f>
        <v/>
      </c>
      <c r="E54" s="39">
        <f>C54-D54</f>
        <v/>
      </c>
      <c r="F54" s="38">
        <f>E54^2</f>
        <v/>
      </c>
      <c r="G54" s="37" t="n"/>
      <c r="H54" s="37" t="n"/>
    </row>
    <row r="55" ht="15" customHeight="1" s="28">
      <c r="A55" s="40" t="n">
        <v>42</v>
      </c>
      <c r="B55" s="40" t="n">
        <v>41</v>
      </c>
      <c r="C55" s="41" t="n">
        <v>4683.63</v>
      </c>
      <c r="D55" s="41">
        <f>4540.266601+2.733967*B55</f>
        <v/>
      </c>
      <c r="E55" s="42">
        <f>C55-D55</f>
        <v/>
      </c>
      <c r="F55" s="41">
        <f>E55^2</f>
        <v/>
      </c>
      <c r="G55" s="40" t="n"/>
      <c r="H55" s="40" t="n"/>
    </row>
    <row r="56" ht="15" customHeight="1" s="28">
      <c r="A56" s="37" t="n">
        <v>43</v>
      </c>
      <c r="B56" s="37" t="n">
        <v>42</v>
      </c>
      <c r="C56" s="38" t="n">
        <v>4703.14</v>
      </c>
      <c r="D56" s="38">
        <f>4540.266601+2.733967*B56</f>
        <v/>
      </c>
      <c r="E56" s="39">
        <f>C56-D56</f>
        <v/>
      </c>
      <c r="F56" s="38">
        <f>E56^2</f>
        <v/>
      </c>
      <c r="G56" s="37" t="n"/>
      <c r="H56" s="37" t="n"/>
    </row>
    <row r="57" ht="15" customHeight="1" s="28">
      <c r="A57" s="40" t="n">
        <v>44</v>
      </c>
      <c r="B57" s="40" t="n">
        <v>43</v>
      </c>
      <c r="C57" s="41" t="n">
        <v>4680.64</v>
      </c>
      <c r="D57" s="41">
        <f>4540.266601+2.733967*B57</f>
        <v/>
      </c>
      <c r="E57" s="42">
        <f>C57-D57</f>
        <v/>
      </c>
      <c r="F57" s="41">
        <f>E57^2</f>
        <v/>
      </c>
      <c r="G57" s="40" t="n"/>
      <c r="H57" s="40" t="n"/>
    </row>
    <row r="58" ht="15" customHeight="1" s="28">
      <c r="A58" s="37" t="n">
        <v>45</v>
      </c>
      <c r="B58" s="37" t="n">
        <v>44</v>
      </c>
      <c r="C58" s="38" t="n">
        <v>4689.09</v>
      </c>
      <c r="D58" s="38">
        <f>4540.266601+2.733967*B58</f>
        <v/>
      </c>
      <c r="E58" s="39">
        <f>C58-D58</f>
        <v/>
      </c>
      <c r="F58" s="38">
        <f>E58^2</f>
        <v/>
      </c>
      <c r="G58" s="37" t="n"/>
      <c r="H58" s="37" t="n"/>
    </row>
    <row r="59" ht="15" customHeight="1" s="28">
      <c r="A59" s="40" t="n">
        <v>46</v>
      </c>
      <c r="B59" s="40" t="n">
        <v>45</v>
      </c>
      <c r="C59" s="41" t="n">
        <v>4690.95</v>
      </c>
      <c r="D59" s="41">
        <f>4540.266601+2.733967*B59</f>
        <v/>
      </c>
      <c r="E59" s="42">
        <f>C59-D59</f>
        <v/>
      </c>
      <c r="F59" s="41">
        <f>E59^2</f>
        <v/>
      </c>
      <c r="G59" s="40" t="n"/>
      <c r="H59" s="40" t="n"/>
    </row>
    <row r="60" ht="15" customHeight="1" s="28">
      <c r="A60" s="37" t="n">
        <v>47</v>
      </c>
      <c r="B60" s="37" t="n">
        <v>46</v>
      </c>
      <c r="C60" s="38" t="n">
        <v>4693.6</v>
      </c>
      <c r="D60" s="38">
        <f>4540.266601+2.733967*B60</f>
        <v/>
      </c>
      <c r="E60" s="39">
        <f>C60-D60</f>
        <v/>
      </c>
      <c r="F60" s="38">
        <f>E60^2</f>
        <v/>
      </c>
      <c r="G60" s="37" t="n"/>
      <c r="H60" s="37" t="n"/>
    </row>
    <row r="61" ht="15" customHeight="1" s="28">
      <c r="A61" s="40" t="n">
        <v>48</v>
      </c>
      <c r="B61" s="40" t="n">
        <v>47</v>
      </c>
      <c r="C61" s="41" t="n">
        <v>4692.51</v>
      </c>
      <c r="D61" s="41">
        <f>4540.266601+2.733967*B61</f>
        <v/>
      </c>
      <c r="E61" s="42">
        <f>C61-D61</f>
        <v/>
      </c>
      <c r="F61" s="41">
        <f>E61^2</f>
        <v/>
      </c>
      <c r="G61" s="40" t="n"/>
      <c r="H61" s="40" t="n"/>
    </row>
    <row r="62" ht="15" customHeight="1" s="28">
      <c r="A62" s="37" t="n">
        <v>49</v>
      </c>
      <c r="B62" s="37" t="n">
        <v>48</v>
      </c>
      <c r="C62" s="38" t="n">
        <v>4704.24</v>
      </c>
      <c r="D62" s="38">
        <f>4540.266601+2.733967*B62</f>
        <v/>
      </c>
      <c r="E62" s="39">
        <f>C62-D62</f>
        <v/>
      </c>
      <c r="F62" s="38">
        <f>E62^2</f>
        <v/>
      </c>
      <c r="G62" s="37" t="n"/>
      <c r="H62" s="37" t="n"/>
    </row>
    <row r="63" ht="15" customHeight="1" s="28">
      <c r="A63" s="40" t="n">
        <v>50</v>
      </c>
      <c r="B63" s="40" t="n">
        <v>49</v>
      </c>
      <c r="C63" s="41" t="n">
        <v>4696.05</v>
      </c>
      <c r="D63" s="41">
        <f>4540.266601+2.733967*B63</f>
        <v/>
      </c>
      <c r="E63" s="42">
        <f>C63-D63</f>
        <v/>
      </c>
      <c r="F63" s="41">
        <f>E63^2</f>
        <v/>
      </c>
      <c r="G63" s="40" t="n"/>
      <c r="H63" s="40" t="n"/>
    </row>
    <row r="64" ht="15" customHeight="1" s="28">
      <c r="A64" s="37" t="n">
        <v>51</v>
      </c>
      <c r="B64" s="37" t="n">
        <v>50</v>
      </c>
      <c r="C64" s="38" t="n">
        <v>4742.66</v>
      </c>
      <c r="D64" s="38">
        <f>4540.266601+2.733967*B64</f>
        <v/>
      </c>
      <c r="E64" s="39">
        <f>C64-D64</f>
        <v/>
      </c>
      <c r="F64" s="38">
        <f>E64^2</f>
        <v/>
      </c>
      <c r="G64" s="37" t="n"/>
      <c r="H64" s="37" t="n"/>
    </row>
    <row r="65" ht="15" customHeight="1" s="28">
      <c r="A65" s="40" t="n">
        <v>52</v>
      </c>
      <c r="B65" s="40" t="n">
        <v>51</v>
      </c>
      <c r="C65" s="41" t="n">
        <v>4734.98</v>
      </c>
      <c r="D65" s="41">
        <f>4540.266601+2.733967*B65</f>
        <v/>
      </c>
      <c r="E65" s="42">
        <f>C65-D65</f>
        <v/>
      </c>
      <c r="F65" s="41">
        <f>E65^2</f>
        <v/>
      </c>
      <c r="G65" s="40" t="n"/>
      <c r="H65" s="40" t="n"/>
    </row>
    <row r="66" ht="15" customHeight="1" s="28">
      <c r="A66" s="37" t="n">
        <v>53</v>
      </c>
      <c r="B66" s="37" t="n">
        <v>52</v>
      </c>
      <c r="C66" s="38" t="n">
        <v>4762.74</v>
      </c>
      <c r="D66" s="38">
        <f>4540.266601+2.733967*B66</f>
        <v/>
      </c>
      <c r="E66" s="39">
        <f>C66-D66</f>
        <v/>
      </c>
      <c r="F66" s="38">
        <f>E66^2</f>
        <v/>
      </c>
      <c r="G66" s="37" t="n"/>
      <c r="H66" s="37" t="n"/>
    </row>
    <row r="67" ht="15" customHeight="1" s="28">
      <c r="A67" s="40" t="n">
        <v>54</v>
      </c>
      <c r="B67" s="40" t="n">
        <v>53</v>
      </c>
      <c r="C67" s="41" t="n">
        <v>4708.08</v>
      </c>
      <c r="D67" s="41">
        <f>4540.266601+2.733967*B67</f>
        <v/>
      </c>
      <c r="E67" s="42">
        <f>C67-D67</f>
        <v/>
      </c>
      <c r="F67" s="41">
        <f>E67^2</f>
        <v/>
      </c>
      <c r="G67" s="40" t="n"/>
      <c r="H67" s="40" t="n"/>
    </row>
    <row r="68" ht="15" customHeight="1" s="28">
      <c r="A68" s="37" t="n">
        <v>55</v>
      </c>
      <c r="B68" s="37" t="n">
        <v>54</v>
      </c>
      <c r="C68" s="38" t="n">
        <v>4709.69</v>
      </c>
      <c r="D68" s="38">
        <f>4540.266601+2.733967*B68</f>
        <v/>
      </c>
      <c r="E68" s="39">
        <f>C68-D68</f>
        <v/>
      </c>
      <c r="F68" s="38">
        <f>E68^2</f>
        <v/>
      </c>
      <c r="G68" s="37" t="n"/>
      <c r="H68" s="37" t="n"/>
    </row>
    <row r="69" ht="15" customHeight="1" s="28">
      <c r="A69" s="40" t="n">
        <v>56</v>
      </c>
      <c r="B69" s="40" t="n">
        <v>55</v>
      </c>
      <c r="C69" s="41" t="n">
        <v>4691.8</v>
      </c>
      <c r="D69" s="41">
        <f>4540.266601+2.733967*B69</f>
        <v/>
      </c>
      <c r="E69" s="42">
        <f>C69-D69</f>
        <v/>
      </c>
      <c r="F69" s="41">
        <f>E69^2</f>
        <v/>
      </c>
      <c r="G69" s="40" t="n"/>
      <c r="H69" s="40" t="n"/>
    </row>
    <row r="70" ht="15" customHeight="1" s="28">
      <c r="A70" s="37" t="n">
        <v>57</v>
      </c>
      <c r="B70" s="37" t="n">
        <v>56</v>
      </c>
      <c r="C70" s="38" t="n">
        <v>4720.44</v>
      </c>
      <c r="D70" s="38">
        <f>4540.266601+2.733967*B70</f>
        <v/>
      </c>
      <c r="E70" s="39">
        <f>C70-D70</f>
        <v/>
      </c>
      <c r="F70" s="38">
        <f>E70^2</f>
        <v/>
      </c>
      <c r="G70" s="37" t="n"/>
      <c r="H70" s="37" t="n"/>
    </row>
    <row r="71" ht="15" customHeight="1" s="28">
      <c r="A71" s="40" t="n">
        <v>58</v>
      </c>
      <c r="B71" s="40" t="n">
        <v>57</v>
      </c>
      <c r="C71" s="41" t="n">
        <v>4711.09</v>
      </c>
      <c r="D71" s="41">
        <f>4540.266601+2.733967*B71</f>
        <v/>
      </c>
      <c r="E71" s="42">
        <f>C71-D71</f>
        <v/>
      </c>
      <c r="F71" s="41">
        <f>E71^2</f>
        <v/>
      </c>
      <c r="G71" s="40" t="n"/>
      <c r="H71" s="40" t="n"/>
    </row>
    <row r="72" ht="15" customHeight="1" s="28">
      <c r="A72" s="37" t="n">
        <v>59</v>
      </c>
      <c r="B72" s="37" t="n">
        <v>58</v>
      </c>
      <c r="C72" s="38" t="n">
        <v>4728.52</v>
      </c>
      <c r="D72" s="38">
        <f>4540.266601+2.733967*B72</f>
        <v/>
      </c>
      <c r="E72" s="39">
        <f>C72-D72</f>
        <v/>
      </c>
      <c r="F72" s="38">
        <f>E72^2</f>
        <v/>
      </c>
      <c r="G72" s="37" t="n"/>
      <c r="H72" s="37" t="n"/>
    </row>
    <row r="73" ht="15" customHeight="1" s="28">
      <c r="A73" s="40" t="n">
        <v>60</v>
      </c>
      <c r="B73" s="40" t="n">
        <v>59</v>
      </c>
      <c r="C73" s="41" t="n">
        <v>4716.85</v>
      </c>
      <c r="D73" s="41">
        <f>4540.266601+2.733967*B73</f>
        <v/>
      </c>
      <c r="E73" s="42">
        <f>C73-D73</f>
        <v/>
      </c>
      <c r="F73" s="41">
        <f>E73^2</f>
        <v/>
      </c>
      <c r="G73" s="40" t="n"/>
      <c r="H73" s="40" t="n"/>
    </row>
    <row r="74" ht="15" customHeight="1" s="28">
      <c r="A74" s="37" t="n">
        <v>61</v>
      </c>
      <c r="B74" s="37" t="n">
        <v>60</v>
      </c>
      <c r="C74" s="38" t="n">
        <v>4722.05</v>
      </c>
      <c r="D74" s="38">
        <f>4540.266601+2.733967*B74</f>
        <v/>
      </c>
      <c r="E74" s="39">
        <f>C74-D74</f>
        <v/>
      </c>
      <c r="F74" s="38">
        <f>E74^2</f>
        <v/>
      </c>
      <c r="G74" s="37" t="n"/>
      <c r="H74" s="37" t="n"/>
    </row>
    <row r="75" ht="15" customHeight="1" s="28">
      <c r="A75" s="40" t="n">
        <v>62</v>
      </c>
      <c r="B75" s="40" t="n">
        <v>61</v>
      </c>
      <c r="C75" s="41" t="n">
        <v>4710.4</v>
      </c>
      <c r="D75" s="41">
        <f>4540.266601+2.733967*B75</f>
        <v/>
      </c>
      <c r="E75" s="42">
        <f>C75-D75</f>
        <v/>
      </c>
      <c r="F75" s="41">
        <f>E75^2</f>
        <v/>
      </c>
      <c r="G75" s="40" t="n"/>
      <c r="H75" s="40" t="n"/>
    </row>
    <row r="76" ht="15" customHeight="1" s="28">
      <c r="A76" s="37" t="n">
        <v>63</v>
      </c>
      <c r="B76" s="37" t="n">
        <v>62</v>
      </c>
      <c r="C76" s="38" t="n">
        <v>4731.78</v>
      </c>
      <c r="D76" s="38">
        <f>4540.266601+2.733967*B76</f>
        <v/>
      </c>
      <c r="E76" s="39">
        <f>C76-D76</f>
        <v/>
      </c>
      <c r="F76" s="38">
        <f>E76^2</f>
        <v/>
      </c>
      <c r="G76" s="37" t="n"/>
      <c r="H76" s="37" t="n"/>
    </row>
    <row r="77" ht="15" customHeight="1" s="28">
      <c r="A77" s="40" t="n">
        <v>64</v>
      </c>
      <c r="B77" s="40" t="n">
        <v>63</v>
      </c>
      <c r="C77" s="41" t="n">
        <v>4717.67</v>
      </c>
      <c r="D77" s="41">
        <f>4540.266601+2.733967*B77</f>
        <v/>
      </c>
      <c r="E77" s="42">
        <f>C77-D77</f>
        <v/>
      </c>
      <c r="F77" s="41">
        <f>E77^2</f>
        <v/>
      </c>
      <c r="G77" s="40" t="n"/>
      <c r="H77" s="40" t="n"/>
    </row>
    <row r="78" ht="15" customHeight="1" s="28">
      <c r="A78" s="37" t="n">
        <v>65</v>
      </c>
      <c r="B78" s="37" t="n">
        <v>64</v>
      </c>
      <c r="C78" s="38" t="n">
        <v>4725.3</v>
      </c>
      <c r="D78" s="38">
        <f>4540.266601+2.733967*B78</f>
        <v/>
      </c>
      <c r="E78" s="39">
        <f>C78-D78</f>
        <v/>
      </c>
      <c r="F78" s="38">
        <f>E78^2</f>
        <v/>
      </c>
      <c r="G78" s="37" t="n"/>
      <c r="H78" s="37" t="n"/>
    </row>
    <row r="80" ht="18" customHeight="1" s="28">
      <c r="A80" s="33" t="inlineStr">
        <is>
          <t>STEP 2 — Auxiliary OLS via LINEST:  eᵢ² = γ₀ + γ₁·X + u   →  extract R²_aux</t>
        </is>
      </c>
    </row>
    <row r="81" ht="21.75" customHeight="1" s="28">
      <c r="A81" s="51" t="inlineStr">
        <is>
          <t>LINEST(y, x, TRUE, TRUE) returns a 5-row × 2-col array:  Row 1=[slope, intercept]  Row 2=[SE_slope, SE_int]  Row 3=[R², SE_y]  Row 4=[F, df_resid]  Row 5=[SS_reg, SS_resid]</t>
        </is>
      </c>
    </row>
    <row r="82" ht="15" customHeight="1" s="28">
      <c r="A82" s="44" t="inlineStr">
        <is>
          <t>γ₁  — slope of X in auxiliary regression</t>
        </is>
      </c>
      <c r="B82" s="35" t="n"/>
      <c r="C82" s="35" t="n"/>
      <c r="D82" s="35" t="n"/>
      <c r="E82" s="35" t="n"/>
      <c r="F82" s="47">
        <f>INDEX(LINEST(F14:F78,B14:B78,TRUE(),TRUE()),1,1)</f>
        <v/>
      </c>
      <c r="G82" s="35" t="n"/>
      <c r="H82" s="35" t="n"/>
    </row>
    <row r="83" ht="15" customHeight="1" s="28">
      <c r="A83" s="44" t="inlineStr">
        <is>
          <t>γ₀  — intercept of auxiliary regression</t>
        </is>
      </c>
      <c r="B83" s="35" t="n"/>
      <c r="C83" s="35" t="n"/>
      <c r="D83" s="35" t="n"/>
      <c r="E83" s="35" t="n"/>
      <c r="F83" s="47">
        <f>INDEX(LINEST(F14:F78,B14:B78,TRUE(),TRUE()),1,2)</f>
        <v/>
      </c>
      <c r="G83" s="35" t="n"/>
      <c r="H83" s="35" t="n"/>
    </row>
    <row r="84" ht="15" customHeight="1" s="28">
      <c r="A84" s="44" t="inlineStr">
        <is>
          <t>R²_aux  =  INDEX(LINEST(eᵢ², X, TRUE, TRUE), 3, 1)</t>
        </is>
      </c>
      <c r="B84" s="35" t="n"/>
      <c r="C84" s="35" t="n"/>
      <c r="D84" s="35" t="n"/>
      <c r="E84" s="35" t="n"/>
      <c r="F84" s="47">
        <f>INDEX(LINEST(F14:F78,B14:B78,TRUE(),TRUE()),3,1)</f>
        <v/>
      </c>
      <c r="G84" s="35" t="n"/>
      <c r="H84" s="35" t="n"/>
    </row>
    <row r="85" ht="15" customHeight="1" s="28">
      <c r="A85" s="44" t="inlineStr">
        <is>
          <t>SE of auxiliary regression</t>
        </is>
      </c>
      <c r="B85" s="35" t="n"/>
      <c r="C85" s="35" t="n"/>
      <c r="D85" s="35" t="n"/>
      <c r="E85" s="35" t="n"/>
      <c r="F85" s="49">
        <f>INDEX(LINEST(F14:F78,B14:B78,TRUE(),TRUE()),3,2)</f>
        <v/>
      </c>
      <c r="G85" s="35" t="n"/>
      <c r="H85" s="35" t="n"/>
    </row>
    <row r="86" ht="15" customHeight="1" s="28">
      <c r="A86" s="44" t="inlineStr">
        <is>
          <t>F-statistic  (auxiliary regression)</t>
        </is>
      </c>
      <c r="B86" s="35" t="n"/>
      <c r="C86" s="35" t="n"/>
      <c r="D86" s="35" t="n"/>
      <c r="E86" s="35" t="n"/>
      <c r="F86" s="52">
        <f>INDEX(LINEST(F14:F78,B14:B78,TRUE(),TRUE()),4,1)</f>
        <v/>
      </c>
      <c r="G86" s="35" t="n"/>
      <c r="H86" s="35" t="n"/>
    </row>
    <row r="87" ht="15" customHeight="1" s="28">
      <c r="A87" s="44" t="inlineStr">
        <is>
          <t>df residual  (auxiliary regression)</t>
        </is>
      </c>
      <c r="B87" s="35" t="n"/>
      <c r="C87" s="35" t="n"/>
      <c r="D87" s="35" t="n"/>
      <c r="E87" s="35" t="n"/>
      <c r="F87" s="45">
        <f>INDEX(LINEST(F14:F78,B14:B78,TRUE(),TRUE()),4,2)</f>
        <v/>
      </c>
      <c r="G87" s="35" t="n"/>
      <c r="H87" s="35" t="n"/>
    </row>
    <row r="89" ht="18" customHeight="1" s="28">
      <c r="A89" s="33" t="inlineStr">
        <is>
          <t>STEP 3 — LM Test Statistic  =  n · R²_aux   ~  χ²(1)</t>
        </is>
      </c>
    </row>
    <row r="90" ht="15" customHeight="1" s="28">
      <c r="A90" s="44" t="inlineStr">
        <is>
          <t>n  (sample size)</t>
        </is>
      </c>
      <c r="B90" s="35" t="n"/>
      <c r="C90" s="35" t="n"/>
      <c r="D90" s="35" t="n"/>
      <c r="E90" s="35" t="n"/>
      <c r="F90" s="45" t="n">
        <v>65</v>
      </c>
      <c r="G90" s="35" t="n"/>
      <c r="H90" s="35" t="n"/>
    </row>
    <row r="91" ht="15" customHeight="1" s="28">
      <c r="A91" s="44" t="inlineStr">
        <is>
          <t>k  (predictors in aux. reg.)</t>
        </is>
      </c>
      <c r="B91" s="35" t="n"/>
      <c r="C91" s="35" t="n"/>
      <c r="D91" s="35" t="n"/>
      <c r="E91" s="35" t="n"/>
      <c r="F91" s="45" t="n">
        <v>1</v>
      </c>
      <c r="G91" s="35" t="n"/>
      <c r="H91" s="35" t="n"/>
    </row>
    <row r="92" ht="15" customHeight="1" s="28">
      <c r="A92" s="44" t="inlineStr">
        <is>
          <t>R²_aux  (from LINEST Step 2)</t>
        </is>
      </c>
      <c r="B92" s="35" t="n"/>
      <c r="C92" s="35" t="n"/>
      <c r="D92" s="35" t="n"/>
      <c r="E92" s="35" t="n"/>
      <c r="F92" s="47">
        <f>F84</f>
        <v/>
      </c>
      <c r="G92" s="35" t="n"/>
      <c r="H92" s="35" t="n"/>
    </row>
    <row r="93" ht="15" customHeight="1" s="28">
      <c r="A93" s="44" t="inlineStr">
        <is>
          <t>LM  =  n · R²_aux</t>
        </is>
      </c>
      <c r="B93" s="35" t="n"/>
      <c r="C93" s="35" t="n"/>
      <c r="D93" s="35" t="n"/>
      <c r="E93" s="35" t="n"/>
      <c r="F93" s="47">
        <f>F90*F92</f>
        <v/>
      </c>
      <c r="G93" s="35" t="n"/>
      <c r="H93" s="35" t="n"/>
    </row>
    <row r="94" ht="15" customHeight="1" s="28">
      <c r="A94" s="44" t="inlineStr">
        <is>
          <t>p-value  =  CHISQ.DIST.RT(LM, k)</t>
        </is>
      </c>
      <c r="B94" s="35" t="n"/>
      <c r="C94" s="35" t="n"/>
      <c r="D94" s="35" t="n"/>
      <c r="E94" s="35" t="n"/>
      <c r="F94" s="47">
        <f>CHIDIST(F93,F91)</f>
        <v/>
      </c>
      <c r="G94" s="35" t="n"/>
      <c r="H94" s="35" t="n"/>
    </row>
    <row r="95" ht="15" customHeight="1" s="28">
      <c r="A95" s="44" t="inlineStr">
        <is>
          <t>Reference LM  (statsmodels)</t>
        </is>
      </c>
      <c r="B95" s="35" t="n"/>
      <c r="C95" s="35" t="n"/>
      <c r="D95" s="35" t="n"/>
      <c r="E95" s="35" t="n"/>
      <c r="F95" s="47" t="n">
        <v>0.184142</v>
      </c>
      <c r="G95" s="35" t="n"/>
      <c r="H95" s="35" t="n"/>
    </row>
    <row r="96" ht="15" customHeight="1" s="28">
      <c r="A96" s="44" t="inlineStr">
        <is>
          <t>Reference p-value  (statsmodels)</t>
        </is>
      </c>
      <c r="B96" s="35" t="n"/>
      <c r="C96" s="35" t="n"/>
      <c r="D96" s="35" t="n"/>
      <c r="E96" s="35" t="n"/>
      <c r="F96" s="47" t="n">
        <v>0.667838</v>
      </c>
      <c r="G96" s="35" t="n"/>
      <c r="H96" s="35" t="n"/>
    </row>
    <row r="97" ht="15" customHeight="1" s="28">
      <c r="A97" s="44" t="inlineStr">
        <is>
          <t>α  (significance level)</t>
        </is>
      </c>
      <c r="B97" s="35" t="n"/>
      <c r="C97" s="35" t="n"/>
      <c r="D97" s="35" t="n"/>
      <c r="E97" s="35" t="n"/>
      <c r="F97" s="49" t="n">
        <v>0.05</v>
      </c>
      <c r="G97" s="35" t="n"/>
      <c r="H97" s="35" t="n"/>
    </row>
    <row r="98" ht="21.75" customHeight="1" s="28">
      <c r="A98" s="54" t="inlineStr">
        <is>
          <t>DECISION:  p-value (0.6678) &gt; α (0.05)  ⟹  FAIL TO REJECT H₀  →  No significant heteroscedasticity detected in crossing data  [LM = 0.1841 | Residual variance appears constant with bar_index]</t>
        </is>
      </c>
    </row>
  </sheetData>
  <mergeCells count="44">
    <mergeCell ref="F95:H95"/>
    <mergeCell ref="A83:E83"/>
    <mergeCell ref="B9:H9"/>
    <mergeCell ref="F94:H94"/>
    <mergeCell ref="A82:E82"/>
    <mergeCell ref="F85:H85"/>
    <mergeCell ref="B6:H6"/>
    <mergeCell ref="A98:H98"/>
    <mergeCell ref="A94:E94"/>
    <mergeCell ref="F97:H97"/>
    <mergeCell ref="A1:H1"/>
    <mergeCell ref="B5:H5"/>
    <mergeCell ref="F91:H91"/>
    <mergeCell ref="A87:E87"/>
    <mergeCell ref="F90:H90"/>
    <mergeCell ref="B4:H4"/>
    <mergeCell ref="A90:E90"/>
    <mergeCell ref="F93:H93"/>
    <mergeCell ref="F96:H96"/>
    <mergeCell ref="A84:E84"/>
    <mergeCell ref="B7:H7"/>
    <mergeCell ref="A80:H80"/>
    <mergeCell ref="G13:H13"/>
    <mergeCell ref="B3:H3"/>
    <mergeCell ref="F92:H92"/>
    <mergeCell ref="A89:H89"/>
    <mergeCell ref="A12:H12"/>
    <mergeCell ref="F82:H82"/>
    <mergeCell ref="A95:E95"/>
    <mergeCell ref="A86:E86"/>
    <mergeCell ref="A85:E85"/>
    <mergeCell ref="B2:H2"/>
    <mergeCell ref="A97:E97"/>
    <mergeCell ref="F87:H87"/>
    <mergeCell ref="A91:E91"/>
    <mergeCell ref="B8:H8"/>
    <mergeCell ref="A96:E96"/>
    <mergeCell ref="A81:H81"/>
    <mergeCell ref="F84:H84"/>
    <mergeCell ref="A93:E93"/>
    <mergeCell ref="B10:H10"/>
    <mergeCell ref="F83:H83"/>
    <mergeCell ref="F86:H86"/>
    <mergeCell ref="A92:E9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77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29" min="1" max="1"/>
    <col width="14" customWidth="1" style="29" min="2" max="4"/>
    <col width="16" customWidth="1" style="29" min="5" max="7"/>
    <col width="8" customWidth="1" style="29" min="8" max="8"/>
    <col width="6" customWidth="1" style="29" min="9" max="9"/>
  </cols>
  <sheetData>
    <row r="1" ht="25.5" customHeight="1" s="28">
      <c r="A1" s="30" t="inlineStr">
        <is>
          <t>WHITE'S HOMOSCEDASTICITY TEST  |  MODEL B  |  n = 741</t>
        </is>
      </c>
    </row>
    <row r="2" ht="15.75" customHeight="1" s="28">
      <c r="A2" s="31" t="inlineStr">
        <is>
          <t>H₀:</t>
        </is>
      </c>
      <c r="B2" s="32" t="inlineStr">
        <is>
          <t>Variance of residuals is constant  (homoscedastic)   |   H₁: Variance depends on X or X²  (heteroscedastic)</t>
        </is>
      </c>
    </row>
    <row r="3" ht="15.75" customHeight="1" s="28">
      <c r="A3" s="31" t="inlineStr">
        <is>
          <t>PURPOSE:</t>
        </is>
      </c>
      <c r="B3" s="32" t="inlineStr">
        <is>
          <t>Extends Breusch-Pagan by adding X² to the auxiliary regression, capturing both linear AND non-linear variance patterns.  Recommended for n &gt; 100 and financial / time-series data.</t>
        </is>
      </c>
    </row>
    <row r="4" ht="15.75" customHeight="1" s="28">
      <c r="A4" s="31" t="inlineStr">
        <is>
          <t>STEPS:</t>
        </is>
      </c>
      <c r="B4" s="32" t="inlineStr">
        <is>
          <t>1. Fit main OLS:  close = β₀ + β₁·X + ε   →   residuals eᵢ</t>
        </is>
      </c>
    </row>
    <row r="5" ht="15.75" customHeight="1" s="28">
      <c r="A5" s="31" t="n"/>
      <c r="B5" s="32" t="inlineStr">
        <is>
          <t>2. Compute eᵢ²  and  Xᵢ²  (squared predictor)</t>
        </is>
      </c>
    </row>
    <row r="6" ht="15.75" customHeight="1" s="28">
      <c r="A6" s="31" t="n"/>
      <c r="B6" s="32" t="inlineStr">
        <is>
          <t>3. Auxiliary OLS:  eᵢ² = γ₀ + γ₁·X + γ₂·X² + u   →   R²_aux</t>
        </is>
      </c>
    </row>
    <row r="7" ht="15.75" customHeight="1" s="28">
      <c r="A7" s="31" t="n"/>
      <c r="B7" s="32" t="inlineStr">
        <is>
          <t>4. LM = n · R²_aux   ~  χ²(k),   k = 2  (X and X² as predictors)</t>
        </is>
      </c>
    </row>
    <row r="8" ht="15.75" customHeight="1" s="28">
      <c r="A8" s="31" t="inlineStr">
        <is>
          <t>KEY DIFF:</t>
        </is>
      </c>
      <c r="B8" s="32" t="inlineStr">
        <is>
          <t>White includes X² to catch variance that curves (e.g. low in middle, high at extremes). Breusch-Pagan only tests for a linear trend in variance.</t>
        </is>
      </c>
    </row>
    <row r="9" ht="15.75" customHeight="1" s="28">
      <c r="A9" s="31" t="inlineStr">
        <is>
          <t>REGRESSION:</t>
        </is>
      </c>
      <c r="B9" s="32" t="inlineStr">
        <is>
          <t>β₀ = 4541.1387   β₁ = 0.225904   [blue = hardcoded inputs]</t>
        </is>
      </c>
    </row>
    <row r="10" ht="15.75" customHeight="1" s="28">
      <c r="A10" s="31" t="inlineStr">
        <is>
          <t>DECISION:</t>
        </is>
      </c>
      <c r="B10" s="32" t="inlineStr">
        <is>
          <t>Reject H₀ if  p-value &lt; α = 0.05</t>
        </is>
      </c>
    </row>
    <row r="12" ht="18" customHeight="1" s="28">
      <c r="A12" s="33" t="inlineStr">
        <is>
          <t>STEP 1 — OLS Residuals, eᵢ², and X²ᵢ  (ŷᵢ = 4541.1387 + 0.225904 · bar_idx)</t>
        </is>
      </c>
    </row>
    <row r="13" ht="31.5" customHeight="1" s="28">
      <c r="A13" s="34" t="inlineStr">
        <is>
          <t>i</t>
        </is>
      </c>
      <c r="B13" s="34" t="inlineStr">
        <is>
          <t>X = Bar Index</t>
        </is>
      </c>
      <c r="C13" s="34" t="inlineStr">
        <is>
          <t>X²  (predictor²)</t>
        </is>
      </c>
      <c r="D13" s="34" t="inlineStr">
        <is>
          <t>Close Price</t>
        </is>
      </c>
      <c r="E13" s="34" t="inlineStr">
        <is>
          <t>OLS Fitted ŷᵢ</t>
        </is>
      </c>
      <c r="F13" s="34" t="inlineStr">
        <is>
          <t>Residual eᵢ</t>
        </is>
      </c>
      <c r="G13" s="34" t="inlineStr">
        <is>
          <t>eᵢ²  (aux. Y)</t>
        </is>
      </c>
      <c r="H13" s="34" t="n"/>
      <c r="I13" s="36" t="n"/>
    </row>
    <row r="14" ht="15" customHeight="1" s="28">
      <c r="A14" s="37" t="n">
        <v>1</v>
      </c>
      <c r="B14" s="55" t="n">
        <v>0</v>
      </c>
      <c r="C14" s="55">
        <f>B14^2</f>
        <v/>
      </c>
      <c r="D14" s="38" t="n">
        <v>4595.7</v>
      </c>
      <c r="E14" s="38">
        <f>4541.138727+0.225904*B14</f>
        <v/>
      </c>
      <c r="F14" s="39">
        <f>D14-E14</f>
        <v/>
      </c>
      <c r="G14" s="38">
        <f>F14^2</f>
        <v/>
      </c>
      <c r="H14" s="37" t="n"/>
      <c r="I14" s="37" t="n"/>
    </row>
    <row r="15" ht="15" customHeight="1" s="28">
      <c r="A15" s="40" t="n">
        <v>2</v>
      </c>
      <c r="B15" s="56" t="n">
        <v>1</v>
      </c>
      <c r="C15" s="56">
        <f>B15^2</f>
        <v/>
      </c>
      <c r="D15" s="41" t="n">
        <v>4597.28</v>
      </c>
      <c r="E15" s="41">
        <f>4541.138727+0.225904*B15</f>
        <v/>
      </c>
      <c r="F15" s="42">
        <f>D15-E15</f>
        <v/>
      </c>
      <c r="G15" s="41">
        <f>F15^2</f>
        <v/>
      </c>
      <c r="H15" s="40" t="n"/>
      <c r="I15" s="40" t="n"/>
    </row>
    <row r="16" ht="15" customHeight="1" s="28">
      <c r="A16" s="37" t="n">
        <v>3</v>
      </c>
      <c r="B16" s="55" t="n">
        <v>2</v>
      </c>
      <c r="C16" s="55">
        <f>B16^2</f>
        <v/>
      </c>
      <c r="D16" s="38" t="n">
        <v>4592.85</v>
      </c>
      <c r="E16" s="38">
        <f>4541.138727+0.225904*B16</f>
        <v/>
      </c>
      <c r="F16" s="39">
        <f>D16-E16</f>
        <v/>
      </c>
      <c r="G16" s="38">
        <f>F16^2</f>
        <v/>
      </c>
      <c r="H16" s="37" t="n"/>
      <c r="I16" s="37" t="n"/>
    </row>
    <row r="17" ht="15" customHeight="1" s="28">
      <c r="A17" s="40" t="n">
        <v>4</v>
      </c>
      <c r="B17" s="56" t="n">
        <v>3</v>
      </c>
      <c r="C17" s="56">
        <f>B17^2</f>
        <v/>
      </c>
      <c r="D17" s="41" t="n">
        <v>4593.44</v>
      </c>
      <c r="E17" s="41">
        <f>4541.138727+0.225904*B17</f>
        <v/>
      </c>
      <c r="F17" s="42">
        <f>D17-E17</f>
        <v/>
      </c>
      <c r="G17" s="41">
        <f>F17^2</f>
        <v/>
      </c>
      <c r="H17" s="40" t="n"/>
      <c r="I17" s="40" t="n"/>
    </row>
    <row r="18" ht="15" customHeight="1" s="28">
      <c r="A18" s="37" t="n">
        <v>5</v>
      </c>
      <c r="B18" s="55" t="n">
        <v>4</v>
      </c>
      <c r="C18" s="55">
        <f>B18^2</f>
        <v/>
      </c>
      <c r="D18" s="38" t="n">
        <v>4597.18</v>
      </c>
      <c r="E18" s="38">
        <f>4541.138727+0.225904*B18</f>
        <v/>
      </c>
      <c r="F18" s="39">
        <f>D18-E18</f>
        <v/>
      </c>
      <c r="G18" s="38">
        <f>F18^2</f>
        <v/>
      </c>
      <c r="H18" s="37" t="n"/>
      <c r="I18" s="37" t="n"/>
    </row>
    <row r="19" ht="15" customHeight="1" s="28">
      <c r="A19" s="40" t="n">
        <v>6</v>
      </c>
      <c r="B19" s="56" t="n">
        <v>5</v>
      </c>
      <c r="C19" s="56">
        <f>B19^2</f>
        <v/>
      </c>
      <c r="D19" s="41" t="n">
        <v>4596.42</v>
      </c>
      <c r="E19" s="41">
        <f>4541.138727+0.225904*B19</f>
        <v/>
      </c>
      <c r="F19" s="42">
        <f>D19-E19</f>
        <v/>
      </c>
      <c r="G19" s="41">
        <f>F19^2</f>
        <v/>
      </c>
      <c r="H19" s="40" t="n"/>
      <c r="I19" s="40" t="n"/>
    </row>
    <row r="20" ht="15" customHeight="1" s="28">
      <c r="A20" s="37" t="n">
        <v>7</v>
      </c>
      <c r="B20" s="55" t="n">
        <v>6</v>
      </c>
      <c r="C20" s="55">
        <f>B20^2</f>
        <v/>
      </c>
      <c r="D20" s="38" t="n">
        <v>4595.82</v>
      </c>
      <c r="E20" s="38">
        <f>4541.138727+0.225904*B20</f>
        <v/>
      </c>
      <c r="F20" s="39">
        <f>D20-E20</f>
        <v/>
      </c>
      <c r="G20" s="38">
        <f>F20^2</f>
        <v/>
      </c>
      <c r="H20" s="37" t="n"/>
      <c r="I20" s="37" t="n"/>
    </row>
    <row r="21" ht="15" customHeight="1" s="28">
      <c r="A21" s="40" t="n">
        <v>8</v>
      </c>
      <c r="B21" s="56" t="n">
        <v>7</v>
      </c>
      <c r="C21" s="56">
        <f>B21^2</f>
        <v/>
      </c>
      <c r="D21" s="41" t="n">
        <v>4593.71</v>
      </c>
      <c r="E21" s="41">
        <f>4541.138727+0.225904*B21</f>
        <v/>
      </c>
      <c r="F21" s="42">
        <f>D21-E21</f>
        <v/>
      </c>
      <c r="G21" s="41">
        <f>F21^2</f>
        <v/>
      </c>
      <c r="H21" s="40" t="n"/>
      <c r="I21" s="40" t="n"/>
    </row>
    <row r="22" ht="15" customHeight="1" s="28">
      <c r="A22" s="37" t="n">
        <v>9</v>
      </c>
      <c r="B22" s="55" t="n">
        <v>8</v>
      </c>
      <c r="C22" s="55">
        <f>B22^2</f>
        <v/>
      </c>
      <c r="D22" s="38" t="n">
        <v>4594.16</v>
      </c>
      <c r="E22" s="38">
        <f>4541.138727+0.225904*B22</f>
        <v/>
      </c>
      <c r="F22" s="39">
        <f>D22-E22</f>
        <v/>
      </c>
      <c r="G22" s="38">
        <f>F22^2</f>
        <v/>
      </c>
      <c r="H22" s="37" t="n"/>
      <c r="I22" s="37" t="n"/>
    </row>
    <row r="23" ht="15" customHeight="1" s="28">
      <c r="A23" s="40" t="n">
        <v>10</v>
      </c>
      <c r="B23" s="56" t="n">
        <v>9</v>
      </c>
      <c r="C23" s="56">
        <f>B23^2</f>
        <v/>
      </c>
      <c r="D23" s="41" t="n">
        <v>4590.84</v>
      </c>
      <c r="E23" s="41">
        <f>4541.138727+0.225904*B23</f>
        <v/>
      </c>
      <c r="F23" s="42">
        <f>D23-E23</f>
        <v/>
      </c>
      <c r="G23" s="41">
        <f>F23^2</f>
        <v/>
      </c>
      <c r="H23" s="40" t="n"/>
      <c r="I23" s="40" t="n"/>
    </row>
    <row r="24" ht="15" customHeight="1" s="28">
      <c r="A24" s="37" t="n">
        <v>11</v>
      </c>
      <c r="B24" s="55" t="n">
        <v>10</v>
      </c>
      <c r="C24" s="55">
        <f>B24^2</f>
        <v/>
      </c>
      <c r="D24" s="38" t="n">
        <v>4592.2</v>
      </c>
      <c r="E24" s="38">
        <f>4541.138727+0.225904*B24</f>
        <v/>
      </c>
      <c r="F24" s="39">
        <f>D24-E24</f>
        <v/>
      </c>
      <c r="G24" s="38">
        <f>F24^2</f>
        <v/>
      </c>
      <c r="H24" s="37" t="n"/>
      <c r="I24" s="37" t="n"/>
    </row>
    <row r="25" ht="15" customHeight="1" s="28">
      <c r="A25" s="40" t="n">
        <v>12</v>
      </c>
      <c r="B25" s="56" t="n">
        <v>11</v>
      </c>
      <c r="C25" s="56">
        <f>B25^2</f>
        <v/>
      </c>
      <c r="D25" s="41" t="n">
        <v>4589.91</v>
      </c>
      <c r="E25" s="41">
        <f>4541.138727+0.225904*B25</f>
        <v/>
      </c>
      <c r="F25" s="42">
        <f>D25-E25</f>
        <v/>
      </c>
      <c r="G25" s="41">
        <f>F25^2</f>
        <v/>
      </c>
      <c r="H25" s="40" t="n"/>
      <c r="I25" s="40" t="n"/>
    </row>
    <row r="26" ht="15" customHeight="1" s="28">
      <c r="A26" s="37" t="n">
        <v>13</v>
      </c>
      <c r="B26" s="55" t="n">
        <v>12</v>
      </c>
      <c r="C26" s="55">
        <f>B26^2</f>
        <v/>
      </c>
      <c r="D26" s="38" t="n">
        <v>4595.51</v>
      </c>
      <c r="E26" s="38">
        <f>4541.138727+0.225904*B26</f>
        <v/>
      </c>
      <c r="F26" s="39">
        <f>D26-E26</f>
        <v/>
      </c>
      <c r="G26" s="38">
        <f>F26^2</f>
        <v/>
      </c>
      <c r="H26" s="37" t="n"/>
      <c r="I26" s="37" t="n"/>
    </row>
    <row r="27" ht="15" customHeight="1" s="28">
      <c r="A27" s="40" t="n">
        <v>14</v>
      </c>
      <c r="B27" s="56" t="n">
        <v>13</v>
      </c>
      <c r="C27" s="56">
        <f>B27^2</f>
        <v/>
      </c>
      <c r="D27" s="41" t="n">
        <v>4607.37</v>
      </c>
      <c r="E27" s="41">
        <f>4541.138727+0.225904*B27</f>
        <v/>
      </c>
      <c r="F27" s="42">
        <f>D27-E27</f>
        <v/>
      </c>
      <c r="G27" s="41">
        <f>F27^2</f>
        <v/>
      </c>
      <c r="H27" s="40" t="n"/>
      <c r="I27" s="40" t="n"/>
    </row>
    <row r="28" ht="15" customHeight="1" s="28">
      <c r="A28" s="37" t="n">
        <v>15</v>
      </c>
      <c r="B28" s="55" t="n">
        <v>14</v>
      </c>
      <c r="C28" s="55">
        <f>B28^2</f>
        <v/>
      </c>
      <c r="D28" s="38" t="n">
        <v>4600.13</v>
      </c>
      <c r="E28" s="38">
        <f>4541.138727+0.225904*B28</f>
        <v/>
      </c>
      <c r="F28" s="39">
        <f>D28-E28</f>
        <v/>
      </c>
      <c r="G28" s="38">
        <f>F28^2</f>
        <v/>
      </c>
      <c r="H28" s="37" t="n"/>
      <c r="I28" s="37" t="n"/>
    </row>
    <row r="29" ht="15" customHeight="1" s="28">
      <c r="A29" s="40" t="n">
        <v>16</v>
      </c>
      <c r="B29" s="56" t="n">
        <v>15</v>
      </c>
      <c r="C29" s="56">
        <f>B29^2</f>
        <v/>
      </c>
      <c r="D29" s="41" t="n">
        <v>4603.88</v>
      </c>
      <c r="E29" s="41">
        <f>4541.138727+0.225904*B29</f>
        <v/>
      </c>
      <c r="F29" s="42">
        <f>D29-E29</f>
        <v/>
      </c>
      <c r="G29" s="41">
        <f>F29^2</f>
        <v/>
      </c>
      <c r="H29" s="40" t="n"/>
      <c r="I29" s="40" t="n"/>
    </row>
    <row r="30" ht="15" customHeight="1" s="28">
      <c r="A30" s="37" t="n">
        <v>17</v>
      </c>
      <c r="B30" s="55" t="n">
        <v>16</v>
      </c>
      <c r="C30" s="55">
        <f>B30^2</f>
        <v/>
      </c>
      <c r="D30" s="38" t="n">
        <v>4600.27</v>
      </c>
      <c r="E30" s="38">
        <f>4541.138727+0.225904*B30</f>
        <v/>
      </c>
      <c r="F30" s="39">
        <f>D30-E30</f>
        <v/>
      </c>
      <c r="G30" s="38">
        <f>F30^2</f>
        <v/>
      </c>
      <c r="H30" s="37" t="n"/>
      <c r="I30" s="37" t="n"/>
    </row>
    <row r="31" ht="15" customHeight="1" s="28">
      <c r="A31" s="40" t="n">
        <v>18</v>
      </c>
      <c r="B31" s="56" t="n">
        <v>17</v>
      </c>
      <c r="C31" s="56">
        <f>B31^2</f>
        <v/>
      </c>
      <c r="D31" s="41" t="n">
        <v>4582.65</v>
      </c>
      <c r="E31" s="41">
        <f>4541.138727+0.225904*B31</f>
        <v/>
      </c>
      <c r="F31" s="42">
        <f>D31-E31</f>
        <v/>
      </c>
      <c r="G31" s="41">
        <f>F31^2</f>
        <v/>
      </c>
      <c r="H31" s="40" t="n"/>
      <c r="I31" s="40" t="n"/>
    </row>
    <row r="32" ht="15" customHeight="1" s="28">
      <c r="A32" s="37" t="n">
        <v>19</v>
      </c>
      <c r="B32" s="55" t="n">
        <v>18</v>
      </c>
      <c r="C32" s="55">
        <f>B32^2</f>
        <v/>
      </c>
      <c r="D32" s="38" t="n">
        <v>4580.48</v>
      </c>
      <c r="E32" s="38">
        <f>4541.138727+0.225904*B32</f>
        <v/>
      </c>
      <c r="F32" s="39">
        <f>D32-E32</f>
        <v/>
      </c>
      <c r="G32" s="38">
        <f>F32^2</f>
        <v/>
      </c>
      <c r="H32" s="37" t="n"/>
      <c r="I32" s="37" t="n"/>
    </row>
    <row r="33" ht="15" customHeight="1" s="28">
      <c r="A33" s="40" t="n">
        <v>20</v>
      </c>
      <c r="B33" s="56" t="n">
        <v>19</v>
      </c>
      <c r="C33" s="56">
        <f>B33^2</f>
        <v/>
      </c>
      <c r="D33" s="41" t="n">
        <v>4590.56</v>
      </c>
      <c r="E33" s="41">
        <f>4541.138727+0.225904*B33</f>
        <v/>
      </c>
      <c r="F33" s="42">
        <f>D33-E33</f>
        <v/>
      </c>
      <c r="G33" s="41">
        <f>F33^2</f>
        <v/>
      </c>
      <c r="H33" s="40" t="n"/>
      <c r="I33" s="40" t="n"/>
    </row>
    <row r="34" ht="15" customHeight="1" s="28">
      <c r="A34" s="37" t="n">
        <v>21</v>
      </c>
      <c r="B34" s="55" t="n">
        <v>20</v>
      </c>
      <c r="C34" s="55">
        <f>B34^2</f>
        <v/>
      </c>
      <c r="D34" s="38" t="n">
        <v>4584.98</v>
      </c>
      <c r="E34" s="38">
        <f>4541.138727+0.225904*B34</f>
        <v/>
      </c>
      <c r="F34" s="39">
        <f>D34-E34</f>
        <v/>
      </c>
      <c r="G34" s="38">
        <f>F34^2</f>
        <v/>
      </c>
      <c r="H34" s="37" t="n"/>
      <c r="I34" s="37" t="n"/>
    </row>
    <row r="35" ht="15" customHeight="1" s="28">
      <c r="A35" s="40" t="n">
        <v>22</v>
      </c>
      <c r="B35" s="56" t="n">
        <v>21</v>
      </c>
      <c r="C35" s="56">
        <f>B35^2</f>
        <v/>
      </c>
      <c r="D35" s="41" t="n">
        <v>4600.87</v>
      </c>
      <c r="E35" s="41">
        <f>4541.138727+0.225904*B35</f>
        <v/>
      </c>
      <c r="F35" s="42">
        <f>D35-E35</f>
        <v/>
      </c>
      <c r="G35" s="41">
        <f>F35^2</f>
        <v/>
      </c>
      <c r="H35" s="40" t="n"/>
      <c r="I35" s="40" t="n"/>
    </row>
    <row r="36" ht="15" customHeight="1" s="28">
      <c r="A36" s="37" t="n">
        <v>23</v>
      </c>
      <c r="B36" s="55" t="n">
        <v>22</v>
      </c>
      <c r="C36" s="55">
        <f>B36^2</f>
        <v/>
      </c>
      <c r="D36" s="38" t="n">
        <v>4598.93</v>
      </c>
      <c r="E36" s="38">
        <f>4541.138727+0.225904*B36</f>
        <v/>
      </c>
      <c r="F36" s="39">
        <f>D36-E36</f>
        <v/>
      </c>
      <c r="G36" s="38">
        <f>F36^2</f>
        <v/>
      </c>
      <c r="H36" s="37" t="n"/>
      <c r="I36" s="37" t="n"/>
    </row>
    <row r="37" ht="15" customHeight="1" s="28">
      <c r="A37" s="40" t="n">
        <v>24</v>
      </c>
      <c r="B37" s="56" t="n">
        <v>23</v>
      </c>
      <c r="C37" s="56">
        <f>B37^2</f>
        <v/>
      </c>
      <c r="D37" s="41" t="n">
        <v>4596.92</v>
      </c>
      <c r="E37" s="41">
        <f>4541.138727+0.225904*B37</f>
        <v/>
      </c>
      <c r="F37" s="42">
        <f>D37-E37</f>
        <v/>
      </c>
      <c r="G37" s="41">
        <f>F37^2</f>
        <v/>
      </c>
      <c r="H37" s="40" t="n"/>
      <c r="I37" s="40" t="n"/>
    </row>
    <row r="38" ht="15" customHeight="1" s="28">
      <c r="A38" s="37" t="n">
        <v>25</v>
      </c>
      <c r="B38" s="55" t="n">
        <v>24</v>
      </c>
      <c r="C38" s="55">
        <f>B38^2</f>
        <v/>
      </c>
      <c r="D38" s="38" t="n">
        <v>4593.75</v>
      </c>
      <c r="E38" s="38">
        <f>4541.138727+0.225904*B38</f>
        <v/>
      </c>
      <c r="F38" s="39">
        <f>D38-E38</f>
        <v/>
      </c>
      <c r="G38" s="38">
        <f>F38^2</f>
        <v/>
      </c>
      <c r="H38" s="37" t="n"/>
      <c r="I38" s="37" t="n"/>
    </row>
    <row r="39" ht="15" customHeight="1" s="28">
      <c r="A39" s="40" t="n">
        <v>26</v>
      </c>
      <c r="B39" s="56" t="n">
        <v>25</v>
      </c>
      <c r="C39" s="56">
        <f>B39^2</f>
        <v/>
      </c>
      <c r="D39" s="41" t="n">
        <v>4601.89</v>
      </c>
      <c r="E39" s="41">
        <f>4541.138727+0.225904*B39</f>
        <v/>
      </c>
      <c r="F39" s="42">
        <f>D39-E39</f>
        <v/>
      </c>
      <c r="G39" s="41">
        <f>F39^2</f>
        <v/>
      </c>
      <c r="H39" s="40" t="n"/>
      <c r="I39" s="40" t="n"/>
    </row>
    <row r="40" ht="15" customHeight="1" s="28">
      <c r="A40" s="37" t="n">
        <v>27</v>
      </c>
      <c r="B40" s="55" t="n">
        <v>26</v>
      </c>
      <c r="C40" s="55">
        <f>B40^2</f>
        <v/>
      </c>
      <c r="D40" s="38" t="n">
        <v>4598.67</v>
      </c>
      <c r="E40" s="38">
        <f>4541.138727+0.225904*B40</f>
        <v/>
      </c>
      <c r="F40" s="39">
        <f>D40-E40</f>
        <v/>
      </c>
      <c r="G40" s="38">
        <f>F40^2</f>
        <v/>
      </c>
      <c r="H40" s="37" t="n"/>
      <c r="I40" s="37" t="n"/>
    </row>
    <row r="41" ht="15" customHeight="1" s="28">
      <c r="A41" s="40" t="n">
        <v>28</v>
      </c>
      <c r="B41" s="56" t="n">
        <v>27</v>
      </c>
      <c r="C41" s="56">
        <f>B41^2</f>
        <v/>
      </c>
      <c r="D41" s="41" t="n">
        <v>4593.91</v>
      </c>
      <c r="E41" s="41">
        <f>4541.138727+0.225904*B41</f>
        <v/>
      </c>
      <c r="F41" s="42">
        <f>D41-E41</f>
        <v/>
      </c>
      <c r="G41" s="41">
        <f>F41^2</f>
        <v/>
      </c>
      <c r="H41" s="40" t="n"/>
      <c r="I41" s="40" t="n"/>
    </row>
    <row r="42" ht="15" customHeight="1" s="28">
      <c r="A42" s="37" t="n">
        <v>29</v>
      </c>
      <c r="B42" s="55" t="n">
        <v>28</v>
      </c>
      <c r="C42" s="55">
        <f>B42^2</f>
        <v/>
      </c>
      <c r="D42" s="38" t="n">
        <v>4595.48</v>
      </c>
      <c r="E42" s="38">
        <f>4541.138727+0.225904*B42</f>
        <v/>
      </c>
      <c r="F42" s="39">
        <f>D42-E42</f>
        <v/>
      </c>
      <c r="G42" s="38">
        <f>F42^2</f>
        <v/>
      </c>
      <c r="H42" s="37" t="n"/>
      <c r="I42" s="37" t="n"/>
    </row>
    <row r="43" ht="15" customHeight="1" s="28">
      <c r="A43" s="40" t="n">
        <v>30</v>
      </c>
      <c r="B43" s="56" t="n">
        <v>29</v>
      </c>
      <c r="C43" s="56">
        <f>B43^2</f>
        <v/>
      </c>
      <c r="D43" s="41" t="n">
        <v>4600.68</v>
      </c>
      <c r="E43" s="41">
        <f>4541.138727+0.225904*B43</f>
        <v/>
      </c>
      <c r="F43" s="42">
        <f>D43-E43</f>
        <v/>
      </c>
      <c r="G43" s="41">
        <f>F43^2</f>
        <v/>
      </c>
      <c r="H43" s="40" t="n"/>
      <c r="I43" s="40" t="n"/>
    </row>
    <row r="44" ht="15" customHeight="1" s="28">
      <c r="A44" s="37" t="n">
        <v>31</v>
      </c>
      <c r="B44" s="55" t="n">
        <v>30</v>
      </c>
      <c r="C44" s="55">
        <f>B44^2</f>
        <v/>
      </c>
      <c r="D44" s="38" t="n">
        <v>4601.86</v>
      </c>
      <c r="E44" s="38">
        <f>4541.138727+0.225904*B44</f>
        <v/>
      </c>
      <c r="F44" s="39">
        <f>D44-E44</f>
        <v/>
      </c>
      <c r="G44" s="38">
        <f>F44^2</f>
        <v/>
      </c>
      <c r="H44" s="37" t="n"/>
      <c r="I44" s="37" t="n"/>
    </row>
    <row r="45" ht="15" customHeight="1" s="28">
      <c r="A45" s="40" t="n">
        <v>32</v>
      </c>
      <c r="B45" s="56" t="n">
        <v>31</v>
      </c>
      <c r="C45" s="56">
        <f>B45^2</f>
        <v/>
      </c>
      <c r="D45" s="41" t="n">
        <v>4602.15</v>
      </c>
      <c r="E45" s="41">
        <f>4541.138727+0.225904*B45</f>
        <v/>
      </c>
      <c r="F45" s="42">
        <f>D45-E45</f>
        <v/>
      </c>
      <c r="G45" s="41">
        <f>F45^2</f>
        <v/>
      </c>
      <c r="H45" s="40" t="n"/>
      <c r="I45" s="40" t="n"/>
    </row>
    <row r="46" ht="15" customHeight="1" s="28">
      <c r="A46" s="37" t="n">
        <v>33</v>
      </c>
      <c r="B46" s="55" t="n">
        <v>32</v>
      </c>
      <c r="C46" s="55">
        <f>B46^2</f>
        <v/>
      </c>
      <c r="D46" s="38" t="n">
        <v>4604.85</v>
      </c>
      <c r="E46" s="38">
        <f>4541.138727+0.225904*B46</f>
        <v/>
      </c>
      <c r="F46" s="39">
        <f>D46-E46</f>
        <v/>
      </c>
      <c r="G46" s="38">
        <f>F46^2</f>
        <v/>
      </c>
      <c r="H46" s="37" t="n"/>
      <c r="I46" s="37" t="n"/>
    </row>
    <row r="47" ht="15" customHeight="1" s="28">
      <c r="A47" s="40" t="n">
        <v>34</v>
      </c>
      <c r="B47" s="56" t="n">
        <v>33</v>
      </c>
      <c r="C47" s="56">
        <f>B47^2</f>
        <v/>
      </c>
      <c r="D47" s="41" t="n">
        <v>4601.15</v>
      </c>
      <c r="E47" s="41">
        <f>4541.138727+0.225904*B47</f>
        <v/>
      </c>
      <c r="F47" s="42">
        <f>D47-E47</f>
        <v/>
      </c>
      <c r="G47" s="41">
        <f>F47^2</f>
        <v/>
      </c>
      <c r="H47" s="40" t="n"/>
      <c r="I47" s="40" t="n"/>
    </row>
    <row r="48" ht="15" customHeight="1" s="28">
      <c r="A48" s="37" t="n">
        <v>35</v>
      </c>
      <c r="B48" s="55" t="n">
        <v>34</v>
      </c>
      <c r="C48" s="55">
        <f>B48^2</f>
        <v/>
      </c>
      <c r="D48" s="38" t="n">
        <v>4600.72</v>
      </c>
      <c r="E48" s="38">
        <f>4541.138727+0.225904*B48</f>
        <v/>
      </c>
      <c r="F48" s="39">
        <f>D48-E48</f>
        <v/>
      </c>
      <c r="G48" s="38">
        <f>F48^2</f>
        <v/>
      </c>
      <c r="H48" s="37" t="n"/>
      <c r="I48" s="37" t="n"/>
    </row>
    <row r="49" ht="15" customHeight="1" s="28">
      <c r="A49" s="40" t="n">
        <v>36</v>
      </c>
      <c r="B49" s="56" t="n">
        <v>35</v>
      </c>
      <c r="C49" s="56">
        <f>B49^2</f>
        <v/>
      </c>
      <c r="D49" s="41" t="n">
        <v>4599.05</v>
      </c>
      <c r="E49" s="41">
        <f>4541.138727+0.225904*B49</f>
        <v/>
      </c>
      <c r="F49" s="42">
        <f>D49-E49</f>
        <v/>
      </c>
      <c r="G49" s="41">
        <f>F49^2</f>
        <v/>
      </c>
      <c r="H49" s="40" t="n"/>
      <c r="I49" s="40" t="n"/>
    </row>
    <row r="50" ht="15" customHeight="1" s="28">
      <c r="A50" s="37" t="n">
        <v>37</v>
      </c>
      <c r="B50" s="55" t="n">
        <v>36</v>
      </c>
      <c r="C50" s="55">
        <f>B50^2</f>
        <v/>
      </c>
      <c r="D50" s="38" t="n">
        <v>4590.9</v>
      </c>
      <c r="E50" s="38">
        <f>4541.138727+0.225904*B50</f>
        <v/>
      </c>
      <c r="F50" s="39">
        <f>D50-E50</f>
        <v/>
      </c>
      <c r="G50" s="38">
        <f>F50^2</f>
        <v/>
      </c>
      <c r="H50" s="37" t="n"/>
      <c r="I50" s="37" t="n"/>
    </row>
    <row r="51" ht="15" customHeight="1" s="28">
      <c r="A51" s="40" t="n">
        <v>38</v>
      </c>
      <c r="B51" s="56" t="n">
        <v>37</v>
      </c>
      <c r="C51" s="56">
        <f>B51^2</f>
        <v/>
      </c>
      <c r="D51" s="41" t="n">
        <v>4588.73</v>
      </c>
      <c r="E51" s="41">
        <f>4541.138727+0.225904*B51</f>
        <v/>
      </c>
      <c r="F51" s="42">
        <f>D51-E51</f>
        <v/>
      </c>
      <c r="G51" s="41">
        <f>F51^2</f>
        <v/>
      </c>
      <c r="H51" s="40" t="n"/>
      <c r="I51" s="40" t="n"/>
    </row>
    <row r="52" ht="15" customHeight="1" s="28">
      <c r="A52" s="37" t="n">
        <v>39</v>
      </c>
      <c r="B52" s="55" t="n">
        <v>38</v>
      </c>
      <c r="C52" s="55">
        <f>B52^2</f>
        <v/>
      </c>
      <c r="D52" s="38" t="n">
        <v>4585.04</v>
      </c>
      <c r="E52" s="38">
        <f>4541.138727+0.225904*B52</f>
        <v/>
      </c>
      <c r="F52" s="39">
        <f>D52-E52</f>
        <v/>
      </c>
      <c r="G52" s="38">
        <f>F52^2</f>
        <v/>
      </c>
      <c r="H52" s="37" t="n"/>
      <c r="I52" s="37" t="n"/>
    </row>
    <row r="53" ht="15" customHeight="1" s="28">
      <c r="A53" s="40" t="n">
        <v>40</v>
      </c>
      <c r="B53" s="56" t="n">
        <v>39</v>
      </c>
      <c r="C53" s="56">
        <f>B53^2</f>
        <v/>
      </c>
      <c r="D53" s="41" t="n">
        <v>4585.03</v>
      </c>
      <c r="E53" s="41">
        <f>4541.138727+0.225904*B53</f>
        <v/>
      </c>
      <c r="F53" s="42">
        <f>D53-E53</f>
        <v/>
      </c>
      <c r="G53" s="41">
        <f>F53^2</f>
        <v/>
      </c>
      <c r="H53" s="40" t="n"/>
      <c r="I53" s="40" t="n"/>
    </row>
    <row r="54" ht="15" customHeight="1" s="28">
      <c r="A54" s="37" t="n">
        <v>41</v>
      </c>
      <c r="B54" s="55" t="n">
        <v>40</v>
      </c>
      <c r="C54" s="55">
        <f>B54^2</f>
        <v/>
      </c>
      <c r="D54" s="38" t="n">
        <v>4584.52</v>
      </c>
      <c r="E54" s="38">
        <f>4541.138727+0.225904*B54</f>
        <v/>
      </c>
      <c r="F54" s="39">
        <f>D54-E54</f>
        <v/>
      </c>
      <c r="G54" s="38">
        <f>F54^2</f>
        <v/>
      </c>
      <c r="H54" s="37" t="n"/>
      <c r="I54" s="37" t="n"/>
    </row>
    <row r="55" ht="15" customHeight="1" s="28">
      <c r="A55" s="40" t="n">
        <v>42</v>
      </c>
      <c r="B55" s="56" t="n">
        <v>41</v>
      </c>
      <c r="C55" s="56">
        <f>B55^2</f>
        <v/>
      </c>
      <c r="D55" s="41" t="n">
        <v>4578.72</v>
      </c>
      <c r="E55" s="41">
        <f>4541.138727+0.225904*B55</f>
        <v/>
      </c>
      <c r="F55" s="42">
        <f>D55-E55</f>
        <v/>
      </c>
      <c r="G55" s="41">
        <f>F55^2</f>
        <v/>
      </c>
      <c r="H55" s="40" t="n"/>
      <c r="I55" s="40" t="n"/>
    </row>
    <row r="56" ht="15" customHeight="1" s="28">
      <c r="A56" s="37" t="n">
        <v>43</v>
      </c>
      <c r="B56" s="55" t="n">
        <v>42</v>
      </c>
      <c r="C56" s="55">
        <f>B56^2</f>
        <v/>
      </c>
      <c r="D56" s="38" t="n">
        <v>4575.11</v>
      </c>
      <c r="E56" s="38">
        <f>4541.138727+0.225904*B56</f>
        <v/>
      </c>
      <c r="F56" s="39">
        <f>D56-E56</f>
        <v/>
      </c>
      <c r="G56" s="38">
        <f>F56^2</f>
        <v/>
      </c>
      <c r="H56" s="37" t="n"/>
      <c r="I56" s="37" t="n"/>
    </row>
    <row r="57" ht="15" customHeight="1" s="28">
      <c r="A57" s="40" t="n">
        <v>44</v>
      </c>
      <c r="B57" s="56" t="n">
        <v>43</v>
      </c>
      <c r="C57" s="56">
        <f>B57^2</f>
        <v/>
      </c>
      <c r="D57" s="41" t="n">
        <v>4570.56</v>
      </c>
      <c r="E57" s="41">
        <f>4541.138727+0.225904*B57</f>
        <v/>
      </c>
      <c r="F57" s="42">
        <f>D57-E57</f>
        <v/>
      </c>
      <c r="G57" s="41">
        <f>F57^2</f>
        <v/>
      </c>
      <c r="H57" s="40" t="n"/>
      <c r="I57" s="40" t="n"/>
    </row>
    <row r="58" ht="15" customHeight="1" s="28">
      <c r="A58" s="37" t="n">
        <v>45</v>
      </c>
      <c r="B58" s="55" t="n">
        <v>44</v>
      </c>
      <c r="C58" s="55">
        <f>B58^2</f>
        <v/>
      </c>
      <c r="D58" s="38" t="n">
        <v>4567.92</v>
      </c>
      <c r="E58" s="38">
        <f>4541.138727+0.225904*B58</f>
        <v/>
      </c>
      <c r="F58" s="39">
        <f>D58-E58</f>
        <v/>
      </c>
      <c r="G58" s="38">
        <f>F58^2</f>
        <v/>
      </c>
      <c r="H58" s="37" t="n"/>
      <c r="I58" s="37" t="n"/>
    </row>
    <row r="59" ht="15" customHeight="1" s="28">
      <c r="A59" s="40" t="n">
        <v>46</v>
      </c>
      <c r="B59" s="56" t="n">
        <v>45</v>
      </c>
      <c r="C59" s="56">
        <f>B59^2</f>
        <v/>
      </c>
      <c r="D59" s="41" t="n">
        <v>4565.44</v>
      </c>
      <c r="E59" s="41">
        <f>4541.138727+0.225904*B59</f>
        <v/>
      </c>
      <c r="F59" s="42">
        <f>D59-E59</f>
        <v/>
      </c>
      <c r="G59" s="41">
        <f>F59^2</f>
        <v/>
      </c>
      <c r="H59" s="40" t="n"/>
      <c r="I59" s="40" t="n"/>
    </row>
    <row r="60" ht="15" customHeight="1" s="28">
      <c r="A60" s="37" t="n">
        <v>47</v>
      </c>
      <c r="B60" s="55" t="n">
        <v>46</v>
      </c>
      <c r="C60" s="55">
        <f>B60^2</f>
        <v/>
      </c>
      <c r="D60" s="38" t="n">
        <v>4566.65</v>
      </c>
      <c r="E60" s="38">
        <f>4541.138727+0.225904*B60</f>
        <v/>
      </c>
      <c r="F60" s="39">
        <f>D60-E60</f>
        <v/>
      </c>
      <c r="G60" s="38">
        <f>F60^2</f>
        <v/>
      </c>
      <c r="H60" s="37" t="n"/>
      <c r="I60" s="37" t="n"/>
    </row>
    <row r="61" ht="15" customHeight="1" s="28">
      <c r="A61" s="40" t="n">
        <v>48</v>
      </c>
      <c r="B61" s="56" t="n">
        <v>47</v>
      </c>
      <c r="C61" s="56">
        <f>B61^2</f>
        <v/>
      </c>
      <c r="D61" s="41" t="n">
        <v>4568.37</v>
      </c>
      <c r="E61" s="41">
        <f>4541.138727+0.225904*B61</f>
        <v/>
      </c>
      <c r="F61" s="42">
        <f>D61-E61</f>
        <v/>
      </c>
      <c r="G61" s="41">
        <f>F61^2</f>
        <v/>
      </c>
      <c r="H61" s="40" t="n"/>
      <c r="I61" s="40" t="n"/>
    </row>
    <row r="62" ht="15" customHeight="1" s="28">
      <c r="A62" s="37" t="n">
        <v>49</v>
      </c>
      <c r="B62" s="55" t="n">
        <v>48</v>
      </c>
      <c r="C62" s="55">
        <f>B62^2</f>
        <v/>
      </c>
      <c r="D62" s="38" t="n">
        <v>4573.2</v>
      </c>
      <c r="E62" s="38">
        <f>4541.138727+0.225904*B62</f>
        <v/>
      </c>
      <c r="F62" s="39">
        <f>D62-E62</f>
        <v/>
      </c>
      <c r="G62" s="38">
        <f>F62^2</f>
        <v/>
      </c>
      <c r="H62" s="37" t="n"/>
      <c r="I62" s="37" t="n"/>
    </row>
    <row r="63" ht="15" customHeight="1" s="28">
      <c r="A63" s="40" t="n">
        <v>50</v>
      </c>
      <c r="B63" s="56" t="n">
        <v>49</v>
      </c>
      <c r="C63" s="56">
        <f>B63^2</f>
        <v/>
      </c>
      <c r="D63" s="41" t="n">
        <v>4574.2</v>
      </c>
      <c r="E63" s="41">
        <f>4541.138727+0.225904*B63</f>
        <v/>
      </c>
      <c r="F63" s="42">
        <f>D63-E63</f>
        <v/>
      </c>
      <c r="G63" s="41">
        <f>F63^2</f>
        <v/>
      </c>
      <c r="H63" s="40" t="n"/>
      <c r="I63" s="40" t="n"/>
    </row>
    <row r="64" ht="15" customHeight="1" s="28">
      <c r="A64" s="37" t="n">
        <v>51</v>
      </c>
      <c r="B64" s="55" t="n">
        <v>50</v>
      </c>
      <c r="C64" s="55">
        <f>B64^2</f>
        <v/>
      </c>
      <c r="D64" s="38" t="n">
        <v>4565.69</v>
      </c>
      <c r="E64" s="38">
        <f>4541.138727+0.225904*B64</f>
        <v/>
      </c>
      <c r="F64" s="39">
        <f>D64-E64</f>
        <v/>
      </c>
      <c r="G64" s="38">
        <f>F64^2</f>
        <v/>
      </c>
      <c r="H64" s="37" t="n"/>
      <c r="I64" s="37" t="n"/>
    </row>
    <row r="65" ht="15" customHeight="1" s="28">
      <c r="A65" s="40" t="n">
        <v>52</v>
      </c>
      <c r="B65" s="56" t="n">
        <v>51</v>
      </c>
      <c r="C65" s="56">
        <f>B65^2</f>
        <v/>
      </c>
      <c r="D65" s="41" t="n">
        <v>4558.86</v>
      </c>
      <c r="E65" s="41">
        <f>4541.138727+0.225904*B65</f>
        <v/>
      </c>
      <c r="F65" s="42">
        <f>D65-E65</f>
        <v/>
      </c>
      <c r="G65" s="41">
        <f>F65^2</f>
        <v/>
      </c>
      <c r="H65" s="40" t="n"/>
      <c r="I65" s="40" t="n"/>
    </row>
    <row r="66" ht="15" customHeight="1" s="28">
      <c r="A66" s="37" t="n">
        <v>53</v>
      </c>
      <c r="B66" s="55" t="n">
        <v>52</v>
      </c>
      <c r="C66" s="55">
        <f>B66^2</f>
        <v/>
      </c>
      <c r="D66" s="38" t="n">
        <v>4555.94</v>
      </c>
      <c r="E66" s="38">
        <f>4541.138727+0.225904*B66</f>
        <v/>
      </c>
      <c r="F66" s="39">
        <f>D66-E66</f>
        <v/>
      </c>
      <c r="G66" s="38">
        <f>F66^2</f>
        <v/>
      </c>
      <c r="H66" s="37" t="n"/>
      <c r="I66" s="37" t="n"/>
    </row>
    <row r="67" ht="15" customHeight="1" s="28">
      <c r="A67" s="40" t="n">
        <v>54</v>
      </c>
      <c r="B67" s="56" t="n">
        <v>53</v>
      </c>
      <c r="C67" s="56">
        <f>B67^2</f>
        <v/>
      </c>
      <c r="D67" s="41" t="n">
        <v>4568.04</v>
      </c>
      <c r="E67" s="41">
        <f>4541.138727+0.225904*B67</f>
        <v/>
      </c>
      <c r="F67" s="42">
        <f>D67-E67</f>
        <v/>
      </c>
      <c r="G67" s="41">
        <f>F67^2</f>
        <v/>
      </c>
      <c r="H67" s="40" t="n"/>
      <c r="I67" s="40" t="n"/>
    </row>
    <row r="68" ht="15" customHeight="1" s="28">
      <c r="A68" s="37" t="n">
        <v>55</v>
      </c>
      <c r="B68" s="55" t="n">
        <v>54</v>
      </c>
      <c r="C68" s="55">
        <f>B68^2</f>
        <v/>
      </c>
      <c r="D68" s="38" t="n">
        <v>4571.78</v>
      </c>
      <c r="E68" s="38">
        <f>4541.138727+0.225904*B68</f>
        <v/>
      </c>
      <c r="F68" s="39">
        <f>D68-E68</f>
        <v/>
      </c>
      <c r="G68" s="38">
        <f>F68^2</f>
        <v/>
      </c>
      <c r="H68" s="37" t="n"/>
      <c r="I68" s="37" t="n"/>
    </row>
    <row r="69" ht="15" customHeight="1" s="28">
      <c r="A69" s="40" t="n">
        <v>56</v>
      </c>
      <c r="B69" s="56" t="n">
        <v>55</v>
      </c>
      <c r="C69" s="56">
        <f>B69^2</f>
        <v/>
      </c>
      <c r="D69" s="41" t="n">
        <v>4566.36</v>
      </c>
      <c r="E69" s="41">
        <f>4541.138727+0.225904*B69</f>
        <v/>
      </c>
      <c r="F69" s="42">
        <f>D69-E69</f>
        <v/>
      </c>
      <c r="G69" s="41">
        <f>F69^2</f>
        <v/>
      </c>
      <c r="H69" s="40" t="n"/>
      <c r="I69" s="40" t="n"/>
    </row>
    <row r="70" ht="15" customHeight="1" s="28">
      <c r="A70" s="37" t="n">
        <v>57</v>
      </c>
      <c r="B70" s="55" t="n">
        <v>56</v>
      </c>
      <c r="C70" s="55">
        <f>B70^2</f>
        <v/>
      </c>
      <c r="D70" s="38" t="n">
        <v>4569.98</v>
      </c>
      <c r="E70" s="38">
        <f>4541.138727+0.225904*B70</f>
        <v/>
      </c>
      <c r="F70" s="39">
        <f>D70-E70</f>
        <v/>
      </c>
      <c r="G70" s="38">
        <f>F70^2</f>
        <v/>
      </c>
      <c r="H70" s="37" t="n"/>
      <c r="I70" s="37" t="n"/>
    </row>
    <row r="71" ht="15" customHeight="1" s="28">
      <c r="A71" s="40" t="n">
        <v>58</v>
      </c>
      <c r="B71" s="56" t="n">
        <v>57</v>
      </c>
      <c r="C71" s="56">
        <f>B71^2</f>
        <v/>
      </c>
      <c r="D71" s="41" t="n">
        <v>4568.02</v>
      </c>
      <c r="E71" s="41">
        <f>4541.138727+0.225904*B71</f>
        <v/>
      </c>
      <c r="F71" s="42">
        <f>D71-E71</f>
        <v/>
      </c>
      <c r="G71" s="41">
        <f>F71^2</f>
        <v/>
      </c>
      <c r="H71" s="40" t="n"/>
      <c r="I71" s="40" t="n"/>
    </row>
    <row r="72" ht="15" customHeight="1" s="28">
      <c r="A72" s="37" t="n">
        <v>59</v>
      </c>
      <c r="B72" s="55" t="n">
        <v>58</v>
      </c>
      <c r="C72" s="55">
        <f>B72^2</f>
        <v/>
      </c>
      <c r="D72" s="38" t="n">
        <v>4564.76</v>
      </c>
      <c r="E72" s="38">
        <f>4541.138727+0.225904*B72</f>
        <v/>
      </c>
      <c r="F72" s="39">
        <f>D72-E72</f>
        <v/>
      </c>
      <c r="G72" s="38">
        <f>F72^2</f>
        <v/>
      </c>
      <c r="H72" s="37" t="n"/>
      <c r="I72" s="37" t="n"/>
    </row>
    <row r="73" ht="15" customHeight="1" s="28">
      <c r="A73" s="40" t="n">
        <v>60</v>
      </c>
      <c r="B73" s="56" t="n">
        <v>59</v>
      </c>
      <c r="C73" s="56">
        <f>B73^2</f>
        <v/>
      </c>
      <c r="D73" s="41" t="n">
        <v>4567.03</v>
      </c>
      <c r="E73" s="41">
        <f>4541.138727+0.225904*B73</f>
        <v/>
      </c>
      <c r="F73" s="42">
        <f>D73-E73</f>
        <v/>
      </c>
      <c r="G73" s="41">
        <f>F73^2</f>
        <v/>
      </c>
      <c r="H73" s="40" t="n"/>
      <c r="I73" s="40" t="n"/>
    </row>
    <row r="74" ht="15" customHeight="1" s="28">
      <c r="A74" s="37" t="n">
        <v>61</v>
      </c>
      <c r="B74" s="55" t="n">
        <v>60</v>
      </c>
      <c r="C74" s="55">
        <f>B74^2</f>
        <v/>
      </c>
      <c r="D74" s="38" t="n">
        <v>4561.87</v>
      </c>
      <c r="E74" s="38">
        <f>4541.138727+0.225904*B74</f>
        <v/>
      </c>
      <c r="F74" s="39">
        <f>D74-E74</f>
        <v/>
      </c>
      <c r="G74" s="38">
        <f>F74^2</f>
        <v/>
      </c>
      <c r="H74" s="37" t="n"/>
      <c r="I74" s="37" t="n"/>
    </row>
    <row r="75" ht="15" customHeight="1" s="28">
      <c r="A75" s="40" t="n">
        <v>62</v>
      </c>
      <c r="B75" s="56" t="n">
        <v>61</v>
      </c>
      <c r="C75" s="56">
        <f>B75^2</f>
        <v/>
      </c>
      <c r="D75" s="41" t="n">
        <v>4564.41</v>
      </c>
      <c r="E75" s="41">
        <f>4541.138727+0.225904*B75</f>
        <v/>
      </c>
      <c r="F75" s="42">
        <f>D75-E75</f>
        <v/>
      </c>
      <c r="G75" s="41">
        <f>F75^2</f>
        <v/>
      </c>
      <c r="H75" s="40" t="n"/>
      <c r="I75" s="40" t="n"/>
    </row>
    <row r="76" ht="15" customHeight="1" s="28">
      <c r="A76" s="37" t="n">
        <v>63</v>
      </c>
      <c r="B76" s="55" t="n">
        <v>62</v>
      </c>
      <c r="C76" s="55">
        <f>B76^2</f>
        <v/>
      </c>
      <c r="D76" s="38" t="n">
        <v>4559.4</v>
      </c>
      <c r="E76" s="38">
        <f>4541.138727+0.225904*B76</f>
        <v/>
      </c>
      <c r="F76" s="39">
        <f>D76-E76</f>
        <v/>
      </c>
      <c r="G76" s="38">
        <f>F76^2</f>
        <v/>
      </c>
      <c r="H76" s="37" t="n"/>
      <c r="I76" s="37" t="n"/>
    </row>
    <row r="77" ht="15" customHeight="1" s="28">
      <c r="A77" s="40" t="n">
        <v>64</v>
      </c>
      <c r="B77" s="56" t="n">
        <v>63</v>
      </c>
      <c r="C77" s="56">
        <f>B77^2</f>
        <v/>
      </c>
      <c r="D77" s="41" t="n">
        <v>4557.62</v>
      </c>
      <c r="E77" s="41">
        <f>4541.138727+0.225904*B77</f>
        <v/>
      </c>
      <c r="F77" s="42">
        <f>D77-E77</f>
        <v/>
      </c>
      <c r="G77" s="41">
        <f>F77^2</f>
        <v/>
      </c>
      <c r="H77" s="40" t="n"/>
      <c r="I77" s="40" t="n"/>
    </row>
    <row r="78" ht="15" customHeight="1" s="28">
      <c r="A78" s="37" t="n">
        <v>65</v>
      </c>
      <c r="B78" s="55" t="n">
        <v>64</v>
      </c>
      <c r="C78" s="55">
        <f>B78^2</f>
        <v/>
      </c>
      <c r="D78" s="38" t="n">
        <v>4544.9</v>
      </c>
      <c r="E78" s="38">
        <f>4541.138727+0.225904*B78</f>
        <v/>
      </c>
      <c r="F78" s="39">
        <f>D78-E78</f>
        <v/>
      </c>
      <c r="G78" s="38">
        <f>F78^2</f>
        <v/>
      </c>
      <c r="H78" s="37" t="n"/>
      <c r="I78" s="37" t="n"/>
    </row>
    <row r="79" ht="15" customHeight="1" s="28">
      <c r="A79" s="40" t="n">
        <v>66</v>
      </c>
      <c r="B79" s="56" t="n">
        <v>65</v>
      </c>
      <c r="C79" s="56">
        <f>B79^2</f>
        <v/>
      </c>
      <c r="D79" s="41" t="n">
        <v>4549.8</v>
      </c>
      <c r="E79" s="41">
        <f>4541.138727+0.225904*B79</f>
        <v/>
      </c>
      <c r="F79" s="42">
        <f>D79-E79</f>
        <v/>
      </c>
      <c r="G79" s="41">
        <f>F79^2</f>
        <v/>
      </c>
      <c r="H79" s="40" t="n"/>
      <c r="I79" s="40" t="n"/>
    </row>
    <row r="80" ht="15" customHeight="1" s="28">
      <c r="A80" s="37" t="n">
        <v>67</v>
      </c>
      <c r="B80" s="55" t="n">
        <v>66</v>
      </c>
      <c r="C80" s="55">
        <f>B80^2</f>
        <v/>
      </c>
      <c r="D80" s="38" t="n">
        <v>4537.82</v>
      </c>
      <c r="E80" s="38">
        <f>4541.138727+0.225904*B80</f>
        <v/>
      </c>
      <c r="F80" s="39">
        <f>D80-E80</f>
        <v/>
      </c>
      <c r="G80" s="38">
        <f>F80^2</f>
        <v/>
      </c>
      <c r="H80" s="37" t="n"/>
      <c r="I80" s="37" t="n"/>
    </row>
    <row r="81" ht="15" customHeight="1" s="28">
      <c r="A81" s="40" t="n">
        <v>68</v>
      </c>
      <c r="B81" s="56" t="n">
        <v>67</v>
      </c>
      <c r="C81" s="56">
        <f>B81^2</f>
        <v/>
      </c>
      <c r="D81" s="41" t="n">
        <v>4514.81</v>
      </c>
      <c r="E81" s="41">
        <f>4541.138727+0.225904*B81</f>
        <v/>
      </c>
      <c r="F81" s="42">
        <f>D81-E81</f>
        <v/>
      </c>
      <c r="G81" s="41">
        <f>F81^2</f>
        <v/>
      </c>
      <c r="H81" s="40" t="n"/>
      <c r="I81" s="40" t="n"/>
    </row>
    <row r="82" ht="15" customHeight="1" s="28">
      <c r="A82" s="37" t="n">
        <v>69</v>
      </c>
      <c r="B82" s="55" t="n">
        <v>68</v>
      </c>
      <c r="C82" s="55">
        <f>B82^2</f>
        <v/>
      </c>
      <c r="D82" s="38" t="n">
        <v>4521.71</v>
      </c>
      <c r="E82" s="38">
        <f>4541.138727+0.225904*B82</f>
        <v/>
      </c>
      <c r="F82" s="39">
        <f>D82-E82</f>
        <v/>
      </c>
      <c r="G82" s="38">
        <f>F82^2</f>
        <v/>
      </c>
      <c r="H82" s="37" t="n"/>
      <c r="I82" s="37" t="n"/>
    </row>
    <row r="83" ht="15" customHeight="1" s="28">
      <c r="A83" s="40" t="n">
        <v>70</v>
      </c>
      <c r="B83" s="56" t="n">
        <v>69</v>
      </c>
      <c r="C83" s="56">
        <f>B83^2</f>
        <v/>
      </c>
      <c r="D83" s="41" t="n">
        <v>4526.15</v>
      </c>
      <c r="E83" s="41">
        <f>4541.138727+0.225904*B83</f>
        <v/>
      </c>
      <c r="F83" s="42">
        <f>D83-E83</f>
        <v/>
      </c>
      <c r="G83" s="41">
        <f>F83^2</f>
        <v/>
      </c>
      <c r="H83" s="40" t="n"/>
      <c r="I83" s="40" t="n"/>
    </row>
    <row r="84" ht="15" customHeight="1" s="28">
      <c r="A84" s="37" t="n">
        <v>71</v>
      </c>
      <c r="B84" s="55" t="n">
        <v>70</v>
      </c>
      <c r="C84" s="55">
        <f>B84^2</f>
        <v/>
      </c>
      <c r="D84" s="38" t="n">
        <v>4533.2</v>
      </c>
      <c r="E84" s="38">
        <f>4541.138727+0.225904*B84</f>
        <v/>
      </c>
      <c r="F84" s="39">
        <f>D84-E84</f>
        <v/>
      </c>
      <c r="G84" s="38">
        <f>F84^2</f>
        <v/>
      </c>
      <c r="H84" s="37" t="n"/>
      <c r="I84" s="37" t="n"/>
    </row>
    <row r="85" ht="15" customHeight="1" s="28">
      <c r="A85" s="40" t="n">
        <v>72</v>
      </c>
      <c r="B85" s="56" t="n">
        <v>71</v>
      </c>
      <c r="C85" s="56">
        <f>B85^2</f>
        <v/>
      </c>
      <c r="D85" s="41" t="n">
        <v>4538.69</v>
      </c>
      <c r="E85" s="41">
        <f>4541.138727+0.225904*B85</f>
        <v/>
      </c>
      <c r="F85" s="42">
        <f>D85-E85</f>
        <v/>
      </c>
      <c r="G85" s="41">
        <f>F85^2</f>
        <v/>
      </c>
      <c r="H85" s="40" t="n"/>
      <c r="I85" s="40" t="n"/>
    </row>
    <row r="86" ht="15" customHeight="1" s="28">
      <c r="A86" s="37" t="n">
        <v>73</v>
      </c>
      <c r="B86" s="55" t="n">
        <v>72</v>
      </c>
      <c r="C86" s="55">
        <f>B86^2</f>
        <v/>
      </c>
      <c r="D86" s="38" t="n">
        <v>4539.25</v>
      </c>
      <c r="E86" s="38">
        <f>4541.138727+0.225904*B86</f>
        <v/>
      </c>
      <c r="F86" s="39">
        <f>D86-E86</f>
        <v/>
      </c>
      <c r="G86" s="38">
        <f>F86^2</f>
        <v/>
      </c>
      <c r="H86" s="37" t="n"/>
      <c r="I86" s="37" t="n"/>
    </row>
    <row r="87" ht="15" customHeight="1" s="28">
      <c r="A87" s="40" t="n">
        <v>74</v>
      </c>
      <c r="B87" s="56" t="n">
        <v>73</v>
      </c>
      <c r="C87" s="56">
        <f>B87^2</f>
        <v/>
      </c>
      <c r="D87" s="41" t="n">
        <v>4538.08</v>
      </c>
      <c r="E87" s="41">
        <f>4541.138727+0.225904*B87</f>
        <v/>
      </c>
      <c r="F87" s="42">
        <f>D87-E87</f>
        <v/>
      </c>
      <c r="G87" s="41">
        <f>F87^2</f>
        <v/>
      </c>
      <c r="H87" s="40" t="n"/>
      <c r="I87" s="40" t="n"/>
    </row>
    <row r="88" ht="15" customHeight="1" s="28">
      <c r="A88" s="37" t="n">
        <v>75</v>
      </c>
      <c r="B88" s="55" t="n">
        <v>74</v>
      </c>
      <c r="C88" s="55">
        <f>B88^2</f>
        <v/>
      </c>
      <c r="D88" s="38" t="n">
        <v>4543.61</v>
      </c>
      <c r="E88" s="38">
        <f>4541.138727+0.225904*B88</f>
        <v/>
      </c>
      <c r="F88" s="39">
        <f>D88-E88</f>
        <v/>
      </c>
      <c r="G88" s="38">
        <f>F88^2</f>
        <v/>
      </c>
      <c r="H88" s="37" t="n"/>
      <c r="I88" s="37" t="n"/>
    </row>
    <row r="89" ht="15" customHeight="1" s="28">
      <c r="A89" s="40" t="n">
        <v>76</v>
      </c>
      <c r="B89" s="56" t="n">
        <v>75</v>
      </c>
      <c r="C89" s="56">
        <f>B89^2</f>
        <v/>
      </c>
      <c r="D89" s="41" t="n">
        <v>4553.17</v>
      </c>
      <c r="E89" s="41">
        <f>4541.138727+0.225904*B89</f>
        <v/>
      </c>
      <c r="F89" s="42">
        <f>D89-E89</f>
        <v/>
      </c>
      <c r="G89" s="41">
        <f>F89^2</f>
        <v/>
      </c>
      <c r="H89" s="40" t="n"/>
      <c r="I89" s="40" t="n"/>
    </row>
    <row r="90" ht="15" customHeight="1" s="28">
      <c r="A90" s="37" t="n">
        <v>77</v>
      </c>
      <c r="B90" s="55" t="n">
        <v>76</v>
      </c>
      <c r="C90" s="55">
        <f>B90^2</f>
        <v/>
      </c>
      <c r="D90" s="38" t="n">
        <v>4547.48</v>
      </c>
      <c r="E90" s="38">
        <f>4541.138727+0.225904*B90</f>
        <v/>
      </c>
      <c r="F90" s="39">
        <f>D90-E90</f>
        <v/>
      </c>
      <c r="G90" s="38">
        <f>F90^2</f>
        <v/>
      </c>
      <c r="H90" s="37" t="n"/>
      <c r="I90" s="37" t="n"/>
    </row>
    <row r="91" ht="15" customHeight="1" s="28">
      <c r="A91" s="40" t="n">
        <v>78</v>
      </c>
      <c r="B91" s="56" t="n">
        <v>77</v>
      </c>
      <c r="C91" s="56">
        <f>B91^2</f>
        <v/>
      </c>
      <c r="D91" s="41" t="n">
        <v>4559.1</v>
      </c>
      <c r="E91" s="41">
        <f>4541.138727+0.225904*B91</f>
        <v/>
      </c>
      <c r="F91" s="42">
        <f>D91-E91</f>
        <v/>
      </c>
      <c r="G91" s="41">
        <f>F91^2</f>
        <v/>
      </c>
      <c r="H91" s="40" t="n"/>
      <c r="I91" s="40" t="n"/>
    </row>
    <row r="92" ht="15" customHeight="1" s="28">
      <c r="A92" s="37" t="n">
        <v>79</v>
      </c>
      <c r="B92" s="55" t="n">
        <v>78</v>
      </c>
      <c r="C92" s="55">
        <f>B92^2</f>
        <v/>
      </c>
      <c r="D92" s="38" t="n">
        <v>4560.23</v>
      </c>
      <c r="E92" s="38">
        <f>4541.138727+0.225904*B92</f>
        <v/>
      </c>
      <c r="F92" s="39">
        <f>D92-E92</f>
        <v/>
      </c>
      <c r="G92" s="38">
        <f>F92^2</f>
        <v/>
      </c>
      <c r="H92" s="37" t="n"/>
      <c r="I92" s="37" t="n"/>
    </row>
    <row r="93" ht="15" customHeight="1" s="28">
      <c r="A93" s="40" t="n">
        <v>80</v>
      </c>
      <c r="B93" s="56" t="n">
        <v>79</v>
      </c>
      <c r="C93" s="56">
        <f>B93^2</f>
        <v/>
      </c>
      <c r="D93" s="41" t="n">
        <v>4550.51</v>
      </c>
      <c r="E93" s="41">
        <f>4541.138727+0.225904*B93</f>
        <v/>
      </c>
      <c r="F93" s="42">
        <f>D93-E93</f>
        <v/>
      </c>
      <c r="G93" s="41">
        <f>F93^2</f>
        <v/>
      </c>
      <c r="H93" s="40" t="n"/>
      <c r="I93" s="40" t="n"/>
    </row>
    <row r="94" ht="15" customHeight="1" s="28">
      <c r="A94" s="37" t="n">
        <v>81</v>
      </c>
      <c r="B94" s="55" t="n">
        <v>80</v>
      </c>
      <c r="C94" s="55">
        <f>B94^2</f>
        <v/>
      </c>
      <c r="D94" s="38" t="n">
        <v>4545.36</v>
      </c>
      <c r="E94" s="38">
        <f>4541.138727+0.225904*B94</f>
        <v/>
      </c>
      <c r="F94" s="39">
        <f>D94-E94</f>
        <v/>
      </c>
      <c r="G94" s="38">
        <f>F94^2</f>
        <v/>
      </c>
      <c r="H94" s="37" t="n"/>
      <c r="I94" s="37" t="n"/>
    </row>
    <row r="95" ht="15" customHeight="1" s="28">
      <c r="A95" s="40" t="n">
        <v>82</v>
      </c>
      <c r="B95" s="56" t="n">
        <v>81</v>
      </c>
      <c r="C95" s="56">
        <f>B95^2</f>
        <v/>
      </c>
      <c r="D95" s="41" t="n">
        <v>4550.68</v>
      </c>
      <c r="E95" s="41">
        <f>4541.138727+0.225904*B95</f>
        <v/>
      </c>
      <c r="F95" s="42">
        <f>D95-E95</f>
        <v/>
      </c>
      <c r="G95" s="41">
        <f>F95^2</f>
        <v/>
      </c>
      <c r="H95" s="40" t="n"/>
      <c r="I95" s="40" t="n"/>
    </row>
    <row r="96" ht="15" customHeight="1" s="28">
      <c r="A96" s="37" t="n">
        <v>83</v>
      </c>
      <c r="B96" s="55" t="n">
        <v>82</v>
      </c>
      <c r="C96" s="55">
        <f>B96^2</f>
        <v/>
      </c>
      <c r="D96" s="38" t="n">
        <v>4547.23</v>
      </c>
      <c r="E96" s="38">
        <f>4541.138727+0.225904*B96</f>
        <v/>
      </c>
      <c r="F96" s="39">
        <f>D96-E96</f>
        <v/>
      </c>
      <c r="G96" s="38">
        <f>F96^2</f>
        <v/>
      </c>
      <c r="H96" s="37" t="n"/>
      <c r="I96" s="37" t="n"/>
    </row>
    <row r="97" ht="15" customHeight="1" s="28">
      <c r="A97" s="40" t="n">
        <v>84</v>
      </c>
      <c r="B97" s="56" t="n">
        <v>83</v>
      </c>
      <c r="C97" s="56">
        <f>B97^2</f>
        <v/>
      </c>
      <c r="D97" s="41" t="n">
        <v>4544.75</v>
      </c>
      <c r="E97" s="41">
        <f>4541.138727+0.225904*B97</f>
        <v/>
      </c>
      <c r="F97" s="42">
        <f>D97-E97</f>
        <v/>
      </c>
      <c r="G97" s="41">
        <f>F97^2</f>
        <v/>
      </c>
      <c r="H97" s="40" t="n"/>
      <c r="I97" s="40" t="n"/>
    </row>
    <row r="98" ht="15" customHeight="1" s="28">
      <c r="A98" s="37" t="n">
        <v>85</v>
      </c>
      <c r="B98" s="55" t="n">
        <v>84</v>
      </c>
      <c r="C98" s="55">
        <f>B98^2</f>
        <v/>
      </c>
      <c r="D98" s="38" t="n">
        <v>4547.33</v>
      </c>
      <c r="E98" s="38">
        <f>4541.138727+0.225904*B98</f>
        <v/>
      </c>
      <c r="F98" s="39">
        <f>D98-E98</f>
        <v/>
      </c>
      <c r="G98" s="38">
        <f>F98^2</f>
        <v/>
      </c>
      <c r="H98" s="37" t="n"/>
      <c r="I98" s="37" t="n"/>
    </row>
    <row r="99" ht="15" customHeight="1" s="28">
      <c r="A99" s="40" t="n">
        <v>86</v>
      </c>
      <c r="B99" s="56" t="n">
        <v>85</v>
      </c>
      <c r="C99" s="56">
        <f>B99^2</f>
        <v/>
      </c>
      <c r="D99" s="41" t="n">
        <v>4525.75</v>
      </c>
      <c r="E99" s="41">
        <f>4541.138727+0.225904*B99</f>
        <v/>
      </c>
      <c r="F99" s="42">
        <f>D99-E99</f>
        <v/>
      </c>
      <c r="G99" s="41">
        <f>F99^2</f>
        <v/>
      </c>
      <c r="H99" s="40" t="n"/>
      <c r="I99" s="40" t="n"/>
    </row>
    <row r="100" ht="15" customHeight="1" s="28">
      <c r="A100" s="37" t="n">
        <v>87</v>
      </c>
      <c r="B100" s="55" t="n">
        <v>86</v>
      </c>
      <c r="C100" s="55">
        <f>B100^2</f>
        <v/>
      </c>
      <c r="D100" s="38" t="n">
        <v>4532.95</v>
      </c>
      <c r="E100" s="38">
        <f>4541.138727+0.225904*B100</f>
        <v/>
      </c>
      <c r="F100" s="39">
        <f>D100-E100</f>
        <v/>
      </c>
      <c r="G100" s="38">
        <f>F100^2</f>
        <v/>
      </c>
      <c r="H100" s="37" t="n"/>
      <c r="I100" s="37" t="n"/>
    </row>
    <row r="101" ht="15" customHeight="1" s="28">
      <c r="A101" s="40" t="n">
        <v>88</v>
      </c>
      <c r="B101" s="56" t="n">
        <v>87</v>
      </c>
      <c r="C101" s="56">
        <f>B101^2</f>
        <v/>
      </c>
      <c r="D101" s="41" t="n">
        <v>4520.81</v>
      </c>
      <c r="E101" s="41">
        <f>4541.138727+0.225904*B101</f>
        <v/>
      </c>
      <c r="F101" s="42">
        <f>D101-E101</f>
        <v/>
      </c>
      <c r="G101" s="41">
        <f>F101^2</f>
        <v/>
      </c>
      <c r="H101" s="40" t="n"/>
      <c r="I101" s="40" t="n"/>
    </row>
    <row r="102" ht="15" customHeight="1" s="28">
      <c r="A102" s="37" t="n">
        <v>89</v>
      </c>
      <c r="B102" s="55" t="n">
        <v>88</v>
      </c>
      <c r="C102" s="55">
        <f>B102^2</f>
        <v/>
      </c>
      <c r="D102" s="38" t="n">
        <v>4538.19</v>
      </c>
      <c r="E102" s="38">
        <f>4541.138727+0.225904*B102</f>
        <v/>
      </c>
      <c r="F102" s="39">
        <f>D102-E102</f>
        <v/>
      </c>
      <c r="G102" s="38">
        <f>F102^2</f>
        <v/>
      </c>
      <c r="H102" s="37" t="n"/>
      <c r="I102" s="37" t="n"/>
    </row>
    <row r="103" ht="15" customHeight="1" s="28">
      <c r="A103" s="40" t="n">
        <v>90</v>
      </c>
      <c r="B103" s="56" t="n">
        <v>89</v>
      </c>
      <c r="C103" s="56">
        <f>B103^2</f>
        <v/>
      </c>
      <c r="D103" s="41" t="n">
        <v>4547.72</v>
      </c>
      <c r="E103" s="41">
        <f>4541.138727+0.225904*B103</f>
        <v/>
      </c>
      <c r="F103" s="42">
        <f>D103-E103</f>
        <v/>
      </c>
      <c r="G103" s="41">
        <f>F103^2</f>
        <v/>
      </c>
      <c r="H103" s="40" t="n"/>
      <c r="I103" s="40" t="n"/>
    </row>
    <row r="104" ht="15" customHeight="1" s="28">
      <c r="A104" s="37" t="n">
        <v>91</v>
      </c>
      <c r="B104" s="55" t="n">
        <v>90</v>
      </c>
      <c r="C104" s="55">
        <f>B104^2</f>
        <v/>
      </c>
      <c r="D104" s="38" t="n">
        <v>4542.84</v>
      </c>
      <c r="E104" s="38">
        <f>4541.138727+0.225904*B104</f>
        <v/>
      </c>
      <c r="F104" s="39">
        <f>D104-E104</f>
        <v/>
      </c>
      <c r="G104" s="38">
        <f>F104^2</f>
        <v/>
      </c>
      <c r="H104" s="37" t="n"/>
      <c r="I104" s="37" t="n"/>
    </row>
    <row r="105" ht="15" customHeight="1" s="28">
      <c r="A105" s="40" t="n">
        <v>92</v>
      </c>
      <c r="B105" s="56" t="n">
        <v>91</v>
      </c>
      <c r="C105" s="56">
        <f>B105^2</f>
        <v/>
      </c>
      <c r="D105" s="41" t="n">
        <v>4539.61</v>
      </c>
      <c r="E105" s="41">
        <f>4541.138727+0.225904*B105</f>
        <v/>
      </c>
      <c r="F105" s="42">
        <f>D105-E105</f>
        <v/>
      </c>
      <c r="G105" s="41">
        <f>F105^2</f>
        <v/>
      </c>
      <c r="H105" s="40" t="n"/>
      <c r="I105" s="40" t="n"/>
    </row>
    <row r="106" ht="15" customHeight="1" s="28">
      <c r="A106" s="37" t="n">
        <v>93</v>
      </c>
      <c r="B106" s="55" t="n">
        <v>92</v>
      </c>
      <c r="C106" s="55">
        <f>B106^2</f>
        <v/>
      </c>
      <c r="D106" s="38" t="n">
        <v>4547.05</v>
      </c>
      <c r="E106" s="38">
        <f>4541.138727+0.225904*B106</f>
        <v/>
      </c>
      <c r="F106" s="39">
        <f>D106-E106</f>
        <v/>
      </c>
      <c r="G106" s="38">
        <f>F106^2</f>
        <v/>
      </c>
      <c r="H106" s="37" t="n"/>
      <c r="I106" s="37" t="n"/>
    </row>
    <row r="107" ht="15" customHeight="1" s="28">
      <c r="A107" s="40" t="n">
        <v>94</v>
      </c>
      <c r="B107" s="56" t="n">
        <v>93</v>
      </c>
      <c r="C107" s="56">
        <f>B107^2</f>
        <v/>
      </c>
      <c r="D107" s="41" t="n">
        <v>4546.25</v>
      </c>
      <c r="E107" s="41">
        <f>4541.138727+0.225904*B107</f>
        <v/>
      </c>
      <c r="F107" s="42">
        <f>D107-E107</f>
        <v/>
      </c>
      <c r="G107" s="41">
        <f>F107^2</f>
        <v/>
      </c>
      <c r="H107" s="40" t="n"/>
      <c r="I107" s="40" t="n"/>
    </row>
    <row r="108" ht="15" customHeight="1" s="28">
      <c r="A108" s="37" t="n">
        <v>95</v>
      </c>
      <c r="B108" s="55" t="n">
        <v>94</v>
      </c>
      <c r="C108" s="55">
        <f>B108^2</f>
        <v/>
      </c>
      <c r="D108" s="38" t="n">
        <v>4543.25</v>
      </c>
      <c r="E108" s="38">
        <f>4541.138727+0.225904*B108</f>
        <v/>
      </c>
      <c r="F108" s="39">
        <f>D108-E108</f>
        <v/>
      </c>
      <c r="G108" s="38">
        <f>F108^2</f>
        <v/>
      </c>
      <c r="H108" s="37" t="n"/>
      <c r="I108" s="37" t="n"/>
    </row>
    <row r="109" ht="15" customHeight="1" s="28">
      <c r="A109" s="40" t="n">
        <v>96</v>
      </c>
      <c r="B109" s="56" t="n">
        <v>95</v>
      </c>
      <c r="C109" s="56">
        <f>B109^2</f>
        <v/>
      </c>
      <c r="D109" s="41" t="n">
        <v>4543.79</v>
      </c>
      <c r="E109" s="41">
        <f>4541.138727+0.225904*B109</f>
        <v/>
      </c>
      <c r="F109" s="42">
        <f>D109-E109</f>
        <v/>
      </c>
      <c r="G109" s="41">
        <f>F109^2</f>
        <v/>
      </c>
      <c r="H109" s="40" t="n"/>
      <c r="I109" s="40" t="n"/>
    </row>
    <row r="110" ht="15" customHeight="1" s="28">
      <c r="A110" s="37" t="n">
        <v>97</v>
      </c>
      <c r="B110" s="55" t="n">
        <v>96</v>
      </c>
      <c r="C110" s="55">
        <f>B110^2</f>
        <v/>
      </c>
      <c r="D110" s="38" t="n">
        <v>4543.57</v>
      </c>
      <c r="E110" s="38">
        <f>4541.138727+0.225904*B110</f>
        <v/>
      </c>
      <c r="F110" s="39">
        <f>D110-E110</f>
        <v/>
      </c>
      <c r="G110" s="38">
        <f>F110^2</f>
        <v/>
      </c>
      <c r="H110" s="37" t="n"/>
      <c r="I110" s="37" t="n"/>
    </row>
    <row r="111" ht="15" customHeight="1" s="28">
      <c r="A111" s="40" t="n">
        <v>98</v>
      </c>
      <c r="B111" s="56" t="n">
        <v>97</v>
      </c>
      <c r="C111" s="56">
        <f>B111^2</f>
        <v/>
      </c>
      <c r="D111" s="41" t="n">
        <v>4546.4</v>
      </c>
      <c r="E111" s="41">
        <f>4541.138727+0.225904*B111</f>
        <v/>
      </c>
      <c r="F111" s="42">
        <f>D111-E111</f>
        <v/>
      </c>
      <c r="G111" s="41">
        <f>F111^2</f>
        <v/>
      </c>
      <c r="H111" s="40" t="n"/>
      <c r="I111" s="40" t="n"/>
    </row>
    <row r="112" ht="15" customHeight="1" s="28">
      <c r="A112" s="37" t="n">
        <v>99</v>
      </c>
      <c r="B112" s="55" t="n">
        <v>98</v>
      </c>
      <c r="C112" s="55">
        <f>B112^2</f>
        <v/>
      </c>
      <c r="D112" s="38" t="n">
        <v>4549.14</v>
      </c>
      <c r="E112" s="38">
        <f>4541.138727+0.225904*B112</f>
        <v/>
      </c>
      <c r="F112" s="39">
        <f>D112-E112</f>
        <v/>
      </c>
      <c r="G112" s="38">
        <f>F112^2</f>
        <v/>
      </c>
      <c r="H112" s="37" t="n"/>
      <c r="I112" s="37" t="n"/>
    </row>
    <row r="113" ht="15" customHeight="1" s="28">
      <c r="A113" s="40" t="n">
        <v>100</v>
      </c>
      <c r="B113" s="56" t="n">
        <v>99</v>
      </c>
      <c r="C113" s="56">
        <f>B113^2</f>
        <v/>
      </c>
      <c r="D113" s="41" t="n">
        <v>4548.51</v>
      </c>
      <c r="E113" s="41">
        <f>4541.138727+0.225904*B113</f>
        <v/>
      </c>
      <c r="F113" s="42">
        <f>D113-E113</f>
        <v/>
      </c>
      <c r="G113" s="41">
        <f>F113^2</f>
        <v/>
      </c>
      <c r="H113" s="40" t="n"/>
      <c r="I113" s="40" t="n"/>
    </row>
    <row r="114" ht="15" customHeight="1" s="28">
      <c r="A114" s="37" t="n">
        <v>101</v>
      </c>
      <c r="B114" s="55" t="n">
        <v>100</v>
      </c>
      <c r="C114" s="55">
        <f>B114^2</f>
        <v/>
      </c>
      <c r="D114" s="38" t="n">
        <v>4552.08</v>
      </c>
      <c r="E114" s="38">
        <f>4541.138727+0.225904*B114</f>
        <v/>
      </c>
      <c r="F114" s="39">
        <f>D114-E114</f>
        <v/>
      </c>
      <c r="G114" s="38">
        <f>F114^2</f>
        <v/>
      </c>
      <c r="H114" s="37" t="n"/>
      <c r="I114" s="37" t="n"/>
    </row>
    <row r="115" ht="15" customHeight="1" s="28">
      <c r="A115" s="40" t="n">
        <v>102</v>
      </c>
      <c r="B115" s="56" t="n">
        <v>101</v>
      </c>
      <c r="C115" s="56">
        <f>B115^2</f>
        <v/>
      </c>
      <c r="D115" s="41" t="n">
        <v>4553.33</v>
      </c>
      <c r="E115" s="41">
        <f>4541.138727+0.225904*B115</f>
        <v/>
      </c>
      <c r="F115" s="42">
        <f>D115-E115</f>
        <v/>
      </c>
      <c r="G115" s="41">
        <f>F115^2</f>
        <v/>
      </c>
      <c r="H115" s="40" t="n"/>
      <c r="I115" s="40" t="n"/>
    </row>
    <row r="116" ht="15" customHeight="1" s="28">
      <c r="A116" s="37" t="n">
        <v>103</v>
      </c>
      <c r="B116" s="55" t="n">
        <v>102</v>
      </c>
      <c r="C116" s="55">
        <f>B116^2</f>
        <v/>
      </c>
      <c r="D116" s="38" t="n">
        <v>4551.63</v>
      </c>
      <c r="E116" s="38">
        <f>4541.138727+0.225904*B116</f>
        <v/>
      </c>
      <c r="F116" s="39">
        <f>D116-E116</f>
        <v/>
      </c>
      <c r="G116" s="38">
        <f>F116^2</f>
        <v/>
      </c>
      <c r="H116" s="37" t="n"/>
      <c r="I116" s="37" t="n"/>
    </row>
    <row r="117" ht="15" customHeight="1" s="28">
      <c r="A117" s="40" t="n">
        <v>104</v>
      </c>
      <c r="B117" s="56" t="n">
        <v>103</v>
      </c>
      <c r="C117" s="56">
        <f>B117^2</f>
        <v/>
      </c>
      <c r="D117" s="41" t="n">
        <v>4554.44</v>
      </c>
      <c r="E117" s="41">
        <f>4541.138727+0.225904*B117</f>
        <v/>
      </c>
      <c r="F117" s="42">
        <f>D117-E117</f>
        <v/>
      </c>
      <c r="G117" s="41">
        <f>F117^2</f>
        <v/>
      </c>
      <c r="H117" s="40" t="n"/>
      <c r="I117" s="40" t="n"/>
    </row>
    <row r="118" ht="15" customHeight="1" s="28">
      <c r="A118" s="37" t="n">
        <v>105</v>
      </c>
      <c r="B118" s="55" t="n">
        <v>104</v>
      </c>
      <c r="C118" s="55">
        <f>B118^2</f>
        <v/>
      </c>
      <c r="D118" s="38" t="n">
        <v>4561.66</v>
      </c>
      <c r="E118" s="38">
        <f>4541.138727+0.225904*B118</f>
        <v/>
      </c>
      <c r="F118" s="39">
        <f>D118-E118</f>
        <v/>
      </c>
      <c r="G118" s="38">
        <f>F118^2</f>
        <v/>
      </c>
      <c r="H118" s="37" t="n"/>
      <c r="I118" s="37" t="n"/>
    </row>
    <row r="119" ht="15" customHeight="1" s="28">
      <c r="A119" s="40" t="n">
        <v>106</v>
      </c>
      <c r="B119" s="56" t="n">
        <v>105</v>
      </c>
      <c r="C119" s="56">
        <f>B119^2</f>
        <v/>
      </c>
      <c r="D119" s="41" t="n">
        <v>4557.93</v>
      </c>
      <c r="E119" s="41">
        <f>4541.138727+0.225904*B119</f>
        <v/>
      </c>
      <c r="F119" s="42">
        <f>D119-E119</f>
        <v/>
      </c>
      <c r="G119" s="41">
        <f>F119^2</f>
        <v/>
      </c>
      <c r="H119" s="40" t="n"/>
      <c r="I119" s="40" t="n"/>
    </row>
    <row r="120" ht="15" customHeight="1" s="28">
      <c r="A120" s="37" t="n">
        <v>107</v>
      </c>
      <c r="B120" s="55" t="n">
        <v>106</v>
      </c>
      <c r="C120" s="55">
        <f>B120^2</f>
        <v/>
      </c>
      <c r="D120" s="38" t="n">
        <v>4563.57</v>
      </c>
      <c r="E120" s="38">
        <f>4541.138727+0.225904*B120</f>
        <v/>
      </c>
      <c r="F120" s="39">
        <f>D120-E120</f>
        <v/>
      </c>
      <c r="G120" s="38">
        <f>F120^2</f>
        <v/>
      </c>
      <c r="H120" s="37" t="n"/>
      <c r="I120" s="37" t="n"/>
    </row>
    <row r="121" ht="15" customHeight="1" s="28">
      <c r="A121" s="40" t="n">
        <v>108</v>
      </c>
      <c r="B121" s="56" t="n">
        <v>107</v>
      </c>
      <c r="C121" s="56">
        <f>B121^2</f>
        <v/>
      </c>
      <c r="D121" s="41" t="n">
        <v>4567.11</v>
      </c>
      <c r="E121" s="41">
        <f>4541.138727+0.225904*B121</f>
        <v/>
      </c>
      <c r="F121" s="42">
        <f>D121-E121</f>
        <v/>
      </c>
      <c r="G121" s="41">
        <f>F121^2</f>
        <v/>
      </c>
      <c r="H121" s="40" t="n"/>
      <c r="I121" s="40" t="n"/>
    </row>
    <row r="122" ht="15" customHeight="1" s="28">
      <c r="A122" s="37" t="n">
        <v>109</v>
      </c>
      <c r="B122" s="55" t="n">
        <v>108</v>
      </c>
      <c r="C122" s="55">
        <f>B122^2</f>
        <v/>
      </c>
      <c r="D122" s="38" t="n">
        <v>4569.83</v>
      </c>
      <c r="E122" s="38">
        <f>4541.138727+0.225904*B122</f>
        <v/>
      </c>
      <c r="F122" s="39">
        <f>D122-E122</f>
        <v/>
      </c>
      <c r="G122" s="38">
        <f>F122^2</f>
        <v/>
      </c>
      <c r="H122" s="37" t="n"/>
      <c r="I122" s="37" t="n"/>
    </row>
    <row r="123" ht="15" customHeight="1" s="28">
      <c r="A123" s="40" t="n">
        <v>110</v>
      </c>
      <c r="B123" s="56" t="n">
        <v>109</v>
      </c>
      <c r="C123" s="56">
        <f>B123^2</f>
        <v/>
      </c>
      <c r="D123" s="41" t="n">
        <v>4568.52</v>
      </c>
      <c r="E123" s="41">
        <f>4541.138727+0.225904*B123</f>
        <v/>
      </c>
      <c r="F123" s="42">
        <f>D123-E123</f>
        <v/>
      </c>
      <c r="G123" s="41">
        <f>F123^2</f>
        <v/>
      </c>
      <c r="H123" s="40" t="n"/>
      <c r="I123" s="40" t="n"/>
    </row>
    <row r="124" ht="15" customHeight="1" s="28">
      <c r="A124" s="37" t="n">
        <v>111</v>
      </c>
      <c r="B124" s="55" t="n">
        <v>110</v>
      </c>
      <c r="C124" s="55">
        <f>B124^2</f>
        <v/>
      </c>
      <c r="D124" s="38" t="n">
        <v>4579.79</v>
      </c>
      <c r="E124" s="38">
        <f>4541.138727+0.225904*B124</f>
        <v/>
      </c>
      <c r="F124" s="39">
        <f>D124-E124</f>
        <v/>
      </c>
      <c r="G124" s="38">
        <f>F124^2</f>
        <v/>
      </c>
      <c r="H124" s="37" t="n"/>
      <c r="I124" s="37" t="n"/>
    </row>
    <row r="125" ht="15" customHeight="1" s="28">
      <c r="A125" s="40" t="n">
        <v>112</v>
      </c>
      <c r="B125" s="56" t="n">
        <v>111</v>
      </c>
      <c r="C125" s="56">
        <f>B125^2</f>
        <v/>
      </c>
      <c r="D125" s="41" t="n">
        <v>4576.31</v>
      </c>
      <c r="E125" s="41">
        <f>4541.138727+0.225904*B125</f>
        <v/>
      </c>
      <c r="F125" s="42">
        <f>D125-E125</f>
        <v/>
      </c>
      <c r="G125" s="41">
        <f>F125^2</f>
        <v/>
      </c>
      <c r="H125" s="40" t="n"/>
      <c r="I125" s="40" t="n"/>
    </row>
    <row r="126" ht="15" customHeight="1" s="28">
      <c r="A126" s="37" t="n">
        <v>113</v>
      </c>
      <c r="B126" s="55" t="n">
        <v>112</v>
      </c>
      <c r="C126" s="55">
        <f>B126^2</f>
        <v/>
      </c>
      <c r="D126" s="38" t="n">
        <v>4579.13</v>
      </c>
      <c r="E126" s="38">
        <f>4541.138727+0.225904*B126</f>
        <v/>
      </c>
      <c r="F126" s="39">
        <f>D126-E126</f>
        <v/>
      </c>
      <c r="G126" s="38">
        <f>F126^2</f>
        <v/>
      </c>
      <c r="H126" s="37" t="n"/>
      <c r="I126" s="37" t="n"/>
    </row>
    <row r="127" ht="15" customHeight="1" s="28">
      <c r="A127" s="40" t="n">
        <v>114</v>
      </c>
      <c r="B127" s="56" t="n">
        <v>113</v>
      </c>
      <c r="C127" s="56">
        <f>B127^2</f>
        <v/>
      </c>
      <c r="D127" s="41" t="n">
        <v>4579.74</v>
      </c>
      <c r="E127" s="41">
        <f>4541.138727+0.225904*B127</f>
        <v/>
      </c>
      <c r="F127" s="42">
        <f>D127-E127</f>
        <v/>
      </c>
      <c r="G127" s="41">
        <f>F127^2</f>
        <v/>
      </c>
      <c r="H127" s="40" t="n"/>
      <c r="I127" s="40" t="n"/>
    </row>
    <row r="128" ht="15" customHeight="1" s="28">
      <c r="A128" s="37" t="n">
        <v>115</v>
      </c>
      <c r="B128" s="55" t="n">
        <v>114</v>
      </c>
      <c r="C128" s="55">
        <f>B128^2</f>
        <v/>
      </c>
      <c r="D128" s="38" t="n">
        <v>4573.13</v>
      </c>
      <c r="E128" s="38">
        <f>4541.138727+0.225904*B128</f>
        <v/>
      </c>
      <c r="F128" s="39">
        <f>D128-E128</f>
        <v/>
      </c>
      <c r="G128" s="38">
        <f>F128^2</f>
        <v/>
      </c>
      <c r="H128" s="37" t="n"/>
      <c r="I128" s="37" t="n"/>
    </row>
    <row r="129" ht="15" customHeight="1" s="28">
      <c r="A129" s="40" t="n">
        <v>116</v>
      </c>
      <c r="B129" s="56" t="n">
        <v>115</v>
      </c>
      <c r="C129" s="56">
        <f>B129^2</f>
        <v/>
      </c>
      <c r="D129" s="41" t="n">
        <v>4562.53</v>
      </c>
      <c r="E129" s="41">
        <f>4541.138727+0.225904*B129</f>
        <v/>
      </c>
      <c r="F129" s="42">
        <f>D129-E129</f>
        <v/>
      </c>
      <c r="G129" s="41">
        <f>F129^2</f>
        <v/>
      </c>
      <c r="H129" s="40" t="n"/>
      <c r="I129" s="40" t="n"/>
    </row>
    <row r="130" ht="15" customHeight="1" s="28">
      <c r="A130" s="37" t="n">
        <v>117</v>
      </c>
      <c r="B130" s="55" t="n">
        <v>116</v>
      </c>
      <c r="C130" s="55">
        <f>B130^2</f>
        <v/>
      </c>
      <c r="D130" s="38" t="n">
        <v>4565.02</v>
      </c>
      <c r="E130" s="38">
        <f>4541.138727+0.225904*B130</f>
        <v/>
      </c>
      <c r="F130" s="39">
        <f>D130-E130</f>
        <v/>
      </c>
      <c r="G130" s="38">
        <f>F130^2</f>
        <v/>
      </c>
      <c r="H130" s="37" t="n"/>
      <c r="I130" s="37" t="n"/>
    </row>
    <row r="131" ht="15" customHeight="1" s="28">
      <c r="A131" s="40" t="n">
        <v>118</v>
      </c>
      <c r="B131" s="56" t="n">
        <v>117</v>
      </c>
      <c r="C131" s="56">
        <f>B131^2</f>
        <v/>
      </c>
      <c r="D131" s="41" t="n">
        <v>4564.98</v>
      </c>
      <c r="E131" s="41">
        <f>4541.138727+0.225904*B131</f>
        <v/>
      </c>
      <c r="F131" s="42">
        <f>D131-E131</f>
        <v/>
      </c>
      <c r="G131" s="41">
        <f>F131^2</f>
        <v/>
      </c>
      <c r="H131" s="40" t="n"/>
      <c r="I131" s="40" t="n"/>
    </row>
    <row r="132" ht="15" customHeight="1" s="28">
      <c r="A132" s="37" t="n">
        <v>119</v>
      </c>
      <c r="B132" s="55" t="n">
        <v>118</v>
      </c>
      <c r="C132" s="55">
        <f>B132^2</f>
        <v/>
      </c>
      <c r="D132" s="38" t="n">
        <v>4563.32</v>
      </c>
      <c r="E132" s="38">
        <f>4541.138727+0.225904*B132</f>
        <v/>
      </c>
      <c r="F132" s="39">
        <f>D132-E132</f>
        <v/>
      </c>
      <c r="G132" s="38">
        <f>F132^2</f>
        <v/>
      </c>
      <c r="H132" s="37" t="n"/>
      <c r="I132" s="37" t="n"/>
    </row>
    <row r="133" ht="15" customHeight="1" s="28">
      <c r="A133" s="40" t="n">
        <v>120</v>
      </c>
      <c r="B133" s="56" t="n">
        <v>119</v>
      </c>
      <c r="C133" s="56">
        <f>B133^2</f>
        <v/>
      </c>
      <c r="D133" s="41" t="n">
        <v>4561.66</v>
      </c>
      <c r="E133" s="41">
        <f>4541.138727+0.225904*B133</f>
        <v/>
      </c>
      <c r="F133" s="42">
        <f>D133-E133</f>
        <v/>
      </c>
      <c r="G133" s="41">
        <f>F133^2</f>
        <v/>
      </c>
      <c r="H133" s="40" t="n"/>
      <c r="I133" s="40" t="n"/>
    </row>
    <row r="134" ht="15" customHeight="1" s="28">
      <c r="A134" s="37" t="n">
        <v>121</v>
      </c>
      <c r="B134" s="55" t="n">
        <v>120</v>
      </c>
      <c r="C134" s="55">
        <f>B134^2</f>
        <v/>
      </c>
      <c r="D134" s="38" t="n">
        <v>4556.09</v>
      </c>
      <c r="E134" s="38">
        <f>4541.138727+0.225904*B134</f>
        <v/>
      </c>
      <c r="F134" s="39">
        <f>D134-E134</f>
        <v/>
      </c>
      <c r="G134" s="38">
        <f>F134^2</f>
        <v/>
      </c>
      <c r="H134" s="37" t="n"/>
      <c r="I134" s="37" t="n"/>
    </row>
    <row r="135" ht="15" customHeight="1" s="28">
      <c r="A135" s="40" t="n">
        <v>122</v>
      </c>
      <c r="B135" s="56" t="n">
        <v>121</v>
      </c>
      <c r="C135" s="56">
        <f>B135^2</f>
        <v/>
      </c>
      <c r="D135" s="41" t="n">
        <v>4555.41</v>
      </c>
      <c r="E135" s="41">
        <f>4541.138727+0.225904*B135</f>
        <v/>
      </c>
      <c r="F135" s="42">
        <f>D135-E135</f>
        <v/>
      </c>
      <c r="G135" s="41">
        <f>F135^2</f>
        <v/>
      </c>
      <c r="H135" s="40" t="n"/>
      <c r="I135" s="40" t="n"/>
    </row>
    <row r="136" ht="15" customHeight="1" s="28">
      <c r="A136" s="37" t="n">
        <v>123</v>
      </c>
      <c r="B136" s="55" t="n">
        <v>122</v>
      </c>
      <c r="C136" s="55">
        <f>B136^2</f>
        <v/>
      </c>
      <c r="D136" s="38" t="n">
        <v>4547.28</v>
      </c>
      <c r="E136" s="38">
        <f>4541.138727+0.225904*B136</f>
        <v/>
      </c>
      <c r="F136" s="39">
        <f>D136-E136</f>
        <v/>
      </c>
      <c r="G136" s="38">
        <f>F136^2</f>
        <v/>
      </c>
      <c r="H136" s="37" t="n"/>
      <c r="I136" s="37" t="n"/>
    </row>
    <row r="137" ht="15" customHeight="1" s="28">
      <c r="A137" s="40" t="n">
        <v>124</v>
      </c>
      <c r="B137" s="56" t="n">
        <v>123</v>
      </c>
      <c r="C137" s="56">
        <f>B137^2</f>
        <v/>
      </c>
      <c r="D137" s="41" t="n">
        <v>4544.74</v>
      </c>
      <c r="E137" s="41">
        <f>4541.138727+0.225904*B137</f>
        <v/>
      </c>
      <c r="F137" s="42">
        <f>D137-E137</f>
        <v/>
      </c>
      <c r="G137" s="41">
        <f>F137^2</f>
        <v/>
      </c>
      <c r="H137" s="40" t="n"/>
      <c r="I137" s="40" t="n"/>
    </row>
    <row r="138" ht="15" customHeight="1" s="28">
      <c r="A138" s="37" t="n">
        <v>125</v>
      </c>
      <c r="B138" s="55" t="n">
        <v>124</v>
      </c>
      <c r="C138" s="55">
        <f>B138^2</f>
        <v/>
      </c>
      <c r="D138" s="38" t="n">
        <v>4541.91</v>
      </c>
      <c r="E138" s="38">
        <f>4541.138727+0.225904*B138</f>
        <v/>
      </c>
      <c r="F138" s="39">
        <f>D138-E138</f>
        <v/>
      </c>
      <c r="G138" s="38">
        <f>F138^2</f>
        <v/>
      </c>
      <c r="H138" s="37" t="n"/>
      <c r="I138" s="37" t="n"/>
    </row>
    <row r="139" ht="15" customHeight="1" s="28">
      <c r="A139" s="40" t="n">
        <v>126</v>
      </c>
      <c r="B139" s="56" t="n">
        <v>125</v>
      </c>
      <c r="C139" s="56">
        <f>B139^2</f>
        <v/>
      </c>
      <c r="D139" s="41" t="n">
        <v>4553.22</v>
      </c>
      <c r="E139" s="41">
        <f>4541.138727+0.225904*B139</f>
        <v/>
      </c>
      <c r="F139" s="42">
        <f>D139-E139</f>
        <v/>
      </c>
      <c r="G139" s="41">
        <f>F139^2</f>
        <v/>
      </c>
      <c r="H139" s="40" t="n"/>
      <c r="I139" s="40" t="n"/>
    </row>
    <row r="140" ht="15" customHeight="1" s="28">
      <c r="A140" s="37" t="n">
        <v>127</v>
      </c>
      <c r="B140" s="55" t="n">
        <v>126</v>
      </c>
      <c r="C140" s="55">
        <f>B140^2</f>
        <v/>
      </c>
      <c r="D140" s="38" t="n">
        <v>4555.73</v>
      </c>
      <c r="E140" s="38">
        <f>4541.138727+0.225904*B140</f>
        <v/>
      </c>
      <c r="F140" s="39">
        <f>D140-E140</f>
        <v/>
      </c>
      <c r="G140" s="38">
        <f>F140^2</f>
        <v/>
      </c>
      <c r="H140" s="37" t="n"/>
      <c r="I140" s="37" t="n"/>
    </row>
    <row r="141" ht="15" customHeight="1" s="28">
      <c r="A141" s="40" t="n">
        <v>128</v>
      </c>
      <c r="B141" s="56" t="n">
        <v>127</v>
      </c>
      <c r="C141" s="56">
        <f>B141^2</f>
        <v/>
      </c>
      <c r="D141" s="41" t="n">
        <v>4564.04</v>
      </c>
      <c r="E141" s="41">
        <f>4541.138727+0.225904*B141</f>
        <v/>
      </c>
      <c r="F141" s="42">
        <f>D141-E141</f>
        <v/>
      </c>
      <c r="G141" s="41">
        <f>F141^2</f>
        <v/>
      </c>
      <c r="H141" s="40" t="n"/>
      <c r="I141" s="40" t="n"/>
    </row>
    <row r="142" ht="15" customHeight="1" s="28">
      <c r="A142" s="37" t="n">
        <v>129</v>
      </c>
      <c r="B142" s="55" t="n">
        <v>128</v>
      </c>
      <c r="C142" s="55">
        <f>B142^2</f>
        <v/>
      </c>
      <c r="D142" s="38" t="n">
        <v>4562.71</v>
      </c>
      <c r="E142" s="38">
        <f>4541.138727+0.225904*B142</f>
        <v/>
      </c>
      <c r="F142" s="39">
        <f>D142-E142</f>
        <v/>
      </c>
      <c r="G142" s="38">
        <f>F142^2</f>
        <v/>
      </c>
      <c r="H142" s="37" t="n"/>
      <c r="I142" s="37" t="n"/>
    </row>
    <row r="143" ht="15" customHeight="1" s="28">
      <c r="A143" s="40" t="n">
        <v>130</v>
      </c>
      <c r="B143" s="56" t="n">
        <v>129</v>
      </c>
      <c r="C143" s="56">
        <f>B143^2</f>
        <v/>
      </c>
      <c r="D143" s="41" t="n">
        <v>4566.21</v>
      </c>
      <c r="E143" s="41">
        <f>4541.138727+0.225904*B143</f>
        <v/>
      </c>
      <c r="F143" s="42">
        <f>D143-E143</f>
        <v/>
      </c>
      <c r="G143" s="41">
        <f>F143^2</f>
        <v/>
      </c>
      <c r="H143" s="40" t="n"/>
      <c r="I143" s="40" t="n"/>
    </row>
    <row r="144" ht="15" customHeight="1" s="28">
      <c r="A144" s="37" t="n">
        <v>131</v>
      </c>
      <c r="B144" s="55" t="n">
        <v>130</v>
      </c>
      <c r="C144" s="55">
        <f>B144^2</f>
        <v/>
      </c>
      <c r="D144" s="38" t="n">
        <v>4569.57</v>
      </c>
      <c r="E144" s="38">
        <f>4541.138727+0.225904*B144</f>
        <v/>
      </c>
      <c r="F144" s="39">
        <f>D144-E144</f>
        <v/>
      </c>
      <c r="G144" s="38">
        <f>F144^2</f>
        <v/>
      </c>
      <c r="H144" s="37" t="n"/>
      <c r="I144" s="37" t="n"/>
    </row>
    <row r="145" ht="15" customHeight="1" s="28">
      <c r="A145" s="40" t="n">
        <v>132</v>
      </c>
      <c r="B145" s="56" t="n">
        <v>131</v>
      </c>
      <c r="C145" s="56">
        <f>B145^2</f>
        <v/>
      </c>
      <c r="D145" s="41" t="n">
        <v>4575.23</v>
      </c>
      <c r="E145" s="41">
        <f>4541.138727+0.225904*B145</f>
        <v/>
      </c>
      <c r="F145" s="42">
        <f>D145-E145</f>
        <v/>
      </c>
      <c r="G145" s="41">
        <f>F145^2</f>
        <v/>
      </c>
      <c r="H145" s="40" t="n"/>
      <c r="I145" s="40" t="n"/>
    </row>
    <row r="146" ht="15" customHeight="1" s="28">
      <c r="A146" s="37" t="n">
        <v>133</v>
      </c>
      <c r="B146" s="55" t="n">
        <v>132</v>
      </c>
      <c r="C146" s="55">
        <f>B146^2</f>
        <v/>
      </c>
      <c r="D146" s="38" t="n">
        <v>4589.44</v>
      </c>
      <c r="E146" s="38">
        <f>4541.138727+0.225904*B146</f>
        <v/>
      </c>
      <c r="F146" s="39">
        <f>D146-E146</f>
        <v/>
      </c>
      <c r="G146" s="38">
        <f>F146^2</f>
        <v/>
      </c>
      <c r="H146" s="37" t="n"/>
      <c r="I146" s="37" t="n"/>
    </row>
    <row r="147" ht="15" customHeight="1" s="28">
      <c r="A147" s="40" t="n">
        <v>134</v>
      </c>
      <c r="B147" s="56" t="n">
        <v>133</v>
      </c>
      <c r="C147" s="56">
        <f>B147^2</f>
        <v/>
      </c>
      <c r="D147" s="41" t="n">
        <v>4591.59</v>
      </c>
      <c r="E147" s="41">
        <f>4541.138727+0.225904*B147</f>
        <v/>
      </c>
      <c r="F147" s="42">
        <f>D147-E147</f>
        <v/>
      </c>
      <c r="G147" s="41">
        <f>F147^2</f>
        <v/>
      </c>
      <c r="H147" s="40" t="n"/>
      <c r="I147" s="40" t="n"/>
    </row>
    <row r="148" ht="15" customHeight="1" s="28">
      <c r="A148" s="37" t="n">
        <v>135</v>
      </c>
      <c r="B148" s="55" t="n">
        <v>134</v>
      </c>
      <c r="C148" s="55">
        <f>B148^2</f>
        <v/>
      </c>
      <c r="D148" s="38" t="n">
        <v>4591.59</v>
      </c>
      <c r="E148" s="38">
        <f>4541.138727+0.225904*B148</f>
        <v/>
      </c>
      <c r="F148" s="39">
        <f>D148-E148</f>
        <v/>
      </c>
      <c r="G148" s="38">
        <f>F148^2</f>
        <v/>
      </c>
      <c r="H148" s="37" t="n"/>
      <c r="I148" s="37" t="n"/>
    </row>
    <row r="149" ht="15" customHeight="1" s="28">
      <c r="A149" s="40" t="n">
        <v>136</v>
      </c>
      <c r="B149" s="56" t="n">
        <v>135</v>
      </c>
      <c r="C149" s="56">
        <f>B149^2</f>
        <v/>
      </c>
      <c r="D149" s="41" t="n">
        <v>4596.69</v>
      </c>
      <c r="E149" s="41">
        <f>4541.138727+0.225904*B149</f>
        <v/>
      </c>
      <c r="F149" s="42">
        <f>D149-E149</f>
        <v/>
      </c>
      <c r="G149" s="41">
        <f>F149^2</f>
        <v/>
      </c>
      <c r="H149" s="40" t="n"/>
      <c r="I149" s="40" t="n"/>
    </row>
    <row r="150" ht="15" customHeight="1" s="28">
      <c r="A150" s="37" t="n">
        <v>137</v>
      </c>
      <c r="B150" s="55" t="n">
        <v>136</v>
      </c>
      <c r="C150" s="55">
        <f>B150^2</f>
        <v/>
      </c>
      <c r="D150" s="38" t="n">
        <v>4598.44</v>
      </c>
      <c r="E150" s="38">
        <f>4541.138727+0.225904*B150</f>
        <v/>
      </c>
      <c r="F150" s="39">
        <f>D150-E150</f>
        <v/>
      </c>
      <c r="G150" s="38">
        <f>F150^2</f>
        <v/>
      </c>
      <c r="H150" s="37" t="n"/>
      <c r="I150" s="37" t="n"/>
    </row>
    <row r="151" ht="15" customHeight="1" s="28">
      <c r="A151" s="40" t="n">
        <v>138</v>
      </c>
      <c r="B151" s="56" t="n">
        <v>137</v>
      </c>
      <c r="C151" s="56">
        <f>B151^2</f>
        <v/>
      </c>
      <c r="D151" s="41" t="n">
        <v>4618.7</v>
      </c>
      <c r="E151" s="41">
        <f>4541.138727+0.225904*B151</f>
        <v/>
      </c>
      <c r="F151" s="42">
        <f>D151-E151</f>
        <v/>
      </c>
      <c r="G151" s="41">
        <f>F151^2</f>
        <v/>
      </c>
      <c r="H151" s="40" t="n"/>
      <c r="I151" s="40" t="n"/>
    </row>
    <row r="152" ht="15" customHeight="1" s="28">
      <c r="A152" s="37" t="n">
        <v>139</v>
      </c>
      <c r="B152" s="55" t="n">
        <v>138</v>
      </c>
      <c r="C152" s="55">
        <f>B152^2</f>
        <v/>
      </c>
      <c r="D152" s="38" t="n">
        <v>4617.35</v>
      </c>
      <c r="E152" s="38">
        <f>4541.138727+0.225904*B152</f>
        <v/>
      </c>
      <c r="F152" s="39">
        <f>D152-E152</f>
        <v/>
      </c>
      <c r="G152" s="38">
        <f>F152^2</f>
        <v/>
      </c>
      <c r="H152" s="37" t="n"/>
      <c r="I152" s="37" t="n"/>
    </row>
    <row r="153" ht="15" customHeight="1" s="28">
      <c r="A153" s="40" t="n">
        <v>140</v>
      </c>
      <c r="B153" s="56" t="n">
        <v>139</v>
      </c>
      <c r="C153" s="56">
        <f>B153^2</f>
        <v/>
      </c>
      <c r="D153" s="41" t="n">
        <v>4614.82</v>
      </c>
      <c r="E153" s="41">
        <f>4541.138727+0.225904*B153</f>
        <v/>
      </c>
      <c r="F153" s="42">
        <f>D153-E153</f>
        <v/>
      </c>
      <c r="G153" s="41">
        <f>F153^2</f>
        <v/>
      </c>
      <c r="H153" s="40" t="n"/>
      <c r="I153" s="40" t="n"/>
    </row>
    <row r="154" ht="15" customHeight="1" s="28">
      <c r="A154" s="37" t="n">
        <v>141</v>
      </c>
      <c r="B154" s="55" t="n">
        <v>140</v>
      </c>
      <c r="C154" s="55">
        <f>B154^2</f>
        <v/>
      </c>
      <c r="D154" s="38" t="n">
        <v>4616</v>
      </c>
      <c r="E154" s="38">
        <f>4541.138727+0.225904*B154</f>
        <v/>
      </c>
      <c r="F154" s="39">
        <f>D154-E154</f>
        <v/>
      </c>
      <c r="G154" s="38">
        <f>F154^2</f>
        <v/>
      </c>
      <c r="H154" s="37" t="n"/>
      <c r="I154" s="37" t="n"/>
    </row>
    <row r="155" ht="15" customHeight="1" s="28">
      <c r="A155" s="40" t="n">
        <v>142</v>
      </c>
      <c r="B155" s="56" t="n">
        <v>141</v>
      </c>
      <c r="C155" s="56">
        <f>B155^2</f>
        <v/>
      </c>
      <c r="D155" s="41" t="n">
        <v>4618.96</v>
      </c>
      <c r="E155" s="41">
        <f>4541.138727+0.225904*B155</f>
        <v/>
      </c>
      <c r="F155" s="42">
        <f>D155-E155</f>
        <v/>
      </c>
      <c r="G155" s="41">
        <f>F155^2</f>
        <v/>
      </c>
      <c r="H155" s="40" t="n"/>
      <c r="I155" s="40" t="n"/>
    </row>
    <row r="156" ht="15" customHeight="1" s="28">
      <c r="A156" s="37" t="n">
        <v>143</v>
      </c>
      <c r="B156" s="55" t="n">
        <v>142</v>
      </c>
      <c r="C156" s="55">
        <f>B156^2</f>
        <v/>
      </c>
      <c r="D156" s="38" t="n">
        <v>4625.41</v>
      </c>
      <c r="E156" s="38">
        <f>4541.138727+0.225904*B156</f>
        <v/>
      </c>
      <c r="F156" s="39">
        <f>D156-E156</f>
        <v/>
      </c>
      <c r="G156" s="38">
        <f>F156^2</f>
        <v/>
      </c>
      <c r="H156" s="37" t="n"/>
      <c r="I156" s="37" t="n"/>
    </row>
    <row r="157" ht="15" customHeight="1" s="28">
      <c r="A157" s="40" t="n">
        <v>144</v>
      </c>
      <c r="B157" s="56" t="n">
        <v>143</v>
      </c>
      <c r="C157" s="56">
        <f>B157^2</f>
        <v/>
      </c>
      <c r="D157" s="41" t="n">
        <v>4619.35</v>
      </c>
      <c r="E157" s="41">
        <f>4541.138727+0.225904*B157</f>
        <v/>
      </c>
      <c r="F157" s="42">
        <f>D157-E157</f>
        <v/>
      </c>
      <c r="G157" s="41">
        <f>F157^2</f>
        <v/>
      </c>
      <c r="H157" s="40" t="n"/>
      <c r="I157" s="40" t="n"/>
    </row>
    <row r="158" ht="15" customHeight="1" s="28">
      <c r="A158" s="37" t="n">
        <v>145</v>
      </c>
      <c r="B158" s="55" t="n">
        <v>144</v>
      </c>
      <c r="C158" s="55">
        <f>B158^2</f>
        <v/>
      </c>
      <c r="D158" s="38" t="n">
        <v>4624.91</v>
      </c>
      <c r="E158" s="38">
        <f>4541.138727+0.225904*B158</f>
        <v/>
      </c>
      <c r="F158" s="39">
        <f>D158-E158</f>
        <v/>
      </c>
      <c r="G158" s="38">
        <f>F158^2</f>
        <v/>
      </c>
      <c r="H158" s="37" t="n"/>
      <c r="I158" s="37" t="n"/>
    </row>
    <row r="159" ht="15" customHeight="1" s="28">
      <c r="A159" s="40" t="n">
        <v>146</v>
      </c>
      <c r="B159" s="56" t="n">
        <v>145</v>
      </c>
      <c r="C159" s="56">
        <f>B159^2</f>
        <v/>
      </c>
      <c r="D159" s="41" t="n">
        <v>4626.92</v>
      </c>
      <c r="E159" s="41">
        <f>4541.138727+0.225904*B159</f>
        <v/>
      </c>
      <c r="F159" s="42">
        <f>D159-E159</f>
        <v/>
      </c>
      <c r="G159" s="41">
        <f>F159^2</f>
        <v/>
      </c>
      <c r="H159" s="40" t="n"/>
      <c r="I159" s="40" t="n"/>
    </row>
    <row r="160" ht="15" customHeight="1" s="28">
      <c r="A160" s="37" t="n">
        <v>147</v>
      </c>
      <c r="B160" s="55" t="n">
        <v>146</v>
      </c>
      <c r="C160" s="55">
        <f>B160^2</f>
        <v/>
      </c>
      <c r="D160" s="38" t="n">
        <v>4643.78</v>
      </c>
      <c r="E160" s="38">
        <f>4541.138727+0.225904*B160</f>
        <v/>
      </c>
      <c r="F160" s="39">
        <f>D160-E160</f>
        <v/>
      </c>
      <c r="G160" s="38">
        <f>F160^2</f>
        <v/>
      </c>
      <c r="H160" s="37" t="n"/>
      <c r="I160" s="37" t="n"/>
    </row>
    <row r="161" ht="15" customHeight="1" s="28">
      <c r="A161" s="40" t="n">
        <v>148</v>
      </c>
      <c r="B161" s="56" t="n">
        <v>147</v>
      </c>
      <c r="C161" s="56">
        <f>B161^2</f>
        <v/>
      </c>
      <c r="D161" s="41" t="n">
        <v>4636.62</v>
      </c>
      <c r="E161" s="41">
        <f>4541.138727+0.225904*B161</f>
        <v/>
      </c>
      <c r="F161" s="42">
        <f>D161-E161</f>
        <v/>
      </c>
      <c r="G161" s="41">
        <f>F161^2</f>
        <v/>
      </c>
      <c r="H161" s="40" t="n"/>
      <c r="I161" s="40" t="n"/>
    </row>
    <row r="162" ht="15" customHeight="1" s="28">
      <c r="A162" s="37" t="n">
        <v>149</v>
      </c>
      <c r="B162" s="55" t="n">
        <v>148</v>
      </c>
      <c r="C162" s="55">
        <f>B162^2</f>
        <v/>
      </c>
      <c r="D162" s="38" t="n">
        <v>4639.68</v>
      </c>
      <c r="E162" s="38">
        <f>4541.138727+0.225904*B162</f>
        <v/>
      </c>
      <c r="F162" s="39">
        <f>D162-E162</f>
        <v/>
      </c>
      <c r="G162" s="38">
        <f>F162^2</f>
        <v/>
      </c>
      <c r="H162" s="37" t="n"/>
      <c r="I162" s="37" t="n"/>
    </row>
    <row r="163" ht="15" customHeight="1" s="28">
      <c r="A163" s="40" t="n">
        <v>150</v>
      </c>
      <c r="B163" s="56" t="n">
        <v>149</v>
      </c>
      <c r="C163" s="56">
        <f>B163^2</f>
        <v/>
      </c>
      <c r="D163" s="41" t="n">
        <v>4635.99</v>
      </c>
      <c r="E163" s="41">
        <f>4541.138727+0.225904*B163</f>
        <v/>
      </c>
      <c r="F163" s="42">
        <f>D163-E163</f>
        <v/>
      </c>
      <c r="G163" s="41">
        <f>F163^2</f>
        <v/>
      </c>
      <c r="H163" s="40" t="n"/>
      <c r="I163" s="40" t="n"/>
    </row>
    <row r="164" ht="15" customHeight="1" s="28">
      <c r="A164" s="37" t="n">
        <v>151</v>
      </c>
      <c r="B164" s="55" t="n">
        <v>150</v>
      </c>
      <c r="C164" s="55">
        <f>B164^2</f>
        <v/>
      </c>
      <c r="D164" s="38" t="n">
        <v>4637.7</v>
      </c>
      <c r="E164" s="38">
        <f>4541.138727+0.225904*B164</f>
        <v/>
      </c>
      <c r="F164" s="39">
        <f>D164-E164</f>
        <v/>
      </c>
      <c r="G164" s="38">
        <f>F164^2</f>
        <v/>
      </c>
      <c r="H164" s="37" t="n"/>
      <c r="I164" s="37" t="n"/>
    </row>
    <row r="165" ht="15" customHeight="1" s="28">
      <c r="A165" s="40" t="n">
        <v>152</v>
      </c>
      <c r="B165" s="56" t="n">
        <v>151</v>
      </c>
      <c r="C165" s="56">
        <f>B165^2</f>
        <v/>
      </c>
      <c r="D165" s="41" t="n">
        <v>4629.82</v>
      </c>
      <c r="E165" s="41">
        <f>4541.138727+0.225904*B165</f>
        <v/>
      </c>
      <c r="F165" s="42">
        <f>D165-E165</f>
        <v/>
      </c>
      <c r="G165" s="41">
        <f>F165^2</f>
        <v/>
      </c>
      <c r="H165" s="40" t="n"/>
      <c r="I165" s="40" t="n"/>
    </row>
    <row r="166" ht="15" customHeight="1" s="28">
      <c r="A166" s="37" t="n">
        <v>153</v>
      </c>
      <c r="B166" s="55" t="n">
        <v>152</v>
      </c>
      <c r="C166" s="55">
        <f>B166^2</f>
        <v/>
      </c>
      <c r="D166" s="38" t="n">
        <v>4630.21</v>
      </c>
      <c r="E166" s="38">
        <f>4541.138727+0.225904*B166</f>
        <v/>
      </c>
      <c r="F166" s="39">
        <f>D166-E166</f>
        <v/>
      </c>
      <c r="G166" s="38">
        <f>F166^2</f>
        <v/>
      </c>
      <c r="H166" s="37" t="n"/>
      <c r="I166" s="37" t="n"/>
    </row>
    <row r="167" ht="15" customHeight="1" s="28">
      <c r="A167" s="40" t="n">
        <v>154</v>
      </c>
      <c r="B167" s="56" t="n">
        <v>153</v>
      </c>
      <c r="C167" s="56">
        <f>B167^2</f>
        <v/>
      </c>
      <c r="D167" s="41" t="n">
        <v>4635.81</v>
      </c>
      <c r="E167" s="41">
        <f>4541.138727+0.225904*B167</f>
        <v/>
      </c>
      <c r="F167" s="42">
        <f>D167-E167</f>
        <v/>
      </c>
      <c r="G167" s="41">
        <f>F167^2</f>
        <v/>
      </c>
      <c r="H167" s="40" t="n"/>
      <c r="I167" s="40" t="n"/>
    </row>
    <row r="168" ht="15" customHeight="1" s="28">
      <c r="A168" s="37" t="n">
        <v>155</v>
      </c>
      <c r="B168" s="55" t="n">
        <v>154</v>
      </c>
      <c r="C168" s="55">
        <f>B168^2</f>
        <v/>
      </c>
      <c r="D168" s="38" t="n">
        <v>4630.51</v>
      </c>
      <c r="E168" s="38">
        <f>4541.138727+0.225904*B168</f>
        <v/>
      </c>
      <c r="F168" s="39">
        <f>D168-E168</f>
        <v/>
      </c>
      <c r="G168" s="38">
        <f>F168^2</f>
        <v/>
      </c>
      <c r="H168" s="37" t="n"/>
      <c r="I168" s="37" t="n"/>
    </row>
    <row r="169" ht="15" customHeight="1" s="28">
      <c r="A169" s="40" t="n">
        <v>156</v>
      </c>
      <c r="B169" s="56" t="n">
        <v>155</v>
      </c>
      <c r="C169" s="56">
        <f>B169^2</f>
        <v/>
      </c>
      <c r="D169" s="41" t="n">
        <v>4625.92</v>
      </c>
      <c r="E169" s="41">
        <f>4541.138727+0.225904*B169</f>
        <v/>
      </c>
      <c r="F169" s="42">
        <f>D169-E169</f>
        <v/>
      </c>
      <c r="G169" s="41">
        <f>F169^2</f>
        <v/>
      </c>
      <c r="H169" s="40" t="n"/>
      <c r="I169" s="40" t="n"/>
    </row>
    <row r="170" ht="15" customHeight="1" s="28">
      <c r="A170" s="37" t="n">
        <v>157</v>
      </c>
      <c r="B170" s="55" t="n">
        <v>156</v>
      </c>
      <c r="C170" s="55">
        <f>B170^2</f>
        <v/>
      </c>
      <c r="D170" s="38" t="n">
        <v>4639.57</v>
      </c>
      <c r="E170" s="38">
        <f>4541.138727+0.225904*B170</f>
        <v/>
      </c>
      <c r="F170" s="39">
        <f>D170-E170</f>
        <v/>
      </c>
      <c r="G170" s="38">
        <f>F170^2</f>
        <v/>
      </c>
      <c r="H170" s="37" t="n"/>
      <c r="I170" s="37" t="n"/>
    </row>
    <row r="171" ht="15" customHeight="1" s="28">
      <c r="A171" s="40" t="n">
        <v>158</v>
      </c>
      <c r="B171" s="56" t="n">
        <v>157</v>
      </c>
      <c r="C171" s="56">
        <f>B171^2</f>
        <v/>
      </c>
      <c r="D171" s="41" t="n">
        <v>4641.5</v>
      </c>
      <c r="E171" s="41">
        <f>4541.138727+0.225904*B171</f>
        <v/>
      </c>
      <c r="F171" s="42">
        <f>D171-E171</f>
        <v/>
      </c>
      <c r="G171" s="41">
        <f>F171^2</f>
        <v/>
      </c>
      <c r="H171" s="40" t="n"/>
      <c r="I171" s="40" t="n"/>
    </row>
    <row r="172" ht="15" customHeight="1" s="28">
      <c r="A172" s="37" t="n">
        <v>159</v>
      </c>
      <c r="B172" s="55" t="n">
        <v>158</v>
      </c>
      <c r="C172" s="55">
        <f>B172^2</f>
        <v/>
      </c>
      <c r="D172" s="38" t="n">
        <v>4633.5</v>
      </c>
      <c r="E172" s="38">
        <f>4541.138727+0.225904*B172</f>
        <v/>
      </c>
      <c r="F172" s="39">
        <f>D172-E172</f>
        <v/>
      </c>
      <c r="G172" s="38">
        <f>F172^2</f>
        <v/>
      </c>
      <c r="H172" s="37" t="n"/>
      <c r="I172" s="37" t="n"/>
    </row>
    <row r="173" ht="15" customHeight="1" s="28">
      <c r="A173" s="40" t="n">
        <v>160</v>
      </c>
      <c r="B173" s="56" t="n">
        <v>159</v>
      </c>
      <c r="C173" s="56">
        <f>B173^2</f>
        <v/>
      </c>
      <c r="D173" s="41" t="n">
        <v>4625.44</v>
      </c>
      <c r="E173" s="41">
        <f>4541.138727+0.225904*B173</f>
        <v/>
      </c>
      <c r="F173" s="42">
        <f>D173-E173</f>
        <v/>
      </c>
      <c r="G173" s="41">
        <f>F173^2</f>
        <v/>
      </c>
      <c r="H173" s="40" t="n"/>
      <c r="I173" s="40" t="n"/>
    </row>
    <row r="174" ht="15" customHeight="1" s="28">
      <c r="A174" s="37" t="n">
        <v>161</v>
      </c>
      <c r="B174" s="55" t="n">
        <v>160</v>
      </c>
      <c r="C174" s="55">
        <f>B174^2</f>
        <v/>
      </c>
      <c r="D174" s="38" t="n">
        <v>4610.99</v>
      </c>
      <c r="E174" s="38">
        <f>4541.138727+0.225904*B174</f>
        <v/>
      </c>
      <c r="F174" s="39">
        <f>D174-E174</f>
        <v/>
      </c>
      <c r="G174" s="38">
        <f>F174^2</f>
        <v/>
      </c>
      <c r="H174" s="37" t="n"/>
      <c r="I174" s="37" t="n"/>
    </row>
    <row r="175" ht="15" customHeight="1" s="28">
      <c r="A175" s="40" t="n">
        <v>162</v>
      </c>
      <c r="B175" s="56" t="n">
        <v>161</v>
      </c>
      <c r="C175" s="56">
        <f>B175^2</f>
        <v/>
      </c>
      <c r="D175" s="41" t="n">
        <v>4620.39</v>
      </c>
      <c r="E175" s="41">
        <f>4541.138727+0.225904*B175</f>
        <v/>
      </c>
      <c r="F175" s="42">
        <f>D175-E175</f>
        <v/>
      </c>
      <c r="G175" s="41">
        <f>F175^2</f>
        <v/>
      </c>
      <c r="H175" s="40" t="n"/>
      <c r="I175" s="40" t="n"/>
    </row>
    <row r="176" ht="15" customHeight="1" s="28">
      <c r="A176" s="37" t="n">
        <v>163</v>
      </c>
      <c r="B176" s="55" t="n">
        <v>162</v>
      </c>
      <c r="C176" s="55">
        <f>B176^2</f>
        <v/>
      </c>
      <c r="D176" s="38" t="n">
        <v>4622.81</v>
      </c>
      <c r="E176" s="38">
        <f>4541.138727+0.225904*B176</f>
        <v/>
      </c>
      <c r="F176" s="39">
        <f>D176-E176</f>
        <v/>
      </c>
      <c r="G176" s="38">
        <f>F176^2</f>
        <v/>
      </c>
      <c r="H176" s="37" t="n"/>
      <c r="I176" s="37" t="n"/>
    </row>
    <row r="177" ht="15" customHeight="1" s="28">
      <c r="A177" s="40" t="n">
        <v>164</v>
      </c>
      <c r="B177" s="56" t="n">
        <v>163</v>
      </c>
      <c r="C177" s="56">
        <f>B177^2</f>
        <v/>
      </c>
      <c r="D177" s="41" t="n">
        <v>4617.7</v>
      </c>
      <c r="E177" s="41">
        <f>4541.138727+0.225904*B177</f>
        <v/>
      </c>
      <c r="F177" s="42">
        <f>D177-E177</f>
        <v/>
      </c>
      <c r="G177" s="41">
        <f>F177^2</f>
        <v/>
      </c>
      <c r="H177" s="40" t="n"/>
      <c r="I177" s="40" t="n"/>
    </row>
    <row r="178" ht="15" customHeight="1" s="28">
      <c r="A178" s="37" t="n">
        <v>165</v>
      </c>
      <c r="B178" s="55" t="n">
        <v>164</v>
      </c>
      <c r="C178" s="55">
        <f>B178^2</f>
        <v/>
      </c>
      <c r="D178" s="38" t="n">
        <v>4619.59</v>
      </c>
      <c r="E178" s="38">
        <f>4541.138727+0.225904*B178</f>
        <v/>
      </c>
      <c r="F178" s="39">
        <f>D178-E178</f>
        <v/>
      </c>
      <c r="G178" s="38">
        <f>F178^2</f>
        <v/>
      </c>
      <c r="H178" s="37" t="n"/>
      <c r="I178" s="37" t="n"/>
    </row>
    <row r="179" ht="15" customHeight="1" s="28">
      <c r="A179" s="40" t="n">
        <v>166</v>
      </c>
      <c r="B179" s="56" t="n">
        <v>165</v>
      </c>
      <c r="C179" s="56">
        <f>B179^2</f>
        <v/>
      </c>
      <c r="D179" s="41" t="n">
        <v>4620.13</v>
      </c>
      <c r="E179" s="41">
        <f>4541.138727+0.225904*B179</f>
        <v/>
      </c>
      <c r="F179" s="42">
        <f>D179-E179</f>
        <v/>
      </c>
      <c r="G179" s="41">
        <f>F179^2</f>
        <v/>
      </c>
      <c r="H179" s="40" t="n"/>
      <c r="I179" s="40" t="n"/>
    </row>
    <row r="180" ht="15" customHeight="1" s="28">
      <c r="A180" s="37" t="n">
        <v>167</v>
      </c>
      <c r="B180" s="55" t="n">
        <v>166</v>
      </c>
      <c r="C180" s="55">
        <f>B180^2</f>
        <v/>
      </c>
      <c r="D180" s="38" t="n">
        <v>4623.09</v>
      </c>
      <c r="E180" s="38">
        <f>4541.138727+0.225904*B180</f>
        <v/>
      </c>
      <c r="F180" s="39">
        <f>D180-E180</f>
        <v/>
      </c>
      <c r="G180" s="38">
        <f>F180^2</f>
        <v/>
      </c>
      <c r="H180" s="37" t="n"/>
      <c r="I180" s="37" t="n"/>
    </row>
    <row r="181" ht="15" customHeight="1" s="28">
      <c r="A181" s="40" t="n">
        <v>168</v>
      </c>
      <c r="B181" s="56" t="n">
        <v>167</v>
      </c>
      <c r="C181" s="56">
        <f>B181^2</f>
        <v/>
      </c>
      <c r="D181" s="41" t="n">
        <v>4615.65</v>
      </c>
      <c r="E181" s="41">
        <f>4541.138727+0.225904*B181</f>
        <v/>
      </c>
      <c r="F181" s="42">
        <f>D181-E181</f>
        <v/>
      </c>
      <c r="G181" s="41">
        <f>F181^2</f>
        <v/>
      </c>
      <c r="H181" s="40" t="n"/>
      <c r="I181" s="40" t="n"/>
    </row>
    <row r="182" ht="15" customHeight="1" s="28">
      <c r="A182" s="37" t="n">
        <v>169</v>
      </c>
      <c r="B182" s="55" t="n">
        <v>168</v>
      </c>
      <c r="C182" s="55">
        <f>B182^2</f>
        <v/>
      </c>
      <c r="D182" s="38" t="n">
        <v>4615.35</v>
      </c>
      <c r="E182" s="38">
        <f>4541.138727+0.225904*B182</f>
        <v/>
      </c>
      <c r="F182" s="39">
        <f>D182-E182</f>
        <v/>
      </c>
      <c r="G182" s="38">
        <f>F182^2</f>
        <v/>
      </c>
      <c r="H182" s="37" t="n"/>
      <c r="I182" s="37" t="n"/>
    </row>
    <row r="183" ht="15" customHeight="1" s="28">
      <c r="A183" s="40" t="n">
        <v>170</v>
      </c>
      <c r="B183" s="56" t="n">
        <v>169</v>
      </c>
      <c r="C183" s="56">
        <f>B183^2</f>
        <v/>
      </c>
      <c r="D183" s="41" t="n">
        <v>4611.63</v>
      </c>
      <c r="E183" s="41">
        <f>4541.138727+0.225904*B183</f>
        <v/>
      </c>
      <c r="F183" s="42">
        <f>D183-E183</f>
        <v/>
      </c>
      <c r="G183" s="41">
        <f>F183^2</f>
        <v/>
      </c>
      <c r="H183" s="40" t="n"/>
      <c r="I183" s="40" t="n"/>
    </row>
    <row r="184" ht="15" customHeight="1" s="28">
      <c r="A184" s="37" t="n">
        <v>171</v>
      </c>
      <c r="B184" s="55" t="n">
        <v>170</v>
      </c>
      <c r="C184" s="55">
        <f>B184^2</f>
        <v/>
      </c>
      <c r="D184" s="38" t="n">
        <v>4608.08</v>
      </c>
      <c r="E184" s="38">
        <f>4541.138727+0.225904*B184</f>
        <v/>
      </c>
      <c r="F184" s="39">
        <f>D184-E184</f>
        <v/>
      </c>
      <c r="G184" s="38">
        <f>F184^2</f>
        <v/>
      </c>
      <c r="H184" s="37" t="n"/>
      <c r="I184" s="37" t="n"/>
    </row>
    <row r="185" ht="15" customHeight="1" s="28">
      <c r="A185" s="40" t="n">
        <v>172</v>
      </c>
      <c r="B185" s="56" t="n">
        <v>171</v>
      </c>
      <c r="C185" s="56">
        <f>B185^2</f>
        <v/>
      </c>
      <c r="D185" s="41" t="n">
        <v>4609.12</v>
      </c>
      <c r="E185" s="41">
        <f>4541.138727+0.225904*B185</f>
        <v/>
      </c>
      <c r="F185" s="42">
        <f>D185-E185</f>
        <v/>
      </c>
      <c r="G185" s="41">
        <f>F185^2</f>
        <v/>
      </c>
      <c r="H185" s="40" t="n"/>
      <c r="I185" s="40" t="n"/>
    </row>
    <row r="186" ht="15" customHeight="1" s="28">
      <c r="A186" s="37" t="n">
        <v>173</v>
      </c>
      <c r="B186" s="55" t="n">
        <v>172</v>
      </c>
      <c r="C186" s="55">
        <f>B186^2</f>
        <v/>
      </c>
      <c r="D186" s="38" t="n">
        <v>4607.62</v>
      </c>
      <c r="E186" s="38">
        <f>4541.138727+0.225904*B186</f>
        <v/>
      </c>
      <c r="F186" s="39">
        <f>D186-E186</f>
        <v/>
      </c>
      <c r="G186" s="38">
        <f>F186^2</f>
        <v/>
      </c>
      <c r="H186" s="37" t="n"/>
      <c r="I186" s="37" t="n"/>
    </row>
    <row r="187" ht="15" customHeight="1" s="28">
      <c r="A187" s="40" t="n">
        <v>174</v>
      </c>
      <c r="B187" s="56" t="n">
        <v>173</v>
      </c>
      <c r="C187" s="56">
        <f>B187^2</f>
        <v/>
      </c>
      <c r="D187" s="41" t="n">
        <v>4615.95</v>
      </c>
      <c r="E187" s="41">
        <f>4541.138727+0.225904*B187</f>
        <v/>
      </c>
      <c r="F187" s="42">
        <f>D187-E187</f>
        <v/>
      </c>
      <c r="G187" s="41">
        <f>F187^2</f>
        <v/>
      </c>
      <c r="H187" s="40" t="n"/>
      <c r="I187" s="40" t="n"/>
    </row>
    <row r="188" ht="15" customHeight="1" s="28">
      <c r="A188" s="37" t="n">
        <v>175</v>
      </c>
      <c r="B188" s="55" t="n">
        <v>174</v>
      </c>
      <c r="C188" s="55">
        <f>B188^2</f>
        <v/>
      </c>
      <c r="D188" s="38" t="n">
        <v>4618</v>
      </c>
      <c r="E188" s="38">
        <f>4541.138727+0.225904*B188</f>
        <v/>
      </c>
      <c r="F188" s="39">
        <f>D188-E188</f>
        <v/>
      </c>
      <c r="G188" s="38">
        <f>F188^2</f>
        <v/>
      </c>
      <c r="H188" s="37" t="n"/>
      <c r="I188" s="37" t="n"/>
    </row>
    <row r="189" ht="15" customHeight="1" s="28">
      <c r="A189" s="40" t="n">
        <v>176</v>
      </c>
      <c r="B189" s="56" t="n">
        <v>175</v>
      </c>
      <c r="C189" s="56">
        <f>B189^2</f>
        <v/>
      </c>
      <c r="D189" s="41" t="n">
        <v>4617.86</v>
      </c>
      <c r="E189" s="41">
        <f>4541.138727+0.225904*B189</f>
        <v/>
      </c>
      <c r="F189" s="42">
        <f>D189-E189</f>
        <v/>
      </c>
      <c r="G189" s="41">
        <f>F189^2</f>
        <v/>
      </c>
      <c r="H189" s="40" t="n"/>
      <c r="I189" s="40" t="n"/>
    </row>
    <row r="190" ht="15" customHeight="1" s="28">
      <c r="A190" s="37" t="n">
        <v>177</v>
      </c>
      <c r="B190" s="55" t="n">
        <v>176</v>
      </c>
      <c r="C190" s="55">
        <f>B190^2</f>
        <v/>
      </c>
      <c r="D190" s="38" t="n">
        <v>4616.86</v>
      </c>
      <c r="E190" s="38">
        <f>4541.138727+0.225904*B190</f>
        <v/>
      </c>
      <c r="F190" s="39">
        <f>D190-E190</f>
        <v/>
      </c>
      <c r="G190" s="38">
        <f>F190^2</f>
        <v/>
      </c>
      <c r="H190" s="37" t="n"/>
      <c r="I190" s="37" t="n"/>
    </row>
    <row r="191" ht="15" customHeight="1" s="28">
      <c r="A191" s="40" t="n">
        <v>178</v>
      </c>
      <c r="B191" s="56" t="n">
        <v>177</v>
      </c>
      <c r="C191" s="56">
        <f>B191^2</f>
        <v/>
      </c>
      <c r="D191" s="41" t="n">
        <v>4620.57</v>
      </c>
      <c r="E191" s="41">
        <f>4541.138727+0.225904*B191</f>
        <v/>
      </c>
      <c r="F191" s="42">
        <f>D191-E191</f>
        <v/>
      </c>
      <c r="G191" s="41">
        <f>F191^2</f>
        <v/>
      </c>
      <c r="H191" s="40" t="n"/>
      <c r="I191" s="40" t="n"/>
    </row>
    <row r="192" ht="15" customHeight="1" s="28">
      <c r="A192" s="37" t="n">
        <v>179</v>
      </c>
      <c r="B192" s="55" t="n">
        <v>178</v>
      </c>
      <c r="C192" s="55">
        <f>B192^2</f>
        <v/>
      </c>
      <c r="D192" s="38" t="n">
        <v>4620.79</v>
      </c>
      <c r="E192" s="38">
        <f>4541.138727+0.225904*B192</f>
        <v/>
      </c>
      <c r="F192" s="39">
        <f>D192-E192</f>
        <v/>
      </c>
      <c r="G192" s="38">
        <f>F192^2</f>
        <v/>
      </c>
      <c r="H192" s="37" t="n"/>
      <c r="I192" s="37" t="n"/>
    </row>
    <row r="193" ht="15" customHeight="1" s="28">
      <c r="A193" s="40" t="n">
        <v>180</v>
      </c>
      <c r="B193" s="56" t="n">
        <v>179</v>
      </c>
      <c r="C193" s="56">
        <f>B193^2</f>
        <v/>
      </c>
      <c r="D193" s="41" t="n">
        <v>4620.7</v>
      </c>
      <c r="E193" s="41">
        <f>4541.138727+0.225904*B193</f>
        <v/>
      </c>
      <c r="F193" s="42">
        <f>D193-E193</f>
        <v/>
      </c>
      <c r="G193" s="41">
        <f>F193^2</f>
        <v/>
      </c>
      <c r="H193" s="40" t="n"/>
      <c r="I193" s="40" t="n"/>
    </row>
    <row r="194" ht="15" customHeight="1" s="28">
      <c r="A194" s="37" t="n">
        <v>181</v>
      </c>
      <c r="B194" s="55" t="n">
        <v>180</v>
      </c>
      <c r="C194" s="55">
        <f>B194^2</f>
        <v/>
      </c>
      <c r="D194" s="38" t="n">
        <v>4622.48</v>
      </c>
      <c r="E194" s="38">
        <f>4541.138727+0.225904*B194</f>
        <v/>
      </c>
      <c r="F194" s="39">
        <f>D194-E194</f>
        <v/>
      </c>
      <c r="G194" s="38">
        <f>F194^2</f>
        <v/>
      </c>
      <c r="H194" s="37" t="n"/>
      <c r="I194" s="37" t="n"/>
    </row>
    <row r="195" ht="15" customHeight="1" s="28">
      <c r="A195" s="40" t="n">
        <v>182</v>
      </c>
      <c r="B195" s="56" t="n">
        <v>181</v>
      </c>
      <c r="C195" s="56">
        <f>B195^2</f>
        <v/>
      </c>
      <c r="D195" s="41" t="n">
        <v>4624.33</v>
      </c>
      <c r="E195" s="41">
        <f>4541.138727+0.225904*B195</f>
        <v/>
      </c>
      <c r="F195" s="42">
        <f>D195-E195</f>
        <v/>
      </c>
      <c r="G195" s="41">
        <f>F195^2</f>
        <v/>
      </c>
      <c r="H195" s="40" t="n"/>
      <c r="I195" s="40" t="n"/>
    </row>
    <row r="196" ht="15" customHeight="1" s="28">
      <c r="A196" s="37" t="n">
        <v>183</v>
      </c>
      <c r="B196" s="55" t="n">
        <v>182</v>
      </c>
      <c r="C196" s="55">
        <f>B196^2</f>
        <v/>
      </c>
      <c r="D196" s="38" t="n">
        <v>4617.77</v>
      </c>
      <c r="E196" s="38">
        <f>4541.138727+0.225904*B196</f>
        <v/>
      </c>
      <c r="F196" s="39">
        <f>D196-E196</f>
        <v/>
      </c>
      <c r="G196" s="38">
        <f>F196^2</f>
        <v/>
      </c>
      <c r="H196" s="37" t="n"/>
      <c r="I196" s="37" t="n"/>
    </row>
    <row r="197" ht="15" customHeight="1" s="28">
      <c r="A197" s="40" t="n">
        <v>184</v>
      </c>
      <c r="B197" s="56" t="n">
        <v>183</v>
      </c>
      <c r="C197" s="56">
        <f>B197^2</f>
        <v/>
      </c>
      <c r="D197" s="41" t="n">
        <v>4622.49</v>
      </c>
      <c r="E197" s="41">
        <f>4541.138727+0.225904*B197</f>
        <v/>
      </c>
      <c r="F197" s="42">
        <f>D197-E197</f>
        <v/>
      </c>
      <c r="G197" s="41">
        <f>F197^2</f>
        <v/>
      </c>
      <c r="H197" s="40" t="n"/>
      <c r="I197" s="40" t="n"/>
    </row>
    <row r="198" ht="15" customHeight="1" s="28">
      <c r="A198" s="37" t="n">
        <v>185</v>
      </c>
      <c r="B198" s="55" t="n">
        <v>184</v>
      </c>
      <c r="C198" s="55">
        <f>B198^2</f>
        <v/>
      </c>
      <c r="D198" s="38" t="n">
        <v>4617.07</v>
      </c>
      <c r="E198" s="38">
        <f>4541.138727+0.225904*B198</f>
        <v/>
      </c>
      <c r="F198" s="39">
        <f>D198-E198</f>
        <v/>
      </c>
      <c r="G198" s="38">
        <f>F198^2</f>
        <v/>
      </c>
      <c r="H198" s="37" t="n"/>
      <c r="I198" s="37" t="n"/>
    </row>
    <row r="199" ht="15" customHeight="1" s="28">
      <c r="A199" s="40" t="n">
        <v>186</v>
      </c>
      <c r="B199" s="56" t="n">
        <v>185</v>
      </c>
      <c r="C199" s="56">
        <f>B199^2</f>
        <v/>
      </c>
      <c r="D199" s="41" t="n">
        <v>4616.16</v>
      </c>
      <c r="E199" s="41">
        <f>4541.138727+0.225904*B199</f>
        <v/>
      </c>
      <c r="F199" s="42">
        <f>D199-E199</f>
        <v/>
      </c>
      <c r="G199" s="41">
        <f>F199^2</f>
        <v/>
      </c>
      <c r="H199" s="40" t="n"/>
      <c r="I199" s="40" t="n"/>
    </row>
    <row r="200" ht="15" customHeight="1" s="28">
      <c r="A200" s="37" t="n">
        <v>187</v>
      </c>
      <c r="B200" s="55" t="n">
        <v>186</v>
      </c>
      <c r="C200" s="55">
        <f>B200^2</f>
        <v/>
      </c>
      <c r="D200" s="38" t="n">
        <v>4616.72</v>
      </c>
      <c r="E200" s="38">
        <f>4541.138727+0.225904*B200</f>
        <v/>
      </c>
      <c r="F200" s="39">
        <f>D200-E200</f>
        <v/>
      </c>
      <c r="G200" s="38">
        <f>F200^2</f>
        <v/>
      </c>
      <c r="H200" s="37" t="n"/>
      <c r="I200" s="37" t="n"/>
    </row>
    <row r="201" ht="15" customHeight="1" s="28">
      <c r="A201" s="40" t="n">
        <v>188</v>
      </c>
      <c r="B201" s="56" t="n">
        <v>187</v>
      </c>
      <c r="C201" s="56">
        <f>B201^2</f>
        <v/>
      </c>
      <c r="D201" s="41" t="n">
        <v>4617.33</v>
      </c>
      <c r="E201" s="41">
        <f>4541.138727+0.225904*B201</f>
        <v/>
      </c>
      <c r="F201" s="42">
        <f>D201-E201</f>
        <v/>
      </c>
      <c r="G201" s="41">
        <f>F201^2</f>
        <v/>
      </c>
      <c r="H201" s="40" t="n"/>
      <c r="I201" s="40" t="n"/>
    </row>
    <row r="202" ht="15" customHeight="1" s="28">
      <c r="A202" s="37" t="n">
        <v>189</v>
      </c>
      <c r="B202" s="55" t="n">
        <v>188</v>
      </c>
      <c r="C202" s="55">
        <f>B202^2</f>
        <v/>
      </c>
      <c r="D202" s="38" t="n">
        <v>4621.81</v>
      </c>
      <c r="E202" s="38">
        <f>4541.138727+0.225904*B202</f>
        <v/>
      </c>
      <c r="F202" s="39">
        <f>D202-E202</f>
        <v/>
      </c>
      <c r="G202" s="38">
        <f>F202^2</f>
        <v/>
      </c>
      <c r="H202" s="37" t="n"/>
      <c r="I202" s="37" t="n"/>
    </row>
    <row r="203" ht="15" customHeight="1" s="28">
      <c r="A203" s="40" t="n">
        <v>190</v>
      </c>
      <c r="B203" s="56" t="n">
        <v>189</v>
      </c>
      <c r="C203" s="56">
        <f>B203^2</f>
        <v/>
      </c>
      <c r="D203" s="41" t="n">
        <v>4631.38</v>
      </c>
      <c r="E203" s="41">
        <f>4541.138727+0.225904*B203</f>
        <v/>
      </c>
      <c r="F203" s="42">
        <f>D203-E203</f>
        <v/>
      </c>
      <c r="G203" s="41">
        <f>F203^2</f>
        <v/>
      </c>
      <c r="H203" s="40" t="n"/>
      <c r="I203" s="40" t="n"/>
    </row>
    <row r="204" ht="15" customHeight="1" s="28">
      <c r="A204" s="37" t="n">
        <v>191</v>
      </c>
      <c r="B204" s="55" t="n">
        <v>190</v>
      </c>
      <c r="C204" s="55">
        <f>B204^2</f>
        <v/>
      </c>
      <c r="D204" s="38" t="n">
        <v>4631.38</v>
      </c>
      <c r="E204" s="38">
        <f>4541.138727+0.225904*B204</f>
        <v/>
      </c>
      <c r="F204" s="39">
        <f>D204-E204</f>
        <v/>
      </c>
      <c r="G204" s="38">
        <f>F204^2</f>
        <v/>
      </c>
      <c r="H204" s="37" t="n"/>
      <c r="I204" s="37" t="n"/>
    </row>
    <row r="205" ht="15" customHeight="1" s="28">
      <c r="A205" s="40" t="n">
        <v>192</v>
      </c>
      <c r="B205" s="56" t="n">
        <v>191</v>
      </c>
      <c r="C205" s="56">
        <f>B205^2</f>
        <v/>
      </c>
      <c r="D205" s="41" t="n">
        <v>4631.75</v>
      </c>
      <c r="E205" s="41">
        <f>4541.138727+0.225904*B205</f>
        <v/>
      </c>
      <c r="F205" s="42">
        <f>D205-E205</f>
        <v/>
      </c>
      <c r="G205" s="41">
        <f>F205^2</f>
        <v/>
      </c>
      <c r="H205" s="40" t="n"/>
      <c r="I205" s="40" t="n"/>
    </row>
    <row r="206" ht="15" customHeight="1" s="28">
      <c r="A206" s="37" t="n">
        <v>193</v>
      </c>
      <c r="B206" s="55" t="n">
        <v>192</v>
      </c>
      <c r="C206" s="55">
        <f>B206^2</f>
        <v/>
      </c>
      <c r="D206" s="38" t="n">
        <v>4630.51</v>
      </c>
      <c r="E206" s="38">
        <f>4541.138727+0.225904*B206</f>
        <v/>
      </c>
      <c r="F206" s="39">
        <f>D206-E206</f>
        <v/>
      </c>
      <c r="G206" s="38">
        <f>F206^2</f>
        <v/>
      </c>
      <c r="H206" s="37" t="n"/>
      <c r="I206" s="37" t="n"/>
    </row>
    <row r="207" ht="15" customHeight="1" s="28">
      <c r="A207" s="40" t="n">
        <v>194</v>
      </c>
      <c r="B207" s="56" t="n">
        <v>193</v>
      </c>
      <c r="C207" s="56">
        <f>B207^2</f>
        <v/>
      </c>
      <c r="D207" s="41" t="n">
        <v>4630.26</v>
      </c>
      <c r="E207" s="41">
        <f>4541.138727+0.225904*B207</f>
        <v/>
      </c>
      <c r="F207" s="42">
        <f>D207-E207</f>
        <v/>
      </c>
      <c r="G207" s="41">
        <f>F207^2</f>
        <v/>
      </c>
      <c r="H207" s="40" t="n"/>
      <c r="I207" s="40" t="n"/>
    </row>
    <row r="208" ht="15" customHeight="1" s="28">
      <c r="A208" s="37" t="n">
        <v>195</v>
      </c>
      <c r="B208" s="55" t="n">
        <v>194</v>
      </c>
      <c r="C208" s="55">
        <f>B208^2</f>
        <v/>
      </c>
      <c r="D208" s="38" t="n">
        <v>4630.75</v>
      </c>
      <c r="E208" s="38">
        <f>4541.138727+0.225904*B208</f>
        <v/>
      </c>
      <c r="F208" s="39">
        <f>D208-E208</f>
        <v/>
      </c>
      <c r="G208" s="38">
        <f>F208^2</f>
        <v/>
      </c>
      <c r="H208" s="37" t="n"/>
      <c r="I208" s="37" t="n"/>
    </row>
    <row r="209" ht="15" customHeight="1" s="28">
      <c r="A209" s="40" t="n">
        <v>196</v>
      </c>
      <c r="B209" s="56" t="n">
        <v>195</v>
      </c>
      <c r="C209" s="56">
        <f>B209^2</f>
        <v/>
      </c>
      <c r="D209" s="41" t="n">
        <v>4631.31</v>
      </c>
      <c r="E209" s="41">
        <f>4541.138727+0.225904*B209</f>
        <v/>
      </c>
      <c r="F209" s="42">
        <f>D209-E209</f>
        <v/>
      </c>
      <c r="G209" s="41">
        <f>F209^2</f>
        <v/>
      </c>
      <c r="H209" s="40" t="n"/>
      <c r="I209" s="40" t="n"/>
    </row>
    <row r="210" ht="15" customHeight="1" s="28">
      <c r="A210" s="37" t="n">
        <v>197</v>
      </c>
      <c r="B210" s="55" t="n">
        <v>196</v>
      </c>
      <c r="C210" s="55">
        <f>B210^2</f>
        <v/>
      </c>
      <c r="D210" s="38" t="n">
        <v>4626.71</v>
      </c>
      <c r="E210" s="38">
        <f>4541.138727+0.225904*B210</f>
        <v/>
      </c>
      <c r="F210" s="39">
        <f>D210-E210</f>
        <v/>
      </c>
      <c r="G210" s="38">
        <f>F210^2</f>
        <v/>
      </c>
      <c r="H210" s="37" t="n"/>
      <c r="I210" s="37" t="n"/>
    </row>
    <row r="211" ht="15" customHeight="1" s="28">
      <c r="A211" s="40" t="n">
        <v>198</v>
      </c>
      <c r="B211" s="56" t="n">
        <v>197</v>
      </c>
      <c r="C211" s="56">
        <f>B211^2</f>
        <v/>
      </c>
      <c r="D211" s="41" t="n">
        <v>4622.55</v>
      </c>
      <c r="E211" s="41">
        <f>4541.138727+0.225904*B211</f>
        <v/>
      </c>
      <c r="F211" s="42">
        <f>D211-E211</f>
        <v/>
      </c>
      <c r="G211" s="41">
        <f>F211^2</f>
        <v/>
      </c>
      <c r="H211" s="40" t="n"/>
      <c r="I211" s="40" t="n"/>
    </row>
    <row r="212" ht="15" customHeight="1" s="28">
      <c r="A212" s="37" t="n">
        <v>199</v>
      </c>
      <c r="B212" s="55" t="n">
        <v>198</v>
      </c>
      <c r="C212" s="55">
        <f>B212^2</f>
        <v/>
      </c>
      <c r="D212" s="38" t="n">
        <v>4623.65</v>
      </c>
      <c r="E212" s="38">
        <f>4541.138727+0.225904*B212</f>
        <v/>
      </c>
      <c r="F212" s="39">
        <f>D212-E212</f>
        <v/>
      </c>
      <c r="G212" s="38">
        <f>F212^2</f>
        <v/>
      </c>
      <c r="H212" s="37" t="n"/>
      <c r="I212" s="37" t="n"/>
    </row>
    <row r="213" ht="15" customHeight="1" s="28">
      <c r="A213" s="40" t="n">
        <v>200</v>
      </c>
      <c r="B213" s="56" t="n">
        <v>199</v>
      </c>
      <c r="C213" s="56">
        <f>B213^2</f>
        <v/>
      </c>
      <c r="D213" s="41" t="n">
        <v>4620.9</v>
      </c>
      <c r="E213" s="41">
        <f>4541.138727+0.225904*B213</f>
        <v/>
      </c>
      <c r="F213" s="42">
        <f>D213-E213</f>
        <v/>
      </c>
      <c r="G213" s="41">
        <f>F213^2</f>
        <v/>
      </c>
      <c r="H213" s="40" t="n"/>
      <c r="I213" s="40" t="n"/>
    </row>
    <row r="214" ht="15" customHeight="1" s="28">
      <c r="A214" s="37" t="n">
        <v>201</v>
      </c>
      <c r="B214" s="55" t="n">
        <v>200</v>
      </c>
      <c r="C214" s="55">
        <f>B214^2</f>
        <v/>
      </c>
      <c r="D214" s="38" t="n">
        <v>4620.02</v>
      </c>
      <c r="E214" s="38">
        <f>4541.138727+0.225904*B214</f>
        <v/>
      </c>
      <c r="F214" s="39">
        <f>D214-E214</f>
        <v/>
      </c>
      <c r="G214" s="38">
        <f>F214^2</f>
        <v/>
      </c>
      <c r="H214" s="37" t="n"/>
      <c r="I214" s="37" t="n"/>
    </row>
    <row r="215" ht="15" customHeight="1" s="28">
      <c r="A215" s="40" t="n">
        <v>202</v>
      </c>
      <c r="B215" s="56" t="n">
        <v>201</v>
      </c>
      <c r="C215" s="56">
        <f>B215^2</f>
        <v/>
      </c>
      <c r="D215" s="41" t="n">
        <v>4618.7</v>
      </c>
      <c r="E215" s="41">
        <f>4541.138727+0.225904*B215</f>
        <v/>
      </c>
      <c r="F215" s="42">
        <f>D215-E215</f>
        <v/>
      </c>
      <c r="G215" s="41">
        <f>F215^2</f>
        <v/>
      </c>
      <c r="H215" s="40" t="n"/>
      <c r="I215" s="40" t="n"/>
    </row>
    <row r="216" ht="15" customHeight="1" s="28">
      <c r="A216" s="37" t="n">
        <v>203</v>
      </c>
      <c r="B216" s="55" t="n">
        <v>202</v>
      </c>
      <c r="C216" s="55">
        <f>B216^2</f>
        <v/>
      </c>
      <c r="D216" s="38" t="n">
        <v>4616.68</v>
      </c>
      <c r="E216" s="38">
        <f>4541.138727+0.225904*B216</f>
        <v/>
      </c>
      <c r="F216" s="39">
        <f>D216-E216</f>
        <v/>
      </c>
      <c r="G216" s="38">
        <f>F216^2</f>
        <v/>
      </c>
      <c r="H216" s="37" t="n"/>
      <c r="I216" s="37" t="n"/>
    </row>
    <row r="217" ht="15" customHeight="1" s="28">
      <c r="A217" s="40" t="n">
        <v>204</v>
      </c>
      <c r="B217" s="56" t="n">
        <v>203</v>
      </c>
      <c r="C217" s="56">
        <f>B217^2</f>
        <v/>
      </c>
      <c r="D217" s="41" t="n">
        <v>4620.2</v>
      </c>
      <c r="E217" s="41">
        <f>4541.138727+0.225904*B217</f>
        <v/>
      </c>
      <c r="F217" s="42">
        <f>D217-E217</f>
        <v/>
      </c>
      <c r="G217" s="41">
        <f>F217^2</f>
        <v/>
      </c>
      <c r="H217" s="40" t="n"/>
      <c r="I217" s="40" t="n"/>
    </row>
    <row r="218" ht="15" customHeight="1" s="28">
      <c r="A218" s="37" t="n">
        <v>205</v>
      </c>
      <c r="B218" s="55" t="n">
        <v>204</v>
      </c>
      <c r="C218" s="55">
        <f>B218^2</f>
        <v/>
      </c>
      <c r="D218" s="38" t="n">
        <v>4621.05</v>
      </c>
      <c r="E218" s="38">
        <f>4541.138727+0.225904*B218</f>
        <v/>
      </c>
      <c r="F218" s="39">
        <f>D218-E218</f>
        <v/>
      </c>
      <c r="G218" s="38">
        <f>F218^2</f>
        <v/>
      </c>
      <c r="H218" s="37" t="n"/>
      <c r="I218" s="37" t="n"/>
    </row>
    <row r="219" ht="15" customHeight="1" s="28">
      <c r="A219" s="40" t="n">
        <v>206</v>
      </c>
      <c r="B219" s="56" t="n">
        <v>205</v>
      </c>
      <c r="C219" s="56">
        <f>B219^2</f>
        <v/>
      </c>
      <c r="D219" s="41" t="n">
        <v>4630.89</v>
      </c>
      <c r="E219" s="41">
        <f>4541.138727+0.225904*B219</f>
        <v/>
      </c>
      <c r="F219" s="42">
        <f>D219-E219</f>
        <v/>
      </c>
      <c r="G219" s="41">
        <f>F219^2</f>
        <v/>
      </c>
      <c r="H219" s="40" t="n"/>
      <c r="I219" s="40" t="n"/>
    </row>
    <row r="220" ht="15" customHeight="1" s="28">
      <c r="A220" s="37" t="n">
        <v>207</v>
      </c>
      <c r="B220" s="55" t="n">
        <v>206</v>
      </c>
      <c r="C220" s="55">
        <f>B220^2</f>
        <v/>
      </c>
      <c r="D220" s="38" t="n">
        <v>4629.39</v>
      </c>
      <c r="E220" s="38">
        <f>4541.138727+0.225904*B220</f>
        <v/>
      </c>
      <c r="F220" s="39">
        <f>D220-E220</f>
        <v/>
      </c>
      <c r="G220" s="38">
        <f>F220^2</f>
        <v/>
      </c>
      <c r="H220" s="37" t="n"/>
      <c r="I220" s="37" t="n"/>
    </row>
    <row r="221" ht="15" customHeight="1" s="28">
      <c r="A221" s="40" t="n">
        <v>208</v>
      </c>
      <c r="B221" s="56" t="n">
        <v>207</v>
      </c>
      <c r="C221" s="56">
        <f>B221^2</f>
        <v/>
      </c>
      <c r="D221" s="41" t="n">
        <v>4624.38</v>
      </c>
      <c r="E221" s="41">
        <f>4541.138727+0.225904*B221</f>
        <v/>
      </c>
      <c r="F221" s="42">
        <f>D221-E221</f>
        <v/>
      </c>
      <c r="G221" s="41">
        <f>F221^2</f>
        <v/>
      </c>
      <c r="H221" s="40" t="n"/>
      <c r="I221" s="40" t="n"/>
    </row>
    <row r="222" ht="15" customHeight="1" s="28">
      <c r="A222" s="37" t="n">
        <v>209</v>
      </c>
      <c r="B222" s="55" t="n">
        <v>208</v>
      </c>
      <c r="C222" s="55">
        <f>B222^2</f>
        <v/>
      </c>
      <c r="D222" s="38" t="n">
        <v>4619.15</v>
      </c>
      <c r="E222" s="38">
        <f>4541.138727+0.225904*B222</f>
        <v/>
      </c>
      <c r="F222" s="39">
        <f>D222-E222</f>
        <v/>
      </c>
      <c r="G222" s="38">
        <f>F222^2</f>
        <v/>
      </c>
      <c r="H222" s="37" t="n"/>
      <c r="I222" s="37" t="n"/>
    </row>
    <row r="223" ht="15" customHeight="1" s="28">
      <c r="A223" s="40" t="n">
        <v>210</v>
      </c>
      <c r="B223" s="56" t="n">
        <v>209</v>
      </c>
      <c r="C223" s="56">
        <f>B223^2</f>
        <v/>
      </c>
      <c r="D223" s="41" t="n">
        <v>4620.85</v>
      </c>
      <c r="E223" s="41">
        <f>4541.138727+0.225904*B223</f>
        <v/>
      </c>
      <c r="F223" s="42">
        <f>D223-E223</f>
        <v/>
      </c>
      <c r="G223" s="41">
        <f>F223^2</f>
        <v/>
      </c>
      <c r="H223" s="40" t="n"/>
      <c r="I223" s="40" t="n"/>
    </row>
    <row r="224" ht="15" customHeight="1" s="28">
      <c r="A224" s="37" t="n">
        <v>211</v>
      </c>
      <c r="B224" s="55" t="n">
        <v>210</v>
      </c>
      <c r="C224" s="55">
        <f>B224^2</f>
        <v/>
      </c>
      <c r="D224" s="38" t="n">
        <v>4626.13</v>
      </c>
      <c r="E224" s="38">
        <f>4541.138727+0.225904*B224</f>
        <v/>
      </c>
      <c r="F224" s="39">
        <f>D224-E224</f>
        <v/>
      </c>
      <c r="G224" s="38">
        <f>F224^2</f>
        <v/>
      </c>
      <c r="H224" s="37" t="n"/>
      <c r="I224" s="37" t="n"/>
    </row>
    <row r="225" ht="15" customHeight="1" s="28">
      <c r="A225" s="40" t="n">
        <v>212</v>
      </c>
      <c r="B225" s="56" t="n">
        <v>211</v>
      </c>
      <c r="C225" s="56">
        <f>B225^2</f>
        <v/>
      </c>
      <c r="D225" s="41" t="n">
        <v>4626.21</v>
      </c>
      <c r="E225" s="41">
        <f>4541.138727+0.225904*B225</f>
        <v/>
      </c>
      <c r="F225" s="42">
        <f>D225-E225</f>
        <v/>
      </c>
      <c r="G225" s="41">
        <f>F225^2</f>
        <v/>
      </c>
      <c r="H225" s="40" t="n"/>
      <c r="I225" s="40" t="n"/>
    </row>
    <row r="226" ht="15" customHeight="1" s="28">
      <c r="A226" s="37" t="n">
        <v>213</v>
      </c>
      <c r="B226" s="55" t="n">
        <v>212</v>
      </c>
      <c r="C226" s="55">
        <f>B226^2</f>
        <v/>
      </c>
      <c r="D226" s="38" t="n">
        <v>4626.67</v>
      </c>
      <c r="E226" s="38">
        <f>4541.138727+0.225904*B226</f>
        <v/>
      </c>
      <c r="F226" s="39">
        <f>D226-E226</f>
        <v/>
      </c>
      <c r="G226" s="38">
        <f>F226^2</f>
        <v/>
      </c>
      <c r="H226" s="37" t="n"/>
      <c r="I226" s="37" t="n"/>
    </row>
    <row r="227" ht="15" customHeight="1" s="28">
      <c r="A227" s="40" t="n">
        <v>214</v>
      </c>
      <c r="B227" s="56" t="n">
        <v>213</v>
      </c>
      <c r="C227" s="56">
        <f>B227^2</f>
        <v/>
      </c>
      <c r="D227" s="41" t="n">
        <v>4621.93</v>
      </c>
      <c r="E227" s="41">
        <f>4541.138727+0.225904*B227</f>
        <v/>
      </c>
      <c r="F227" s="42">
        <f>D227-E227</f>
        <v/>
      </c>
      <c r="G227" s="41">
        <f>F227^2</f>
        <v/>
      </c>
      <c r="H227" s="40" t="n"/>
      <c r="I227" s="40" t="n"/>
    </row>
    <row r="228" ht="15" customHeight="1" s="28">
      <c r="A228" s="37" t="n">
        <v>215</v>
      </c>
      <c r="B228" s="55" t="n">
        <v>214</v>
      </c>
      <c r="C228" s="55">
        <f>B228^2</f>
        <v/>
      </c>
      <c r="D228" s="38" t="n">
        <v>4617.53</v>
      </c>
      <c r="E228" s="38">
        <f>4541.138727+0.225904*B228</f>
        <v/>
      </c>
      <c r="F228" s="39">
        <f>D228-E228</f>
        <v/>
      </c>
      <c r="G228" s="38">
        <f>F228^2</f>
        <v/>
      </c>
      <c r="H228" s="37" t="n"/>
      <c r="I228" s="37" t="n"/>
    </row>
    <row r="229" ht="15" customHeight="1" s="28">
      <c r="A229" s="40" t="n">
        <v>216</v>
      </c>
      <c r="B229" s="56" t="n">
        <v>215</v>
      </c>
      <c r="C229" s="56">
        <f>B229^2</f>
        <v/>
      </c>
      <c r="D229" s="41" t="n">
        <v>4613.51</v>
      </c>
      <c r="E229" s="41">
        <f>4541.138727+0.225904*B229</f>
        <v/>
      </c>
      <c r="F229" s="42">
        <f>D229-E229</f>
        <v/>
      </c>
      <c r="G229" s="41">
        <f>F229^2</f>
        <v/>
      </c>
      <c r="H229" s="40" t="n"/>
      <c r="I229" s="40" t="n"/>
    </row>
    <row r="230" ht="15" customHeight="1" s="28">
      <c r="A230" s="37" t="n">
        <v>217</v>
      </c>
      <c r="B230" s="55" t="n">
        <v>216</v>
      </c>
      <c r="C230" s="55">
        <f>B230^2</f>
        <v/>
      </c>
      <c r="D230" s="38" t="n">
        <v>4609.18</v>
      </c>
      <c r="E230" s="38">
        <f>4541.138727+0.225904*B230</f>
        <v/>
      </c>
      <c r="F230" s="39">
        <f>D230-E230</f>
        <v/>
      </c>
      <c r="G230" s="38">
        <f>F230^2</f>
        <v/>
      </c>
      <c r="H230" s="37" t="n"/>
      <c r="I230" s="37" t="n"/>
    </row>
    <row r="231" ht="15" customHeight="1" s="28">
      <c r="A231" s="40" t="n">
        <v>218</v>
      </c>
      <c r="B231" s="56" t="n">
        <v>217</v>
      </c>
      <c r="C231" s="56">
        <f>B231^2</f>
        <v/>
      </c>
      <c r="D231" s="41" t="n">
        <v>4614.29</v>
      </c>
      <c r="E231" s="41">
        <f>4541.138727+0.225904*B231</f>
        <v/>
      </c>
      <c r="F231" s="42">
        <f>D231-E231</f>
        <v/>
      </c>
      <c r="G231" s="41">
        <f>F231^2</f>
        <v/>
      </c>
      <c r="H231" s="40" t="n"/>
      <c r="I231" s="40" t="n"/>
    </row>
    <row r="232" ht="15" customHeight="1" s="28">
      <c r="A232" s="37" t="n">
        <v>219</v>
      </c>
      <c r="B232" s="55" t="n">
        <v>218</v>
      </c>
      <c r="C232" s="55">
        <f>B232^2</f>
        <v/>
      </c>
      <c r="D232" s="38" t="n">
        <v>4614.64</v>
      </c>
      <c r="E232" s="38">
        <f>4541.138727+0.225904*B232</f>
        <v/>
      </c>
      <c r="F232" s="39">
        <f>D232-E232</f>
        <v/>
      </c>
      <c r="G232" s="38">
        <f>F232^2</f>
        <v/>
      </c>
      <c r="H232" s="37" t="n"/>
      <c r="I232" s="37" t="n"/>
    </row>
    <row r="233" ht="15" customHeight="1" s="28">
      <c r="A233" s="40" t="n">
        <v>220</v>
      </c>
      <c r="B233" s="56" t="n">
        <v>219</v>
      </c>
      <c r="C233" s="56">
        <f>B233^2</f>
        <v/>
      </c>
      <c r="D233" s="41" t="n">
        <v>4610</v>
      </c>
      <c r="E233" s="41">
        <f>4541.138727+0.225904*B233</f>
        <v/>
      </c>
      <c r="F233" s="42">
        <f>D233-E233</f>
        <v/>
      </c>
      <c r="G233" s="41">
        <f>F233^2</f>
        <v/>
      </c>
      <c r="H233" s="40" t="n"/>
      <c r="I233" s="40" t="n"/>
    </row>
    <row r="234" ht="15" customHeight="1" s="28">
      <c r="A234" s="37" t="n">
        <v>221</v>
      </c>
      <c r="B234" s="55" t="n">
        <v>220</v>
      </c>
      <c r="C234" s="55">
        <f>B234^2</f>
        <v/>
      </c>
      <c r="D234" s="38" t="n">
        <v>4605.03</v>
      </c>
      <c r="E234" s="38">
        <f>4541.138727+0.225904*B234</f>
        <v/>
      </c>
      <c r="F234" s="39">
        <f>D234-E234</f>
        <v/>
      </c>
      <c r="G234" s="38">
        <f>F234^2</f>
        <v/>
      </c>
      <c r="H234" s="37" t="n"/>
      <c r="I234" s="37" t="n"/>
    </row>
    <row r="235" ht="15" customHeight="1" s="28">
      <c r="A235" s="40" t="n">
        <v>222</v>
      </c>
      <c r="B235" s="56" t="n">
        <v>221</v>
      </c>
      <c r="C235" s="56">
        <f>B235^2</f>
        <v/>
      </c>
      <c r="D235" s="41" t="n">
        <v>4601.49</v>
      </c>
      <c r="E235" s="41">
        <f>4541.138727+0.225904*B235</f>
        <v/>
      </c>
      <c r="F235" s="42">
        <f>D235-E235</f>
        <v/>
      </c>
      <c r="G235" s="41">
        <f>F235^2</f>
        <v/>
      </c>
      <c r="H235" s="40" t="n"/>
      <c r="I235" s="40" t="n"/>
    </row>
    <row r="236" ht="15" customHeight="1" s="28">
      <c r="A236" s="37" t="n">
        <v>223</v>
      </c>
      <c r="B236" s="55" t="n">
        <v>222</v>
      </c>
      <c r="C236" s="55">
        <f>B236^2</f>
        <v/>
      </c>
      <c r="D236" s="38" t="n">
        <v>4593.44</v>
      </c>
      <c r="E236" s="38">
        <f>4541.138727+0.225904*B236</f>
        <v/>
      </c>
      <c r="F236" s="39">
        <f>D236-E236</f>
        <v/>
      </c>
      <c r="G236" s="38">
        <f>F236^2</f>
        <v/>
      </c>
      <c r="H236" s="37" t="n"/>
      <c r="I236" s="37" t="n"/>
    </row>
    <row r="237" ht="15" customHeight="1" s="28">
      <c r="A237" s="40" t="n">
        <v>224</v>
      </c>
      <c r="B237" s="56" t="n">
        <v>223</v>
      </c>
      <c r="C237" s="56">
        <f>B237^2</f>
        <v/>
      </c>
      <c r="D237" s="41" t="n">
        <v>4593.36</v>
      </c>
      <c r="E237" s="41">
        <f>4541.138727+0.225904*B237</f>
        <v/>
      </c>
      <c r="F237" s="42">
        <f>D237-E237</f>
        <v/>
      </c>
      <c r="G237" s="41">
        <f>F237^2</f>
        <v/>
      </c>
      <c r="H237" s="40" t="n"/>
      <c r="I237" s="40" t="n"/>
    </row>
    <row r="238" ht="15" customHeight="1" s="28">
      <c r="A238" s="37" t="n">
        <v>225</v>
      </c>
      <c r="B238" s="55" t="n">
        <v>224</v>
      </c>
      <c r="C238" s="55">
        <f>B238^2</f>
        <v/>
      </c>
      <c r="D238" s="38" t="n">
        <v>4594.77</v>
      </c>
      <c r="E238" s="38">
        <f>4541.138727+0.225904*B238</f>
        <v/>
      </c>
      <c r="F238" s="39">
        <f>D238-E238</f>
        <v/>
      </c>
      <c r="G238" s="38">
        <f>F238^2</f>
        <v/>
      </c>
      <c r="H238" s="37" t="n"/>
      <c r="I238" s="37" t="n"/>
    </row>
    <row r="239" ht="15" customHeight="1" s="28">
      <c r="A239" s="40" t="n">
        <v>226</v>
      </c>
      <c r="B239" s="56" t="n">
        <v>225</v>
      </c>
      <c r="C239" s="56">
        <f>B239^2</f>
        <v/>
      </c>
      <c r="D239" s="41" t="n">
        <v>4595.97</v>
      </c>
      <c r="E239" s="41">
        <f>4541.138727+0.225904*B239</f>
        <v/>
      </c>
      <c r="F239" s="42">
        <f>D239-E239</f>
        <v/>
      </c>
      <c r="G239" s="41">
        <f>F239^2</f>
        <v/>
      </c>
      <c r="H239" s="40" t="n"/>
      <c r="I239" s="40" t="n"/>
    </row>
    <row r="240" ht="15" customHeight="1" s="28">
      <c r="A240" s="37" t="n">
        <v>227</v>
      </c>
      <c r="B240" s="55" t="n">
        <v>226</v>
      </c>
      <c r="C240" s="55">
        <f>B240^2</f>
        <v/>
      </c>
      <c r="D240" s="38" t="n">
        <v>4592.32</v>
      </c>
      <c r="E240" s="38">
        <f>4541.138727+0.225904*B240</f>
        <v/>
      </c>
      <c r="F240" s="39">
        <f>D240-E240</f>
        <v/>
      </c>
      <c r="G240" s="38">
        <f>F240^2</f>
        <v/>
      </c>
      <c r="H240" s="37" t="n"/>
      <c r="I240" s="37" t="n"/>
    </row>
    <row r="241" ht="15" customHeight="1" s="28">
      <c r="A241" s="40" t="n">
        <v>228</v>
      </c>
      <c r="B241" s="56" t="n">
        <v>227</v>
      </c>
      <c r="C241" s="56">
        <f>B241^2</f>
        <v/>
      </c>
      <c r="D241" s="41" t="n">
        <v>4585.41</v>
      </c>
      <c r="E241" s="41">
        <f>4541.138727+0.225904*B241</f>
        <v/>
      </c>
      <c r="F241" s="42">
        <f>D241-E241</f>
        <v/>
      </c>
      <c r="G241" s="41">
        <f>F241^2</f>
        <v/>
      </c>
      <c r="H241" s="40" t="n"/>
      <c r="I241" s="40" t="n"/>
    </row>
    <row r="242" ht="15" customHeight="1" s="28">
      <c r="A242" s="37" t="n">
        <v>229</v>
      </c>
      <c r="B242" s="55" t="n">
        <v>228</v>
      </c>
      <c r="C242" s="55">
        <f>B242^2</f>
        <v/>
      </c>
      <c r="D242" s="38" t="n">
        <v>4578.16</v>
      </c>
      <c r="E242" s="38">
        <f>4541.138727+0.225904*B242</f>
        <v/>
      </c>
      <c r="F242" s="39">
        <f>D242-E242</f>
        <v/>
      </c>
      <c r="G242" s="38">
        <f>F242^2</f>
        <v/>
      </c>
      <c r="H242" s="37" t="n"/>
      <c r="I242" s="37" t="n"/>
    </row>
    <row r="243" ht="15" customHeight="1" s="28">
      <c r="A243" s="40" t="n">
        <v>230</v>
      </c>
      <c r="B243" s="56" t="n">
        <v>229</v>
      </c>
      <c r="C243" s="56">
        <f>B243^2</f>
        <v/>
      </c>
      <c r="D243" s="41" t="n">
        <v>4574.06</v>
      </c>
      <c r="E243" s="41">
        <f>4541.138727+0.225904*B243</f>
        <v/>
      </c>
      <c r="F243" s="42">
        <f>D243-E243</f>
        <v/>
      </c>
      <c r="G243" s="41">
        <f>F243^2</f>
        <v/>
      </c>
      <c r="H243" s="40" t="n"/>
      <c r="I243" s="40" t="n"/>
    </row>
    <row r="244" ht="15" customHeight="1" s="28">
      <c r="A244" s="37" t="n">
        <v>231</v>
      </c>
      <c r="B244" s="55" t="n">
        <v>230</v>
      </c>
      <c r="C244" s="55">
        <f>B244^2</f>
        <v/>
      </c>
      <c r="D244" s="38" t="n">
        <v>4567.37</v>
      </c>
      <c r="E244" s="38">
        <f>4541.138727+0.225904*B244</f>
        <v/>
      </c>
      <c r="F244" s="39">
        <f>D244-E244</f>
        <v/>
      </c>
      <c r="G244" s="38">
        <f>F244^2</f>
        <v/>
      </c>
      <c r="H244" s="37" t="n"/>
      <c r="I244" s="37" t="n"/>
    </row>
    <row r="245" ht="15" customHeight="1" s="28">
      <c r="A245" s="40" t="n">
        <v>232</v>
      </c>
      <c r="B245" s="56" t="n">
        <v>231</v>
      </c>
      <c r="C245" s="56">
        <f>B245^2</f>
        <v/>
      </c>
      <c r="D245" s="41" t="n">
        <v>4571.29</v>
      </c>
      <c r="E245" s="41">
        <f>4541.138727+0.225904*B245</f>
        <v/>
      </c>
      <c r="F245" s="42">
        <f>D245-E245</f>
        <v/>
      </c>
      <c r="G245" s="41">
        <f>F245^2</f>
        <v/>
      </c>
      <c r="H245" s="40" t="n"/>
      <c r="I245" s="40" t="n"/>
    </row>
    <row r="246" ht="15" customHeight="1" s="28">
      <c r="A246" s="37" t="n">
        <v>233</v>
      </c>
      <c r="B246" s="55" t="n">
        <v>232</v>
      </c>
      <c r="C246" s="55">
        <f>B246^2</f>
        <v/>
      </c>
      <c r="D246" s="38" t="n">
        <v>4568.51</v>
      </c>
      <c r="E246" s="38">
        <f>4541.138727+0.225904*B246</f>
        <v/>
      </c>
      <c r="F246" s="39">
        <f>D246-E246</f>
        <v/>
      </c>
      <c r="G246" s="38">
        <f>F246^2</f>
        <v/>
      </c>
      <c r="H246" s="37" t="n"/>
      <c r="I246" s="37" t="n"/>
    </row>
    <row r="247" ht="15" customHeight="1" s="28">
      <c r="A247" s="40" t="n">
        <v>234</v>
      </c>
      <c r="B247" s="56" t="n">
        <v>233</v>
      </c>
      <c r="C247" s="56">
        <f>B247^2</f>
        <v/>
      </c>
      <c r="D247" s="41" t="n">
        <v>4565.87</v>
      </c>
      <c r="E247" s="41">
        <f>4541.138727+0.225904*B247</f>
        <v/>
      </c>
      <c r="F247" s="42">
        <f>D247-E247</f>
        <v/>
      </c>
      <c r="G247" s="41">
        <f>F247^2</f>
        <v/>
      </c>
      <c r="H247" s="40" t="n"/>
      <c r="I247" s="40" t="n"/>
    </row>
    <row r="248" ht="15" customHeight="1" s="28">
      <c r="A248" s="37" t="n">
        <v>235</v>
      </c>
      <c r="B248" s="55" t="n">
        <v>234</v>
      </c>
      <c r="C248" s="55">
        <f>B248^2</f>
        <v/>
      </c>
      <c r="D248" s="38" t="n">
        <v>4569.29</v>
      </c>
      <c r="E248" s="38">
        <f>4541.138727+0.225904*B248</f>
        <v/>
      </c>
      <c r="F248" s="39">
        <f>D248-E248</f>
        <v/>
      </c>
      <c r="G248" s="38">
        <f>F248^2</f>
        <v/>
      </c>
      <c r="H248" s="37" t="n"/>
      <c r="I248" s="37" t="n"/>
    </row>
    <row r="249" ht="15" customHeight="1" s="28">
      <c r="A249" s="40" t="n">
        <v>236</v>
      </c>
      <c r="B249" s="56" t="n">
        <v>235</v>
      </c>
      <c r="C249" s="56">
        <f>B249^2</f>
        <v/>
      </c>
      <c r="D249" s="41" t="n">
        <v>4570.62</v>
      </c>
      <c r="E249" s="41">
        <f>4541.138727+0.225904*B249</f>
        <v/>
      </c>
      <c r="F249" s="42">
        <f>D249-E249</f>
        <v/>
      </c>
      <c r="G249" s="41">
        <f>F249^2</f>
        <v/>
      </c>
      <c r="H249" s="40" t="n"/>
      <c r="I249" s="40" t="n"/>
    </row>
    <row r="250" ht="15" customHeight="1" s="28">
      <c r="A250" s="37" t="n">
        <v>237</v>
      </c>
      <c r="B250" s="55" t="n">
        <v>236</v>
      </c>
      <c r="C250" s="55">
        <f>B250^2</f>
        <v/>
      </c>
      <c r="D250" s="38" t="n">
        <v>4563.12</v>
      </c>
      <c r="E250" s="38">
        <f>4541.138727+0.225904*B250</f>
        <v/>
      </c>
      <c r="F250" s="39">
        <f>D250-E250</f>
        <v/>
      </c>
      <c r="G250" s="38">
        <f>F250^2</f>
        <v/>
      </c>
      <c r="H250" s="37" t="n"/>
      <c r="I250" s="37" t="n"/>
    </row>
    <row r="251" ht="15" customHeight="1" s="28">
      <c r="A251" s="40" t="n">
        <v>238</v>
      </c>
      <c r="B251" s="56" t="n">
        <v>237</v>
      </c>
      <c r="C251" s="56">
        <f>B251^2</f>
        <v/>
      </c>
      <c r="D251" s="41" t="n">
        <v>4566.78</v>
      </c>
      <c r="E251" s="41">
        <f>4541.138727+0.225904*B251</f>
        <v/>
      </c>
      <c r="F251" s="42">
        <f>D251-E251</f>
        <v/>
      </c>
      <c r="G251" s="41">
        <f>F251^2</f>
        <v/>
      </c>
      <c r="H251" s="40" t="n"/>
      <c r="I251" s="40" t="n"/>
    </row>
    <row r="252" ht="15" customHeight="1" s="28">
      <c r="A252" s="37" t="n">
        <v>239</v>
      </c>
      <c r="B252" s="55" t="n">
        <v>238</v>
      </c>
      <c r="C252" s="55">
        <f>B252^2</f>
        <v/>
      </c>
      <c r="D252" s="38" t="n">
        <v>4572.18</v>
      </c>
      <c r="E252" s="38">
        <f>4541.138727+0.225904*B252</f>
        <v/>
      </c>
      <c r="F252" s="39">
        <f>D252-E252</f>
        <v/>
      </c>
      <c r="G252" s="38">
        <f>F252^2</f>
        <v/>
      </c>
      <c r="H252" s="37" t="n"/>
      <c r="I252" s="37" t="n"/>
    </row>
    <row r="253" ht="15" customHeight="1" s="28">
      <c r="A253" s="40" t="n">
        <v>240</v>
      </c>
      <c r="B253" s="56" t="n">
        <v>239</v>
      </c>
      <c r="C253" s="56">
        <f>B253^2</f>
        <v/>
      </c>
      <c r="D253" s="41" t="n">
        <v>4570.49</v>
      </c>
      <c r="E253" s="41">
        <f>4541.138727+0.225904*B253</f>
        <v/>
      </c>
      <c r="F253" s="42">
        <f>D253-E253</f>
        <v/>
      </c>
      <c r="G253" s="41">
        <f>F253^2</f>
        <v/>
      </c>
      <c r="H253" s="40" t="n"/>
      <c r="I253" s="40" t="n"/>
    </row>
    <row r="254" ht="15" customHeight="1" s="28">
      <c r="A254" s="37" t="n">
        <v>241</v>
      </c>
      <c r="B254" s="55" t="n">
        <v>240</v>
      </c>
      <c r="C254" s="55">
        <f>B254^2</f>
        <v/>
      </c>
      <c r="D254" s="38" t="n">
        <v>4566.67</v>
      </c>
      <c r="E254" s="38">
        <f>4541.138727+0.225904*B254</f>
        <v/>
      </c>
      <c r="F254" s="39">
        <f>D254-E254</f>
        <v/>
      </c>
      <c r="G254" s="38">
        <f>F254^2</f>
        <v/>
      </c>
      <c r="H254" s="37" t="n"/>
      <c r="I254" s="37" t="n"/>
    </row>
    <row r="255" ht="15" customHeight="1" s="28">
      <c r="A255" s="40" t="n">
        <v>242</v>
      </c>
      <c r="B255" s="56" t="n">
        <v>241</v>
      </c>
      <c r="C255" s="56">
        <f>B255^2</f>
        <v/>
      </c>
      <c r="D255" s="41" t="n">
        <v>4565.94</v>
      </c>
      <c r="E255" s="41">
        <f>4541.138727+0.225904*B255</f>
        <v/>
      </c>
      <c r="F255" s="42">
        <f>D255-E255</f>
        <v/>
      </c>
      <c r="G255" s="41">
        <f>F255^2</f>
        <v/>
      </c>
      <c r="H255" s="40" t="n"/>
      <c r="I255" s="40" t="n"/>
    </row>
    <row r="256" ht="15" customHeight="1" s="28">
      <c r="A256" s="37" t="n">
        <v>243</v>
      </c>
      <c r="B256" s="55" t="n">
        <v>242</v>
      </c>
      <c r="C256" s="55">
        <f>B256^2</f>
        <v/>
      </c>
      <c r="D256" s="38" t="n">
        <v>4572.03</v>
      </c>
      <c r="E256" s="38">
        <f>4541.138727+0.225904*B256</f>
        <v/>
      </c>
      <c r="F256" s="39">
        <f>D256-E256</f>
        <v/>
      </c>
      <c r="G256" s="38">
        <f>F256^2</f>
        <v/>
      </c>
      <c r="H256" s="37" t="n"/>
      <c r="I256" s="37" t="n"/>
    </row>
    <row r="257" ht="15" customHeight="1" s="28">
      <c r="A257" s="40" t="n">
        <v>244</v>
      </c>
      <c r="B257" s="56" t="n">
        <v>243</v>
      </c>
      <c r="C257" s="56">
        <f>B257^2</f>
        <v/>
      </c>
      <c r="D257" s="41" t="n">
        <v>4575.75</v>
      </c>
      <c r="E257" s="41">
        <f>4541.138727+0.225904*B257</f>
        <v/>
      </c>
      <c r="F257" s="42">
        <f>D257-E257</f>
        <v/>
      </c>
      <c r="G257" s="41">
        <f>F257^2</f>
        <v/>
      </c>
      <c r="H257" s="40" t="n"/>
      <c r="I257" s="40" t="n"/>
    </row>
    <row r="258" ht="15" customHeight="1" s="28">
      <c r="A258" s="37" t="n">
        <v>245</v>
      </c>
      <c r="B258" s="55" t="n">
        <v>244</v>
      </c>
      <c r="C258" s="55">
        <f>B258^2</f>
        <v/>
      </c>
      <c r="D258" s="38" t="n">
        <v>4578.84</v>
      </c>
      <c r="E258" s="38">
        <f>4541.138727+0.225904*B258</f>
        <v/>
      </c>
      <c r="F258" s="39">
        <f>D258-E258</f>
        <v/>
      </c>
      <c r="G258" s="38">
        <f>F258^2</f>
        <v/>
      </c>
      <c r="H258" s="37" t="n"/>
      <c r="I258" s="37" t="n"/>
    </row>
    <row r="259" ht="15" customHeight="1" s="28">
      <c r="A259" s="40" t="n">
        <v>246</v>
      </c>
      <c r="B259" s="56" t="n">
        <v>245</v>
      </c>
      <c r="C259" s="56">
        <f>B259^2</f>
        <v/>
      </c>
      <c r="D259" s="41" t="n">
        <v>4584.86</v>
      </c>
      <c r="E259" s="41">
        <f>4541.138727+0.225904*B259</f>
        <v/>
      </c>
      <c r="F259" s="42">
        <f>D259-E259</f>
        <v/>
      </c>
      <c r="G259" s="41">
        <f>F259^2</f>
        <v/>
      </c>
      <c r="H259" s="40" t="n"/>
      <c r="I259" s="40" t="n"/>
    </row>
    <row r="260" ht="15" customHeight="1" s="28">
      <c r="A260" s="37" t="n">
        <v>247</v>
      </c>
      <c r="B260" s="55" t="n">
        <v>246</v>
      </c>
      <c r="C260" s="55">
        <f>B260^2</f>
        <v/>
      </c>
      <c r="D260" s="38" t="n">
        <v>4602.95</v>
      </c>
      <c r="E260" s="38">
        <f>4541.138727+0.225904*B260</f>
        <v/>
      </c>
      <c r="F260" s="39">
        <f>D260-E260</f>
        <v/>
      </c>
      <c r="G260" s="38">
        <f>F260^2</f>
        <v/>
      </c>
      <c r="H260" s="37" t="n"/>
      <c r="I260" s="37" t="n"/>
    </row>
    <row r="261" ht="15" customHeight="1" s="28">
      <c r="A261" s="40" t="n">
        <v>248</v>
      </c>
      <c r="B261" s="56" t="n">
        <v>247</v>
      </c>
      <c r="C261" s="56">
        <f>B261^2</f>
        <v/>
      </c>
      <c r="D261" s="41" t="n">
        <v>4591.95</v>
      </c>
      <c r="E261" s="41">
        <f>4541.138727+0.225904*B261</f>
        <v/>
      </c>
      <c r="F261" s="42">
        <f>D261-E261</f>
        <v/>
      </c>
      <c r="G261" s="41">
        <f>F261^2</f>
        <v/>
      </c>
      <c r="H261" s="40" t="n"/>
      <c r="I261" s="40" t="n"/>
    </row>
    <row r="262" ht="15" customHeight="1" s="28">
      <c r="A262" s="37" t="n">
        <v>249</v>
      </c>
      <c r="B262" s="55" t="n">
        <v>248</v>
      </c>
      <c r="C262" s="55">
        <f>B262^2</f>
        <v/>
      </c>
      <c r="D262" s="38" t="n">
        <v>4591.18</v>
      </c>
      <c r="E262" s="38">
        <f>4541.138727+0.225904*B262</f>
        <v/>
      </c>
      <c r="F262" s="39">
        <f>D262-E262</f>
        <v/>
      </c>
      <c r="G262" s="38">
        <f>F262^2</f>
        <v/>
      </c>
      <c r="H262" s="37" t="n"/>
      <c r="I262" s="37" t="n"/>
    </row>
    <row r="263" ht="15" customHeight="1" s="28">
      <c r="A263" s="40" t="n">
        <v>250</v>
      </c>
      <c r="B263" s="56" t="n">
        <v>249</v>
      </c>
      <c r="C263" s="56">
        <f>B263^2</f>
        <v/>
      </c>
      <c r="D263" s="41" t="n">
        <v>4591.32</v>
      </c>
      <c r="E263" s="41">
        <f>4541.138727+0.225904*B263</f>
        <v/>
      </c>
      <c r="F263" s="42">
        <f>D263-E263</f>
        <v/>
      </c>
      <c r="G263" s="41">
        <f>F263^2</f>
        <v/>
      </c>
      <c r="H263" s="40" t="n"/>
      <c r="I263" s="40" t="n"/>
    </row>
    <row r="264" ht="15" customHeight="1" s="28">
      <c r="A264" s="37" t="n">
        <v>251</v>
      </c>
      <c r="B264" s="55" t="n">
        <v>250</v>
      </c>
      <c r="C264" s="55">
        <f>B264^2</f>
        <v/>
      </c>
      <c r="D264" s="38" t="n">
        <v>4589.2</v>
      </c>
      <c r="E264" s="38">
        <f>4541.138727+0.225904*B264</f>
        <v/>
      </c>
      <c r="F264" s="39">
        <f>D264-E264</f>
        <v/>
      </c>
      <c r="G264" s="38">
        <f>F264^2</f>
        <v/>
      </c>
      <c r="H264" s="37" t="n"/>
      <c r="I264" s="37" t="n"/>
    </row>
    <row r="265" ht="15" customHeight="1" s="28">
      <c r="A265" s="40" t="n">
        <v>252</v>
      </c>
      <c r="B265" s="56" t="n">
        <v>251</v>
      </c>
      <c r="C265" s="56">
        <f>B265^2</f>
        <v/>
      </c>
      <c r="D265" s="41" t="n">
        <v>4608.07</v>
      </c>
      <c r="E265" s="41">
        <f>4541.138727+0.225904*B265</f>
        <v/>
      </c>
      <c r="F265" s="42">
        <f>D265-E265</f>
        <v/>
      </c>
      <c r="G265" s="41">
        <f>F265^2</f>
        <v/>
      </c>
      <c r="H265" s="40" t="n"/>
      <c r="I265" s="40" t="n"/>
    </row>
    <row r="266" ht="15" customHeight="1" s="28">
      <c r="A266" s="37" t="n">
        <v>253</v>
      </c>
      <c r="B266" s="55" t="n">
        <v>252</v>
      </c>
      <c r="C266" s="55">
        <f>B266^2</f>
        <v/>
      </c>
      <c r="D266" s="38" t="n">
        <v>4625.7</v>
      </c>
      <c r="E266" s="38">
        <f>4541.138727+0.225904*B266</f>
        <v/>
      </c>
      <c r="F266" s="39">
        <f>D266-E266</f>
        <v/>
      </c>
      <c r="G266" s="38">
        <f>F266^2</f>
        <v/>
      </c>
      <c r="H266" s="37" t="n"/>
      <c r="I266" s="37" t="n"/>
    </row>
    <row r="267" ht="15" customHeight="1" s="28">
      <c r="A267" s="40" t="n">
        <v>254</v>
      </c>
      <c r="B267" s="56" t="n">
        <v>253</v>
      </c>
      <c r="C267" s="56">
        <f>B267^2</f>
        <v/>
      </c>
      <c r="D267" s="41" t="n">
        <v>4656.06</v>
      </c>
      <c r="E267" s="41">
        <f>4541.138727+0.225904*B267</f>
        <v/>
      </c>
      <c r="F267" s="42">
        <f>D267-E267</f>
        <v/>
      </c>
      <c r="G267" s="41">
        <f>F267^2</f>
        <v/>
      </c>
      <c r="H267" s="40" t="n"/>
      <c r="I267" s="40" t="n"/>
    </row>
    <row r="268" ht="15" customHeight="1" s="28">
      <c r="A268" s="37" t="n">
        <v>255</v>
      </c>
      <c r="B268" s="55" t="n">
        <v>254</v>
      </c>
      <c r="C268" s="55">
        <f>B268^2</f>
        <v/>
      </c>
      <c r="D268" s="38" t="n">
        <v>4644.67</v>
      </c>
      <c r="E268" s="38">
        <f>4541.138727+0.225904*B268</f>
        <v/>
      </c>
      <c r="F268" s="39">
        <f>D268-E268</f>
        <v/>
      </c>
      <c r="G268" s="38">
        <f>F268^2</f>
        <v/>
      </c>
      <c r="H268" s="37" t="n"/>
      <c r="I268" s="37" t="n"/>
    </row>
    <row r="269" ht="15" customHeight="1" s="28">
      <c r="A269" s="40" t="n">
        <v>256</v>
      </c>
      <c r="B269" s="56" t="n">
        <v>255</v>
      </c>
      <c r="C269" s="56">
        <f>B269^2</f>
        <v/>
      </c>
      <c r="D269" s="41" t="n">
        <v>4633.23</v>
      </c>
      <c r="E269" s="41">
        <f>4541.138727+0.225904*B269</f>
        <v/>
      </c>
      <c r="F269" s="42">
        <f>D269-E269</f>
        <v/>
      </c>
      <c r="G269" s="41">
        <f>F269^2</f>
        <v/>
      </c>
      <c r="H269" s="40" t="n"/>
      <c r="I269" s="40" t="n"/>
    </row>
    <row r="270" ht="15" customHeight="1" s="28">
      <c r="A270" s="37" t="n">
        <v>257</v>
      </c>
      <c r="B270" s="55" t="n">
        <v>256</v>
      </c>
      <c r="C270" s="55">
        <f>B270^2</f>
        <v/>
      </c>
      <c r="D270" s="38" t="n">
        <v>4632.21</v>
      </c>
      <c r="E270" s="38">
        <f>4541.138727+0.225904*B270</f>
        <v/>
      </c>
      <c r="F270" s="39">
        <f>D270-E270</f>
        <v/>
      </c>
      <c r="G270" s="38">
        <f>F270^2</f>
        <v/>
      </c>
      <c r="H270" s="37" t="n"/>
      <c r="I270" s="37" t="n"/>
    </row>
    <row r="271" ht="15" customHeight="1" s="28">
      <c r="A271" s="40" t="n">
        <v>258</v>
      </c>
      <c r="B271" s="56" t="n">
        <v>257</v>
      </c>
      <c r="C271" s="56">
        <f>B271^2</f>
        <v/>
      </c>
      <c r="D271" s="41" t="n">
        <v>4636.58</v>
      </c>
      <c r="E271" s="41">
        <f>4541.138727+0.225904*B271</f>
        <v/>
      </c>
      <c r="F271" s="42">
        <f>D271-E271</f>
        <v/>
      </c>
      <c r="G271" s="41">
        <f>F271^2</f>
        <v/>
      </c>
      <c r="H271" s="40" t="n"/>
      <c r="I271" s="40" t="n"/>
    </row>
    <row r="272" ht="15" customHeight="1" s="28">
      <c r="A272" s="37" t="n">
        <v>259</v>
      </c>
      <c r="B272" s="55" t="n">
        <v>258</v>
      </c>
      <c r="C272" s="55">
        <f>B272^2</f>
        <v/>
      </c>
      <c r="D272" s="38" t="n">
        <v>4636.46</v>
      </c>
      <c r="E272" s="38">
        <f>4541.138727+0.225904*B272</f>
        <v/>
      </c>
      <c r="F272" s="39">
        <f>D272-E272</f>
        <v/>
      </c>
      <c r="G272" s="38">
        <f>F272^2</f>
        <v/>
      </c>
      <c r="H272" s="37" t="n"/>
      <c r="I272" s="37" t="n"/>
    </row>
    <row r="273" ht="15" customHeight="1" s="28">
      <c r="A273" s="40" t="n">
        <v>260</v>
      </c>
      <c r="B273" s="56" t="n">
        <v>259</v>
      </c>
      <c r="C273" s="56">
        <f>B273^2</f>
        <v/>
      </c>
      <c r="D273" s="41" t="n">
        <v>4643.6</v>
      </c>
      <c r="E273" s="41">
        <f>4541.138727+0.225904*B273</f>
        <v/>
      </c>
      <c r="F273" s="42">
        <f>D273-E273</f>
        <v/>
      </c>
      <c r="G273" s="41">
        <f>F273^2</f>
        <v/>
      </c>
      <c r="H273" s="40" t="n"/>
      <c r="I273" s="40" t="n"/>
    </row>
    <row r="274" ht="15" customHeight="1" s="28">
      <c r="A274" s="37" t="n">
        <v>261</v>
      </c>
      <c r="B274" s="55" t="n">
        <v>260</v>
      </c>
      <c r="C274" s="55">
        <f>B274^2</f>
        <v/>
      </c>
      <c r="D274" s="38" t="n">
        <v>4643.3</v>
      </c>
      <c r="E274" s="38">
        <f>4541.138727+0.225904*B274</f>
        <v/>
      </c>
      <c r="F274" s="39">
        <f>D274-E274</f>
        <v/>
      </c>
      <c r="G274" s="38">
        <f>F274^2</f>
        <v/>
      </c>
      <c r="H274" s="37" t="n"/>
      <c r="I274" s="37" t="n"/>
    </row>
    <row r="275" ht="15" customHeight="1" s="28">
      <c r="A275" s="40" t="n">
        <v>262</v>
      </c>
      <c r="B275" s="56" t="n">
        <v>261</v>
      </c>
      <c r="C275" s="56">
        <f>B275^2</f>
        <v/>
      </c>
      <c r="D275" s="41" t="n">
        <v>4642.75</v>
      </c>
      <c r="E275" s="41">
        <f>4541.138727+0.225904*B275</f>
        <v/>
      </c>
      <c r="F275" s="42">
        <f>D275-E275</f>
        <v/>
      </c>
      <c r="G275" s="41">
        <f>F275^2</f>
        <v/>
      </c>
      <c r="H275" s="40" t="n"/>
      <c r="I275" s="40" t="n"/>
    </row>
    <row r="276" ht="15" customHeight="1" s="28">
      <c r="A276" s="37" t="n">
        <v>263</v>
      </c>
      <c r="B276" s="55" t="n">
        <v>262</v>
      </c>
      <c r="C276" s="55">
        <f>B276^2</f>
        <v/>
      </c>
      <c r="D276" s="38" t="n">
        <v>4637.96</v>
      </c>
      <c r="E276" s="38">
        <f>4541.138727+0.225904*B276</f>
        <v/>
      </c>
      <c r="F276" s="39">
        <f>D276-E276</f>
        <v/>
      </c>
      <c r="G276" s="38">
        <f>F276^2</f>
        <v/>
      </c>
      <c r="H276" s="37" t="n"/>
      <c r="I276" s="37" t="n"/>
    </row>
    <row r="277" ht="15" customHeight="1" s="28">
      <c r="A277" s="40" t="n">
        <v>264</v>
      </c>
      <c r="B277" s="56" t="n">
        <v>263</v>
      </c>
      <c r="C277" s="56">
        <f>B277^2</f>
        <v/>
      </c>
      <c r="D277" s="41" t="n">
        <v>4638.86</v>
      </c>
      <c r="E277" s="41">
        <f>4541.138727+0.225904*B277</f>
        <v/>
      </c>
      <c r="F277" s="42">
        <f>D277-E277</f>
        <v/>
      </c>
      <c r="G277" s="41">
        <f>F277^2</f>
        <v/>
      </c>
      <c r="H277" s="40" t="n"/>
      <c r="I277" s="40" t="n"/>
    </row>
    <row r="278" ht="15" customHeight="1" s="28">
      <c r="A278" s="37" t="n">
        <v>265</v>
      </c>
      <c r="B278" s="55" t="n">
        <v>264</v>
      </c>
      <c r="C278" s="55">
        <f>B278^2</f>
        <v/>
      </c>
      <c r="D278" s="38" t="n">
        <v>4638.72</v>
      </c>
      <c r="E278" s="38">
        <f>4541.138727+0.225904*B278</f>
        <v/>
      </c>
      <c r="F278" s="39">
        <f>D278-E278</f>
        <v/>
      </c>
      <c r="G278" s="38">
        <f>F278^2</f>
        <v/>
      </c>
      <c r="H278" s="37" t="n"/>
      <c r="I278" s="37" t="n"/>
    </row>
    <row r="279" ht="15" customHeight="1" s="28">
      <c r="A279" s="40" t="n">
        <v>266</v>
      </c>
      <c r="B279" s="56" t="n">
        <v>265</v>
      </c>
      <c r="C279" s="56">
        <f>B279^2</f>
        <v/>
      </c>
      <c r="D279" s="41" t="n">
        <v>4639.73</v>
      </c>
      <c r="E279" s="41">
        <f>4541.138727+0.225904*B279</f>
        <v/>
      </c>
      <c r="F279" s="42">
        <f>D279-E279</f>
        <v/>
      </c>
      <c r="G279" s="41">
        <f>F279^2</f>
        <v/>
      </c>
      <c r="H279" s="40" t="n"/>
      <c r="I279" s="40" t="n"/>
    </row>
    <row r="280" ht="15" customHeight="1" s="28">
      <c r="A280" s="37" t="n">
        <v>267</v>
      </c>
      <c r="B280" s="55" t="n">
        <v>266</v>
      </c>
      <c r="C280" s="55">
        <f>B280^2</f>
        <v/>
      </c>
      <c r="D280" s="38" t="n">
        <v>4631.67</v>
      </c>
      <c r="E280" s="38">
        <f>4541.138727+0.225904*B280</f>
        <v/>
      </c>
      <c r="F280" s="39">
        <f>D280-E280</f>
        <v/>
      </c>
      <c r="G280" s="38">
        <f>F280^2</f>
        <v/>
      </c>
      <c r="H280" s="37" t="n"/>
      <c r="I280" s="37" t="n"/>
    </row>
    <row r="281" ht="15" customHeight="1" s="28">
      <c r="A281" s="40" t="n">
        <v>268</v>
      </c>
      <c r="B281" s="56" t="n">
        <v>267</v>
      </c>
      <c r="C281" s="56">
        <f>B281^2</f>
        <v/>
      </c>
      <c r="D281" s="41" t="n">
        <v>4628</v>
      </c>
      <c r="E281" s="41">
        <f>4541.138727+0.225904*B281</f>
        <v/>
      </c>
      <c r="F281" s="42">
        <f>D281-E281</f>
        <v/>
      </c>
      <c r="G281" s="41">
        <f>F281^2</f>
        <v/>
      </c>
      <c r="H281" s="40" t="n"/>
      <c r="I281" s="40" t="n"/>
    </row>
    <row r="282" ht="15" customHeight="1" s="28">
      <c r="A282" s="37" t="n">
        <v>269</v>
      </c>
      <c r="B282" s="55" t="n">
        <v>268</v>
      </c>
      <c r="C282" s="55">
        <f>B282^2</f>
        <v/>
      </c>
      <c r="D282" s="38" t="n">
        <v>4629.43</v>
      </c>
      <c r="E282" s="38">
        <f>4541.138727+0.225904*B282</f>
        <v/>
      </c>
      <c r="F282" s="39">
        <f>D282-E282</f>
        <v/>
      </c>
      <c r="G282" s="38">
        <f>F282^2</f>
        <v/>
      </c>
      <c r="H282" s="37" t="n"/>
      <c r="I282" s="37" t="n"/>
    </row>
    <row r="283" ht="15" customHeight="1" s="28">
      <c r="A283" s="40" t="n">
        <v>270</v>
      </c>
      <c r="B283" s="56" t="n">
        <v>269</v>
      </c>
      <c r="C283" s="56">
        <f>B283^2</f>
        <v/>
      </c>
      <c r="D283" s="41" t="n">
        <v>4615.72</v>
      </c>
      <c r="E283" s="41">
        <f>4541.138727+0.225904*B283</f>
        <v/>
      </c>
      <c r="F283" s="42">
        <f>D283-E283</f>
        <v/>
      </c>
      <c r="G283" s="41">
        <f>F283^2</f>
        <v/>
      </c>
      <c r="H283" s="40" t="n"/>
      <c r="I283" s="40" t="n"/>
    </row>
    <row r="284" ht="15" customHeight="1" s="28">
      <c r="A284" s="37" t="n">
        <v>271</v>
      </c>
      <c r="B284" s="55" t="n">
        <v>270</v>
      </c>
      <c r="C284" s="55">
        <f>B284^2</f>
        <v/>
      </c>
      <c r="D284" s="38" t="n">
        <v>4623.48</v>
      </c>
      <c r="E284" s="38">
        <f>4541.138727+0.225904*B284</f>
        <v/>
      </c>
      <c r="F284" s="39">
        <f>D284-E284</f>
        <v/>
      </c>
      <c r="G284" s="38">
        <f>F284^2</f>
        <v/>
      </c>
      <c r="H284" s="37" t="n"/>
      <c r="I284" s="37" t="n"/>
    </row>
    <row r="285" ht="15" customHeight="1" s="28">
      <c r="A285" s="40" t="n">
        <v>272</v>
      </c>
      <c r="B285" s="56" t="n">
        <v>271</v>
      </c>
      <c r="C285" s="56">
        <f>B285^2</f>
        <v/>
      </c>
      <c r="D285" s="41" t="n">
        <v>4622.32</v>
      </c>
      <c r="E285" s="41">
        <f>4541.138727+0.225904*B285</f>
        <v/>
      </c>
      <c r="F285" s="42">
        <f>D285-E285</f>
        <v/>
      </c>
      <c r="G285" s="41">
        <f>F285^2</f>
        <v/>
      </c>
      <c r="H285" s="40" t="n"/>
      <c r="I285" s="40" t="n"/>
    </row>
    <row r="286" ht="15" customHeight="1" s="28">
      <c r="A286" s="37" t="n">
        <v>273</v>
      </c>
      <c r="B286" s="55" t="n">
        <v>272</v>
      </c>
      <c r="C286" s="55">
        <f>B286^2</f>
        <v/>
      </c>
      <c r="D286" s="38" t="n">
        <v>4624.35</v>
      </c>
      <c r="E286" s="38">
        <f>4541.138727+0.225904*B286</f>
        <v/>
      </c>
      <c r="F286" s="39">
        <f>D286-E286</f>
        <v/>
      </c>
      <c r="G286" s="38">
        <f>F286^2</f>
        <v/>
      </c>
      <c r="H286" s="37" t="n"/>
      <c r="I286" s="37" t="n"/>
    </row>
    <row r="287" ht="15" customHeight="1" s="28">
      <c r="A287" s="40" t="n">
        <v>274</v>
      </c>
      <c r="B287" s="56" t="n">
        <v>273</v>
      </c>
      <c r="C287" s="56">
        <f>B287^2</f>
        <v/>
      </c>
      <c r="D287" s="41" t="n">
        <v>4626.3</v>
      </c>
      <c r="E287" s="41">
        <f>4541.138727+0.225904*B287</f>
        <v/>
      </c>
      <c r="F287" s="42">
        <f>D287-E287</f>
        <v/>
      </c>
      <c r="G287" s="41">
        <f>F287^2</f>
        <v/>
      </c>
      <c r="H287" s="40" t="n"/>
      <c r="I287" s="40" t="n"/>
    </row>
    <row r="288" ht="15" customHeight="1" s="28">
      <c r="A288" s="37" t="n">
        <v>275</v>
      </c>
      <c r="B288" s="55" t="n">
        <v>274</v>
      </c>
      <c r="C288" s="55">
        <f>B288^2</f>
        <v/>
      </c>
      <c r="D288" s="38" t="n">
        <v>4624.4</v>
      </c>
      <c r="E288" s="38">
        <f>4541.138727+0.225904*B288</f>
        <v/>
      </c>
      <c r="F288" s="39">
        <f>D288-E288</f>
        <v/>
      </c>
      <c r="G288" s="38">
        <f>F288^2</f>
        <v/>
      </c>
      <c r="H288" s="37" t="n"/>
      <c r="I288" s="37" t="n"/>
    </row>
    <row r="289" ht="15" customHeight="1" s="28">
      <c r="A289" s="40" t="n">
        <v>276</v>
      </c>
      <c r="B289" s="56" t="n">
        <v>275</v>
      </c>
      <c r="C289" s="56">
        <f>B289^2</f>
        <v/>
      </c>
      <c r="D289" s="41" t="n">
        <v>4611.78</v>
      </c>
      <c r="E289" s="41">
        <f>4541.138727+0.225904*B289</f>
        <v/>
      </c>
      <c r="F289" s="42">
        <f>D289-E289</f>
        <v/>
      </c>
      <c r="G289" s="41">
        <f>F289^2</f>
        <v/>
      </c>
      <c r="H289" s="40" t="n"/>
      <c r="I289" s="40" t="n"/>
    </row>
    <row r="290" ht="15" customHeight="1" s="28">
      <c r="A290" s="37" t="n">
        <v>277</v>
      </c>
      <c r="B290" s="55" t="n">
        <v>276</v>
      </c>
      <c r="C290" s="55">
        <f>B290^2</f>
        <v/>
      </c>
      <c r="D290" s="38" t="n">
        <v>4610.06</v>
      </c>
      <c r="E290" s="38">
        <f>4541.138727+0.225904*B290</f>
        <v/>
      </c>
      <c r="F290" s="39">
        <f>D290-E290</f>
        <v/>
      </c>
      <c r="G290" s="38">
        <f>F290^2</f>
        <v/>
      </c>
      <c r="H290" s="37" t="n"/>
      <c r="I290" s="37" t="n"/>
    </row>
    <row r="291" ht="15" customHeight="1" s="28">
      <c r="A291" s="40" t="n">
        <v>278</v>
      </c>
      <c r="B291" s="56" t="n">
        <v>277</v>
      </c>
      <c r="C291" s="56">
        <f>B291^2</f>
        <v/>
      </c>
      <c r="D291" s="41" t="n">
        <v>4611.41</v>
      </c>
      <c r="E291" s="41">
        <f>4541.138727+0.225904*B291</f>
        <v/>
      </c>
      <c r="F291" s="42">
        <f>D291-E291</f>
        <v/>
      </c>
      <c r="G291" s="41">
        <f>F291^2</f>
        <v/>
      </c>
      <c r="H291" s="40" t="n"/>
      <c r="I291" s="40" t="n"/>
    </row>
    <row r="292" ht="15" customHeight="1" s="28">
      <c r="A292" s="37" t="n">
        <v>279</v>
      </c>
      <c r="B292" s="55" t="n">
        <v>278</v>
      </c>
      <c r="C292" s="55">
        <f>B292^2</f>
        <v/>
      </c>
      <c r="D292" s="38" t="n">
        <v>4613.3</v>
      </c>
      <c r="E292" s="38">
        <f>4541.138727+0.225904*B292</f>
        <v/>
      </c>
      <c r="F292" s="39">
        <f>D292-E292</f>
        <v/>
      </c>
      <c r="G292" s="38">
        <f>F292^2</f>
        <v/>
      </c>
      <c r="H292" s="37" t="n"/>
      <c r="I292" s="37" t="n"/>
    </row>
    <row r="293" ht="15" customHeight="1" s="28">
      <c r="A293" s="40" t="n">
        <v>280</v>
      </c>
      <c r="B293" s="56" t="n">
        <v>279</v>
      </c>
      <c r="C293" s="56">
        <f>B293^2</f>
        <v/>
      </c>
      <c r="D293" s="41" t="n">
        <v>4613.77</v>
      </c>
      <c r="E293" s="41">
        <f>4541.138727+0.225904*B293</f>
        <v/>
      </c>
      <c r="F293" s="42">
        <f>D293-E293</f>
        <v/>
      </c>
      <c r="G293" s="41">
        <f>F293^2</f>
        <v/>
      </c>
      <c r="H293" s="40" t="n"/>
      <c r="I293" s="40" t="n"/>
    </row>
    <row r="294" ht="15" customHeight="1" s="28">
      <c r="A294" s="37" t="n">
        <v>281</v>
      </c>
      <c r="B294" s="55" t="n">
        <v>280</v>
      </c>
      <c r="C294" s="55">
        <f>B294^2</f>
        <v/>
      </c>
      <c r="D294" s="38" t="n">
        <v>4613.98</v>
      </c>
      <c r="E294" s="38">
        <f>4541.138727+0.225904*B294</f>
        <v/>
      </c>
      <c r="F294" s="39">
        <f>D294-E294</f>
        <v/>
      </c>
      <c r="G294" s="38">
        <f>F294^2</f>
        <v/>
      </c>
      <c r="H294" s="37" t="n"/>
      <c r="I294" s="37" t="n"/>
    </row>
    <row r="295" ht="15" customHeight="1" s="28">
      <c r="A295" s="40" t="n">
        <v>282</v>
      </c>
      <c r="B295" s="56" t="n">
        <v>281</v>
      </c>
      <c r="C295" s="56">
        <f>B295^2</f>
        <v/>
      </c>
      <c r="D295" s="41" t="n">
        <v>4623.11</v>
      </c>
      <c r="E295" s="41">
        <f>4541.138727+0.225904*B295</f>
        <v/>
      </c>
      <c r="F295" s="42">
        <f>D295-E295</f>
        <v/>
      </c>
      <c r="G295" s="41">
        <f>F295^2</f>
        <v/>
      </c>
      <c r="H295" s="40" t="n"/>
      <c r="I295" s="40" t="n"/>
    </row>
    <row r="296" ht="15" customHeight="1" s="28">
      <c r="A296" s="37" t="n">
        <v>283</v>
      </c>
      <c r="B296" s="55" t="n">
        <v>282</v>
      </c>
      <c r="C296" s="55">
        <f>B296^2</f>
        <v/>
      </c>
      <c r="D296" s="38" t="n">
        <v>4620.91</v>
      </c>
      <c r="E296" s="38">
        <f>4541.138727+0.225904*B296</f>
        <v/>
      </c>
      <c r="F296" s="39">
        <f>D296-E296</f>
        <v/>
      </c>
      <c r="G296" s="38">
        <f>F296^2</f>
        <v/>
      </c>
      <c r="H296" s="37" t="n"/>
      <c r="I296" s="37" t="n"/>
    </row>
    <row r="297" ht="15" customHeight="1" s="28">
      <c r="A297" s="40" t="n">
        <v>284</v>
      </c>
      <c r="B297" s="56" t="n">
        <v>283</v>
      </c>
      <c r="C297" s="56">
        <f>B297^2</f>
        <v/>
      </c>
      <c r="D297" s="41" t="n">
        <v>4628.2</v>
      </c>
      <c r="E297" s="41">
        <f>4541.138727+0.225904*B297</f>
        <v/>
      </c>
      <c r="F297" s="42">
        <f>D297-E297</f>
        <v/>
      </c>
      <c r="G297" s="41">
        <f>F297^2</f>
        <v/>
      </c>
      <c r="H297" s="40" t="n"/>
      <c r="I297" s="40" t="n"/>
    </row>
    <row r="298" ht="15" customHeight="1" s="28">
      <c r="A298" s="37" t="n">
        <v>285</v>
      </c>
      <c r="B298" s="55" t="n">
        <v>284</v>
      </c>
      <c r="C298" s="55">
        <f>B298^2</f>
        <v/>
      </c>
      <c r="D298" s="38" t="n">
        <v>4618.95</v>
      </c>
      <c r="E298" s="38">
        <f>4541.138727+0.225904*B298</f>
        <v/>
      </c>
      <c r="F298" s="39">
        <f>D298-E298</f>
        <v/>
      </c>
      <c r="G298" s="38">
        <f>F298^2</f>
        <v/>
      </c>
      <c r="H298" s="37" t="n"/>
      <c r="I298" s="37" t="n"/>
    </row>
    <row r="299" ht="15" customHeight="1" s="28">
      <c r="A299" s="40" t="n">
        <v>286</v>
      </c>
      <c r="B299" s="56" t="n">
        <v>285</v>
      </c>
      <c r="C299" s="56">
        <f>B299^2</f>
        <v/>
      </c>
      <c r="D299" s="41" t="n">
        <v>4615.08</v>
      </c>
      <c r="E299" s="41">
        <f>4541.138727+0.225904*B299</f>
        <v/>
      </c>
      <c r="F299" s="42">
        <f>D299-E299</f>
        <v/>
      </c>
      <c r="G299" s="41">
        <f>F299^2</f>
        <v/>
      </c>
      <c r="H299" s="40" t="n"/>
      <c r="I299" s="40" t="n"/>
    </row>
    <row r="300" ht="15" customHeight="1" s="28">
      <c r="A300" s="37" t="n">
        <v>287</v>
      </c>
      <c r="B300" s="55" t="n">
        <v>286</v>
      </c>
      <c r="C300" s="55">
        <f>B300^2</f>
        <v/>
      </c>
      <c r="D300" s="38" t="n">
        <v>4617.09</v>
      </c>
      <c r="E300" s="38">
        <f>4541.138727+0.225904*B300</f>
        <v/>
      </c>
      <c r="F300" s="39">
        <f>D300-E300</f>
        <v/>
      </c>
      <c r="G300" s="38">
        <f>F300^2</f>
        <v/>
      </c>
      <c r="H300" s="37" t="n"/>
      <c r="I300" s="37" t="n"/>
    </row>
    <row r="301" ht="15" customHeight="1" s="28">
      <c r="A301" s="40" t="n">
        <v>288</v>
      </c>
      <c r="B301" s="56" t="n">
        <v>287</v>
      </c>
      <c r="C301" s="56">
        <f>B301^2</f>
        <v/>
      </c>
      <c r="D301" s="41" t="n">
        <v>4613.63</v>
      </c>
      <c r="E301" s="41">
        <f>4541.138727+0.225904*B301</f>
        <v/>
      </c>
      <c r="F301" s="42">
        <f>D301-E301</f>
        <v/>
      </c>
      <c r="G301" s="41">
        <f>F301^2</f>
        <v/>
      </c>
      <c r="H301" s="40" t="n"/>
      <c r="I301" s="40" t="n"/>
    </row>
    <row r="302" ht="15" customHeight="1" s="28">
      <c r="A302" s="37" t="n">
        <v>289</v>
      </c>
      <c r="B302" s="55" t="n">
        <v>288</v>
      </c>
      <c r="C302" s="55">
        <f>B302^2</f>
        <v/>
      </c>
      <c r="D302" s="38" t="n">
        <v>4613.86</v>
      </c>
      <c r="E302" s="38">
        <f>4541.138727+0.225904*B302</f>
        <v/>
      </c>
      <c r="F302" s="39">
        <f>D302-E302</f>
        <v/>
      </c>
      <c r="G302" s="38">
        <f>F302^2</f>
        <v/>
      </c>
      <c r="H302" s="37" t="n"/>
      <c r="I302" s="37" t="n"/>
    </row>
    <row r="303" ht="15" customHeight="1" s="28">
      <c r="A303" s="40" t="n">
        <v>290</v>
      </c>
      <c r="B303" s="56" t="n">
        <v>289</v>
      </c>
      <c r="C303" s="56">
        <f>B303^2</f>
        <v/>
      </c>
      <c r="D303" s="41" t="n">
        <v>4612.3</v>
      </c>
      <c r="E303" s="41">
        <f>4541.138727+0.225904*B303</f>
        <v/>
      </c>
      <c r="F303" s="42">
        <f>D303-E303</f>
        <v/>
      </c>
      <c r="G303" s="41">
        <f>F303^2</f>
        <v/>
      </c>
      <c r="H303" s="40" t="n"/>
      <c r="I303" s="40" t="n"/>
    </row>
    <row r="304" ht="15" customHeight="1" s="28">
      <c r="A304" s="37" t="n">
        <v>291</v>
      </c>
      <c r="B304" s="55" t="n">
        <v>290</v>
      </c>
      <c r="C304" s="55">
        <f>B304^2</f>
        <v/>
      </c>
      <c r="D304" s="38" t="n">
        <v>4606.13</v>
      </c>
      <c r="E304" s="38">
        <f>4541.138727+0.225904*B304</f>
        <v/>
      </c>
      <c r="F304" s="39">
        <f>D304-E304</f>
        <v/>
      </c>
      <c r="G304" s="38">
        <f>F304^2</f>
        <v/>
      </c>
      <c r="H304" s="37" t="n"/>
      <c r="I304" s="37" t="n"/>
    </row>
    <row r="305" ht="15" customHeight="1" s="28">
      <c r="A305" s="40" t="n">
        <v>292</v>
      </c>
      <c r="B305" s="56" t="n">
        <v>291</v>
      </c>
      <c r="C305" s="56">
        <f>B305^2</f>
        <v/>
      </c>
      <c r="D305" s="41" t="n">
        <v>4605.86</v>
      </c>
      <c r="E305" s="41">
        <f>4541.138727+0.225904*B305</f>
        <v/>
      </c>
      <c r="F305" s="42">
        <f>D305-E305</f>
        <v/>
      </c>
      <c r="G305" s="41">
        <f>F305^2</f>
        <v/>
      </c>
      <c r="H305" s="40" t="n"/>
      <c r="I305" s="40" t="n"/>
    </row>
    <row r="306" ht="15" customHeight="1" s="28">
      <c r="A306" s="37" t="n">
        <v>293</v>
      </c>
      <c r="B306" s="55" t="n">
        <v>292</v>
      </c>
      <c r="C306" s="55">
        <f>B306^2</f>
        <v/>
      </c>
      <c r="D306" s="38" t="n">
        <v>4613.01</v>
      </c>
      <c r="E306" s="38">
        <f>4541.138727+0.225904*B306</f>
        <v/>
      </c>
      <c r="F306" s="39">
        <f>D306-E306</f>
        <v/>
      </c>
      <c r="G306" s="38">
        <f>F306^2</f>
        <v/>
      </c>
      <c r="H306" s="37" t="n"/>
      <c r="I306" s="37" t="n"/>
    </row>
    <row r="307" ht="15" customHeight="1" s="28">
      <c r="A307" s="40" t="n">
        <v>294</v>
      </c>
      <c r="B307" s="56" t="n">
        <v>293</v>
      </c>
      <c r="C307" s="56">
        <f>B307^2</f>
        <v/>
      </c>
      <c r="D307" s="41" t="n">
        <v>4600.58</v>
      </c>
      <c r="E307" s="41">
        <f>4541.138727+0.225904*B307</f>
        <v/>
      </c>
      <c r="F307" s="42">
        <f>D307-E307</f>
        <v/>
      </c>
      <c r="G307" s="41">
        <f>F307^2</f>
        <v/>
      </c>
      <c r="H307" s="40" t="n"/>
      <c r="I307" s="40" t="n"/>
    </row>
    <row r="308" ht="15" customHeight="1" s="28">
      <c r="A308" s="37" t="n">
        <v>295</v>
      </c>
      <c r="B308" s="55" t="n">
        <v>294</v>
      </c>
      <c r="C308" s="55">
        <f>B308^2</f>
        <v/>
      </c>
      <c r="D308" s="38" t="n">
        <v>4594.65</v>
      </c>
      <c r="E308" s="38">
        <f>4541.138727+0.225904*B308</f>
        <v/>
      </c>
      <c r="F308" s="39">
        <f>D308-E308</f>
        <v/>
      </c>
      <c r="G308" s="38">
        <f>F308^2</f>
        <v/>
      </c>
      <c r="H308" s="37" t="n"/>
      <c r="I308" s="37" t="n"/>
    </row>
    <row r="309" ht="15" customHeight="1" s="28">
      <c r="A309" s="40" t="n">
        <v>296</v>
      </c>
      <c r="B309" s="56" t="n">
        <v>295</v>
      </c>
      <c r="C309" s="56">
        <f>B309^2</f>
        <v/>
      </c>
      <c r="D309" s="41" t="n">
        <v>4601.59</v>
      </c>
      <c r="E309" s="41">
        <f>4541.138727+0.225904*B309</f>
        <v/>
      </c>
      <c r="F309" s="42">
        <f>D309-E309</f>
        <v/>
      </c>
      <c r="G309" s="41">
        <f>F309^2</f>
        <v/>
      </c>
      <c r="H309" s="40" t="n"/>
      <c r="I309" s="40" t="n"/>
    </row>
    <row r="310" ht="15" customHeight="1" s="28">
      <c r="A310" s="37" t="n">
        <v>297</v>
      </c>
      <c r="B310" s="55" t="n">
        <v>296</v>
      </c>
      <c r="C310" s="55">
        <f>B310^2</f>
        <v/>
      </c>
      <c r="D310" s="38" t="n">
        <v>4613.14</v>
      </c>
      <c r="E310" s="38">
        <f>4541.138727+0.225904*B310</f>
        <v/>
      </c>
      <c r="F310" s="39">
        <f>D310-E310</f>
        <v/>
      </c>
      <c r="G310" s="38">
        <f>F310^2</f>
        <v/>
      </c>
      <c r="H310" s="37" t="n"/>
      <c r="I310" s="37" t="n"/>
    </row>
    <row r="311" ht="15" customHeight="1" s="28">
      <c r="A311" s="40" t="n">
        <v>298</v>
      </c>
      <c r="B311" s="56" t="n">
        <v>297</v>
      </c>
      <c r="C311" s="56">
        <f>B311^2</f>
        <v/>
      </c>
      <c r="D311" s="41" t="n">
        <v>4608.34</v>
      </c>
      <c r="E311" s="41">
        <f>4541.138727+0.225904*B311</f>
        <v/>
      </c>
      <c r="F311" s="42">
        <f>D311-E311</f>
        <v/>
      </c>
      <c r="G311" s="41">
        <f>F311^2</f>
        <v/>
      </c>
      <c r="H311" s="40" t="n"/>
      <c r="I311" s="40" t="n"/>
    </row>
    <row r="312" ht="15" customHeight="1" s="28">
      <c r="A312" s="37" t="n">
        <v>299</v>
      </c>
      <c r="B312" s="55" t="n">
        <v>298</v>
      </c>
      <c r="C312" s="55">
        <f>B312^2</f>
        <v/>
      </c>
      <c r="D312" s="38" t="n">
        <v>4593.09</v>
      </c>
      <c r="E312" s="38">
        <f>4541.138727+0.225904*B312</f>
        <v/>
      </c>
      <c r="F312" s="39">
        <f>D312-E312</f>
        <v/>
      </c>
      <c r="G312" s="38">
        <f>F312^2</f>
        <v/>
      </c>
      <c r="H312" s="37" t="n"/>
      <c r="I312" s="37" t="n"/>
    </row>
    <row r="313" ht="15" customHeight="1" s="28">
      <c r="A313" s="40" t="n">
        <v>300</v>
      </c>
      <c r="B313" s="56" t="n">
        <v>299</v>
      </c>
      <c r="C313" s="56">
        <f>B313^2</f>
        <v/>
      </c>
      <c r="D313" s="41" t="n">
        <v>4603.32</v>
      </c>
      <c r="E313" s="41">
        <f>4541.138727+0.225904*B313</f>
        <v/>
      </c>
      <c r="F313" s="42">
        <f>D313-E313</f>
        <v/>
      </c>
      <c r="G313" s="41">
        <f>F313^2</f>
        <v/>
      </c>
      <c r="H313" s="40" t="n"/>
      <c r="I313" s="40" t="n"/>
    </row>
    <row r="314" ht="15" customHeight="1" s="28">
      <c r="A314" s="37" t="n">
        <v>301</v>
      </c>
      <c r="B314" s="55" t="n">
        <v>300</v>
      </c>
      <c r="C314" s="55">
        <f>B314^2</f>
        <v/>
      </c>
      <c r="D314" s="38" t="n">
        <v>4605.77</v>
      </c>
      <c r="E314" s="38">
        <f>4541.138727+0.225904*B314</f>
        <v/>
      </c>
      <c r="F314" s="39">
        <f>D314-E314</f>
        <v/>
      </c>
      <c r="G314" s="38">
        <f>F314^2</f>
        <v/>
      </c>
      <c r="H314" s="37" t="n"/>
      <c r="I314" s="37" t="n"/>
    </row>
    <row r="315" ht="15" customHeight="1" s="28">
      <c r="A315" s="40" t="n">
        <v>302</v>
      </c>
      <c r="B315" s="56" t="n">
        <v>301</v>
      </c>
      <c r="C315" s="56">
        <f>B315^2</f>
        <v/>
      </c>
      <c r="D315" s="41" t="n">
        <v>4610.07</v>
      </c>
      <c r="E315" s="41">
        <f>4541.138727+0.225904*B315</f>
        <v/>
      </c>
      <c r="F315" s="42">
        <f>D315-E315</f>
        <v/>
      </c>
      <c r="G315" s="41">
        <f>F315^2</f>
        <v/>
      </c>
      <c r="H315" s="40" t="n"/>
      <c r="I315" s="40" t="n"/>
    </row>
    <row r="316" ht="15" customHeight="1" s="28">
      <c r="A316" s="37" t="n">
        <v>303</v>
      </c>
      <c r="B316" s="55" t="n">
        <v>302</v>
      </c>
      <c r="C316" s="55">
        <f>B316^2</f>
        <v/>
      </c>
      <c r="D316" s="38" t="n">
        <v>4610.27</v>
      </c>
      <c r="E316" s="38">
        <f>4541.138727+0.225904*B316</f>
        <v/>
      </c>
      <c r="F316" s="39">
        <f>D316-E316</f>
        <v/>
      </c>
      <c r="G316" s="38">
        <f>F316^2</f>
        <v/>
      </c>
      <c r="H316" s="37" t="n"/>
      <c r="I316" s="37" t="n"/>
    </row>
    <row r="317" ht="15" customHeight="1" s="28">
      <c r="A317" s="40" t="n">
        <v>304</v>
      </c>
      <c r="B317" s="56" t="n">
        <v>303</v>
      </c>
      <c r="C317" s="56">
        <f>B317^2</f>
        <v/>
      </c>
      <c r="D317" s="41" t="n">
        <v>4605.07</v>
      </c>
      <c r="E317" s="41">
        <f>4541.138727+0.225904*B317</f>
        <v/>
      </c>
      <c r="F317" s="42">
        <f>D317-E317</f>
        <v/>
      </c>
      <c r="G317" s="41">
        <f>F317^2</f>
        <v/>
      </c>
      <c r="H317" s="40" t="n"/>
      <c r="I317" s="40" t="n"/>
    </row>
    <row r="318" ht="15" customHeight="1" s="28">
      <c r="A318" s="37" t="n">
        <v>305</v>
      </c>
      <c r="B318" s="55" t="n">
        <v>304</v>
      </c>
      <c r="C318" s="55">
        <f>B318^2</f>
        <v/>
      </c>
      <c r="D318" s="38" t="n">
        <v>4615.09</v>
      </c>
      <c r="E318" s="38">
        <f>4541.138727+0.225904*B318</f>
        <v/>
      </c>
      <c r="F318" s="39">
        <f>D318-E318</f>
        <v/>
      </c>
      <c r="G318" s="38">
        <f>F318^2</f>
        <v/>
      </c>
      <c r="H318" s="37" t="n"/>
      <c r="I318" s="37" t="n"/>
    </row>
    <row r="319" ht="15" customHeight="1" s="28">
      <c r="A319" s="40" t="n">
        <v>306</v>
      </c>
      <c r="B319" s="56" t="n">
        <v>305</v>
      </c>
      <c r="C319" s="56">
        <f>B319^2</f>
        <v/>
      </c>
      <c r="D319" s="41" t="n">
        <v>4611.19</v>
      </c>
      <c r="E319" s="41">
        <f>4541.138727+0.225904*B319</f>
        <v/>
      </c>
      <c r="F319" s="42">
        <f>D319-E319</f>
        <v/>
      </c>
      <c r="G319" s="41">
        <f>F319^2</f>
        <v/>
      </c>
      <c r="H319" s="40" t="n"/>
      <c r="I319" s="40" t="n"/>
    </row>
    <row r="320" ht="15" customHeight="1" s="28">
      <c r="A320" s="37" t="n">
        <v>307</v>
      </c>
      <c r="B320" s="55" t="n">
        <v>306</v>
      </c>
      <c r="C320" s="55">
        <f>B320^2</f>
        <v/>
      </c>
      <c r="D320" s="38" t="n">
        <v>4608.12</v>
      </c>
      <c r="E320" s="38">
        <f>4541.138727+0.225904*B320</f>
        <v/>
      </c>
      <c r="F320" s="39">
        <f>D320-E320</f>
        <v/>
      </c>
      <c r="G320" s="38">
        <f>F320^2</f>
        <v/>
      </c>
      <c r="H320" s="37" t="n"/>
      <c r="I320" s="37" t="n"/>
    </row>
    <row r="321" ht="15" customHeight="1" s="28">
      <c r="A321" s="40" t="n">
        <v>308</v>
      </c>
      <c r="B321" s="56" t="n">
        <v>307</v>
      </c>
      <c r="C321" s="56">
        <f>B321^2</f>
        <v/>
      </c>
      <c r="D321" s="41" t="n">
        <v>4609.32</v>
      </c>
      <c r="E321" s="41">
        <f>4541.138727+0.225904*B321</f>
        <v/>
      </c>
      <c r="F321" s="42">
        <f>D321-E321</f>
        <v/>
      </c>
      <c r="G321" s="41">
        <f>F321^2</f>
        <v/>
      </c>
      <c r="H321" s="40" t="n"/>
      <c r="I321" s="40" t="n"/>
    </row>
    <row r="322" ht="15" customHeight="1" s="28">
      <c r="A322" s="37" t="n">
        <v>309</v>
      </c>
      <c r="B322" s="55" t="n">
        <v>308</v>
      </c>
      <c r="C322" s="55">
        <f>B322^2</f>
        <v/>
      </c>
      <c r="D322" s="38" t="n">
        <v>4606</v>
      </c>
      <c r="E322" s="38">
        <f>4541.138727+0.225904*B322</f>
        <v/>
      </c>
      <c r="F322" s="39">
        <f>D322-E322</f>
        <v/>
      </c>
      <c r="G322" s="38">
        <f>F322^2</f>
        <v/>
      </c>
      <c r="H322" s="37" t="n"/>
      <c r="I322" s="37" t="n"/>
    </row>
    <row r="323" ht="15" customHeight="1" s="28">
      <c r="A323" s="40" t="n">
        <v>310</v>
      </c>
      <c r="B323" s="56" t="n">
        <v>309</v>
      </c>
      <c r="C323" s="56">
        <f>B323^2</f>
        <v/>
      </c>
      <c r="D323" s="41" t="n">
        <v>4603.74</v>
      </c>
      <c r="E323" s="41">
        <f>4541.138727+0.225904*B323</f>
        <v/>
      </c>
      <c r="F323" s="42">
        <f>D323-E323</f>
        <v/>
      </c>
      <c r="G323" s="41">
        <f>F323^2</f>
        <v/>
      </c>
      <c r="H323" s="40" t="n"/>
      <c r="I323" s="40" t="n"/>
    </row>
    <row r="324" ht="15" customHeight="1" s="28">
      <c r="A324" s="37" t="n">
        <v>311</v>
      </c>
      <c r="B324" s="55" t="n">
        <v>310</v>
      </c>
      <c r="C324" s="55">
        <f>B324^2</f>
        <v/>
      </c>
      <c r="D324" s="38" t="n">
        <v>4596.32</v>
      </c>
      <c r="E324" s="38">
        <f>4541.138727+0.225904*B324</f>
        <v/>
      </c>
      <c r="F324" s="39">
        <f>D324-E324</f>
        <v/>
      </c>
      <c r="G324" s="38">
        <f>F324^2</f>
        <v/>
      </c>
      <c r="H324" s="37" t="n"/>
      <c r="I324" s="37" t="n"/>
    </row>
    <row r="325" ht="15" customHeight="1" s="28">
      <c r="A325" s="40" t="n">
        <v>312</v>
      </c>
      <c r="B325" s="56" t="n">
        <v>311</v>
      </c>
      <c r="C325" s="56">
        <f>B325^2</f>
        <v/>
      </c>
      <c r="D325" s="41" t="n">
        <v>4598.85</v>
      </c>
      <c r="E325" s="41">
        <f>4541.138727+0.225904*B325</f>
        <v/>
      </c>
      <c r="F325" s="42">
        <f>D325-E325</f>
        <v/>
      </c>
      <c r="G325" s="41">
        <f>F325^2</f>
        <v/>
      </c>
      <c r="H325" s="40" t="n"/>
      <c r="I325" s="40" t="n"/>
    </row>
    <row r="326" ht="15" customHeight="1" s="28">
      <c r="A326" s="37" t="n">
        <v>313</v>
      </c>
      <c r="B326" s="55" t="n">
        <v>312</v>
      </c>
      <c r="C326" s="55">
        <f>B326^2</f>
        <v/>
      </c>
      <c r="D326" s="38" t="n">
        <v>4599.12</v>
      </c>
      <c r="E326" s="38">
        <f>4541.138727+0.225904*B326</f>
        <v/>
      </c>
      <c r="F326" s="39">
        <f>D326-E326</f>
        <v/>
      </c>
      <c r="G326" s="38">
        <f>F326^2</f>
        <v/>
      </c>
      <c r="H326" s="37" t="n"/>
      <c r="I326" s="37" t="n"/>
    </row>
    <row r="327" ht="15" customHeight="1" s="28">
      <c r="A327" s="40" t="n">
        <v>314</v>
      </c>
      <c r="B327" s="56" t="n">
        <v>313</v>
      </c>
      <c r="C327" s="56">
        <f>B327^2</f>
        <v/>
      </c>
      <c r="D327" s="41" t="n">
        <v>4597.44</v>
      </c>
      <c r="E327" s="41">
        <f>4541.138727+0.225904*B327</f>
        <v/>
      </c>
      <c r="F327" s="42">
        <f>D327-E327</f>
        <v/>
      </c>
      <c r="G327" s="41">
        <f>F327^2</f>
        <v/>
      </c>
      <c r="H327" s="40" t="n"/>
      <c r="I327" s="40" t="n"/>
    </row>
    <row r="328" ht="15" customHeight="1" s="28">
      <c r="A328" s="37" t="n">
        <v>315</v>
      </c>
      <c r="B328" s="55" t="n">
        <v>314</v>
      </c>
      <c r="C328" s="55">
        <f>B328^2</f>
        <v/>
      </c>
      <c r="D328" s="38" t="n">
        <v>4594.08</v>
      </c>
      <c r="E328" s="38">
        <f>4541.138727+0.225904*B328</f>
        <v/>
      </c>
      <c r="F328" s="39">
        <f>D328-E328</f>
        <v/>
      </c>
      <c r="G328" s="38">
        <f>F328^2</f>
        <v/>
      </c>
      <c r="H328" s="37" t="n"/>
      <c r="I328" s="37" t="n"/>
    </row>
    <row r="329" ht="15" customHeight="1" s="28">
      <c r="A329" s="40" t="n">
        <v>316</v>
      </c>
      <c r="B329" s="56" t="n">
        <v>315</v>
      </c>
      <c r="C329" s="56">
        <f>B329^2</f>
        <v/>
      </c>
      <c r="D329" s="41" t="n">
        <v>4585.46</v>
      </c>
      <c r="E329" s="41">
        <f>4541.138727+0.225904*B329</f>
        <v/>
      </c>
      <c r="F329" s="42">
        <f>D329-E329</f>
        <v/>
      </c>
      <c r="G329" s="41">
        <f>F329^2</f>
        <v/>
      </c>
      <c r="H329" s="40" t="n"/>
      <c r="I329" s="40" t="n"/>
    </row>
    <row r="330" ht="15" customHeight="1" s="28">
      <c r="A330" s="37" t="n">
        <v>317</v>
      </c>
      <c r="B330" s="55" t="n">
        <v>316</v>
      </c>
      <c r="C330" s="55">
        <f>B330^2</f>
        <v/>
      </c>
      <c r="D330" s="38" t="n">
        <v>4588.54</v>
      </c>
      <c r="E330" s="38">
        <f>4541.138727+0.225904*B330</f>
        <v/>
      </c>
      <c r="F330" s="39">
        <f>D330-E330</f>
        <v/>
      </c>
      <c r="G330" s="38">
        <f>F330^2</f>
        <v/>
      </c>
      <c r="H330" s="37" t="n"/>
      <c r="I330" s="37" t="n"/>
    </row>
    <row r="331" ht="15" customHeight="1" s="28">
      <c r="A331" s="40" t="n">
        <v>318</v>
      </c>
      <c r="B331" s="56" t="n">
        <v>317</v>
      </c>
      <c r="C331" s="56">
        <f>B331^2</f>
        <v/>
      </c>
      <c r="D331" s="41" t="n">
        <v>4592.16</v>
      </c>
      <c r="E331" s="41">
        <f>4541.138727+0.225904*B331</f>
        <v/>
      </c>
      <c r="F331" s="42">
        <f>D331-E331</f>
        <v/>
      </c>
      <c r="G331" s="41">
        <f>F331^2</f>
        <v/>
      </c>
      <c r="H331" s="40" t="n"/>
      <c r="I331" s="40" t="n"/>
    </row>
    <row r="332" ht="15" customHeight="1" s="28">
      <c r="A332" s="37" t="n">
        <v>319</v>
      </c>
      <c r="B332" s="55" t="n">
        <v>318</v>
      </c>
      <c r="C332" s="55">
        <f>B332^2</f>
        <v/>
      </c>
      <c r="D332" s="38" t="n">
        <v>4585.82</v>
      </c>
      <c r="E332" s="38">
        <f>4541.138727+0.225904*B332</f>
        <v/>
      </c>
      <c r="F332" s="39">
        <f>D332-E332</f>
        <v/>
      </c>
      <c r="G332" s="38">
        <f>F332^2</f>
        <v/>
      </c>
      <c r="H332" s="37" t="n"/>
      <c r="I332" s="37" t="n"/>
    </row>
    <row r="333" ht="15" customHeight="1" s="28">
      <c r="A333" s="40" t="n">
        <v>320</v>
      </c>
      <c r="B333" s="56" t="n">
        <v>319</v>
      </c>
      <c r="C333" s="56">
        <f>B333^2</f>
        <v/>
      </c>
      <c r="D333" s="41" t="n">
        <v>4587.99</v>
      </c>
      <c r="E333" s="41">
        <f>4541.138727+0.225904*B333</f>
        <v/>
      </c>
      <c r="F333" s="42">
        <f>D333-E333</f>
        <v/>
      </c>
      <c r="G333" s="41">
        <f>F333^2</f>
        <v/>
      </c>
      <c r="H333" s="40" t="n"/>
      <c r="I333" s="40" t="n"/>
    </row>
    <row r="334" ht="15" customHeight="1" s="28">
      <c r="A334" s="37" t="n">
        <v>321</v>
      </c>
      <c r="B334" s="55" t="n">
        <v>320</v>
      </c>
      <c r="C334" s="55">
        <f>B334^2</f>
        <v/>
      </c>
      <c r="D334" s="38" t="n">
        <v>4579.06</v>
      </c>
      <c r="E334" s="38">
        <f>4541.138727+0.225904*B334</f>
        <v/>
      </c>
      <c r="F334" s="39">
        <f>D334-E334</f>
        <v/>
      </c>
      <c r="G334" s="38">
        <f>F334^2</f>
        <v/>
      </c>
      <c r="H334" s="37" t="n"/>
      <c r="I334" s="37" t="n"/>
    </row>
    <row r="335" ht="15" customHeight="1" s="28">
      <c r="A335" s="40" t="n">
        <v>322</v>
      </c>
      <c r="B335" s="56" t="n">
        <v>321</v>
      </c>
      <c r="C335" s="56">
        <f>B335^2</f>
        <v/>
      </c>
      <c r="D335" s="41" t="n">
        <v>4580.25</v>
      </c>
      <c r="E335" s="41">
        <f>4541.138727+0.225904*B335</f>
        <v/>
      </c>
      <c r="F335" s="42">
        <f>D335-E335</f>
        <v/>
      </c>
      <c r="G335" s="41">
        <f>F335^2</f>
        <v/>
      </c>
      <c r="H335" s="40" t="n"/>
      <c r="I335" s="40" t="n"/>
    </row>
    <row r="336" ht="15" customHeight="1" s="28">
      <c r="A336" s="37" t="n">
        <v>323</v>
      </c>
      <c r="B336" s="55" t="n">
        <v>322</v>
      </c>
      <c r="C336" s="55">
        <f>B336^2</f>
        <v/>
      </c>
      <c r="D336" s="38" t="n">
        <v>4575.07</v>
      </c>
      <c r="E336" s="38">
        <f>4541.138727+0.225904*B336</f>
        <v/>
      </c>
      <c r="F336" s="39">
        <f>D336-E336</f>
        <v/>
      </c>
      <c r="G336" s="38">
        <f>F336^2</f>
        <v/>
      </c>
      <c r="H336" s="37" t="n"/>
      <c r="I336" s="37" t="n"/>
    </row>
    <row r="337" ht="15" customHeight="1" s="28">
      <c r="A337" s="40" t="n">
        <v>324</v>
      </c>
      <c r="B337" s="56" t="n">
        <v>323</v>
      </c>
      <c r="C337" s="56">
        <f>B337^2</f>
        <v/>
      </c>
      <c r="D337" s="41" t="n">
        <v>4578.09</v>
      </c>
      <c r="E337" s="41">
        <f>4541.138727+0.225904*B337</f>
        <v/>
      </c>
      <c r="F337" s="42">
        <f>D337-E337</f>
        <v/>
      </c>
      <c r="G337" s="41">
        <f>F337^2</f>
        <v/>
      </c>
      <c r="H337" s="40" t="n"/>
      <c r="I337" s="40" t="n"/>
    </row>
    <row r="338" ht="15" customHeight="1" s="28">
      <c r="A338" s="37" t="n">
        <v>325</v>
      </c>
      <c r="B338" s="55" t="n">
        <v>324</v>
      </c>
      <c r="C338" s="55">
        <f>B338^2</f>
        <v/>
      </c>
      <c r="D338" s="38" t="n">
        <v>4577.11</v>
      </c>
      <c r="E338" s="38">
        <f>4541.138727+0.225904*B338</f>
        <v/>
      </c>
      <c r="F338" s="39">
        <f>D338-E338</f>
        <v/>
      </c>
      <c r="G338" s="38">
        <f>F338^2</f>
        <v/>
      </c>
      <c r="H338" s="37" t="n"/>
      <c r="I338" s="37" t="n"/>
    </row>
    <row r="339" ht="15" customHeight="1" s="28">
      <c r="A339" s="40" t="n">
        <v>326</v>
      </c>
      <c r="B339" s="56" t="n">
        <v>325</v>
      </c>
      <c r="C339" s="56">
        <f>B339^2</f>
        <v/>
      </c>
      <c r="D339" s="41" t="n">
        <v>4584.21</v>
      </c>
      <c r="E339" s="41">
        <f>4541.138727+0.225904*B339</f>
        <v/>
      </c>
      <c r="F339" s="42">
        <f>D339-E339</f>
        <v/>
      </c>
      <c r="G339" s="41">
        <f>F339^2</f>
        <v/>
      </c>
      <c r="H339" s="40" t="n"/>
      <c r="I339" s="40" t="n"/>
    </row>
    <row r="340" ht="15" customHeight="1" s="28">
      <c r="A340" s="37" t="n">
        <v>327</v>
      </c>
      <c r="B340" s="55" t="n">
        <v>326</v>
      </c>
      <c r="C340" s="55">
        <f>B340^2</f>
        <v/>
      </c>
      <c r="D340" s="38" t="n">
        <v>4581.15</v>
      </c>
      <c r="E340" s="38">
        <f>4541.138727+0.225904*B340</f>
        <v/>
      </c>
      <c r="F340" s="39">
        <f>D340-E340</f>
        <v/>
      </c>
      <c r="G340" s="38">
        <f>F340^2</f>
        <v/>
      </c>
      <c r="H340" s="37" t="n"/>
      <c r="I340" s="37" t="n"/>
    </row>
    <row r="341" ht="15" customHeight="1" s="28">
      <c r="A341" s="40" t="n">
        <v>328</v>
      </c>
      <c r="B341" s="56" t="n">
        <v>327</v>
      </c>
      <c r="C341" s="56">
        <f>B341^2</f>
        <v/>
      </c>
      <c r="D341" s="41" t="n">
        <v>4581.26</v>
      </c>
      <c r="E341" s="41">
        <f>4541.138727+0.225904*B341</f>
        <v/>
      </c>
      <c r="F341" s="42">
        <f>D341-E341</f>
        <v/>
      </c>
      <c r="G341" s="41">
        <f>F341^2</f>
        <v/>
      </c>
      <c r="H341" s="40" t="n"/>
      <c r="I341" s="40" t="n"/>
    </row>
    <row r="342" ht="15" customHeight="1" s="28">
      <c r="A342" s="37" t="n">
        <v>329</v>
      </c>
      <c r="B342" s="55" t="n">
        <v>328</v>
      </c>
      <c r="C342" s="55">
        <f>B342^2</f>
        <v/>
      </c>
      <c r="D342" s="38" t="n">
        <v>4575.47</v>
      </c>
      <c r="E342" s="38">
        <f>4541.138727+0.225904*B342</f>
        <v/>
      </c>
      <c r="F342" s="39">
        <f>D342-E342</f>
        <v/>
      </c>
      <c r="G342" s="38">
        <f>F342^2</f>
        <v/>
      </c>
      <c r="H342" s="37" t="n"/>
      <c r="I342" s="37" t="n"/>
    </row>
    <row r="343" ht="15" customHeight="1" s="28">
      <c r="A343" s="40" t="n">
        <v>330</v>
      </c>
      <c r="B343" s="56" t="n">
        <v>329</v>
      </c>
      <c r="C343" s="56">
        <f>B343^2</f>
        <v/>
      </c>
      <c r="D343" s="41" t="n">
        <v>4541.79</v>
      </c>
      <c r="E343" s="41">
        <f>4541.138727+0.225904*B343</f>
        <v/>
      </c>
      <c r="F343" s="42">
        <f>D343-E343</f>
        <v/>
      </c>
      <c r="G343" s="41">
        <f>F343^2</f>
        <v/>
      </c>
      <c r="H343" s="40" t="n"/>
      <c r="I343" s="40" t="n"/>
    </row>
    <row r="344" ht="15" customHeight="1" s="28">
      <c r="A344" s="37" t="n">
        <v>331</v>
      </c>
      <c r="B344" s="55" t="n">
        <v>330</v>
      </c>
      <c r="C344" s="55">
        <f>B344^2</f>
        <v/>
      </c>
      <c r="D344" s="38" t="n">
        <v>4545</v>
      </c>
      <c r="E344" s="38">
        <f>4541.138727+0.225904*B344</f>
        <v/>
      </c>
      <c r="F344" s="39">
        <f>D344-E344</f>
        <v/>
      </c>
      <c r="G344" s="38">
        <f>F344^2</f>
        <v/>
      </c>
      <c r="H344" s="37" t="n"/>
      <c r="I344" s="37" t="n"/>
    </row>
    <row r="345" ht="15" customHeight="1" s="28">
      <c r="A345" s="40" t="n">
        <v>332</v>
      </c>
      <c r="B345" s="56" t="n">
        <v>331</v>
      </c>
      <c r="C345" s="56">
        <f>B345^2</f>
        <v/>
      </c>
      <c r="D345" s="41" t="n">
        <v>4558.64</v>
      </c>
      <c r="E345" s="41">
        <f>4541.138727+0.225904*B345</f>
        <v/>
      </c>
      <c r="F345" s="42">
        <f>D345-E345</f>
        <v/>
      </c>
      <c r="G345" s="41">
        <f>F345^2</f>
        <v/>
      </c>
      <c r="H345" s="40" t="n"/>
      <c r="I345" s="40" t="n"/>
    </row>
    <row r="346" ht="15" customHeight="1" s="28">
      <c r="A346" s="37" t="n">
        <v>333</v>
      </c>
      <c r="B346" s="55" t="n">
        <v>332</v>
      </c>
      <c r="C346" s="55">
        <f>B346^2</f>
        <v/>
      </c>
      <c r="D346" s="38" t="n">
        <v>4562.67</v>
      </c>
      <c r="E346" s="38">
        <f>4541.138727+0.225904*B346</f>
        <v/>
      </c>
      <c r="F346" s="39">
        <f>D346-E346</f>
        <v/>
      </c>
      <c r="G346" s="38">
        <f>F346^2</f>
        <v/>
      </c>
      <c r="H346" s="37" t="n"/>
      <c r="I346" s="37" t="n"/>
    </row>
    <row r="347" ht="15" customHeight="1" s="28">
      <c r="A347" s="40" t="n">
        <v>334</v>
      </c>
      <c r="B347" s="56" t="n">
        <v>333</v>
      </c>
      <c r="C347" s="56">
        <f>B347^2</f>
        <v/>
      </c>
      <c r="D347" s="41" t="n">
        <v>4565.34</v>
      </c>
      <c r="E347" s="41">
        <f>4541.138727+0.225904*B347</f>
        <v/>
      </c>
      <c r="F347" s="42">
        <f>D347-E347</f>
        <v/>
      </c>
      <c r="G347" s="41">
        <f>F347^2</f>
        <v/>
      </c>
      <c r="H347" s="40" t="n"/>
      <c r="I347" s="40" t="n"/>
    </row>
    <row r="348" ht="15" customHeight="1" s="28">
      <c r="A348" s="37" t="n">
        <v>335</v>
      </c>
      <c r="B348" s="55" t="n">
        <v>334</v>
      </c>
      <c r="C348" s="55">
        <f>B348^2</f>
        <v/>
      </c>
      <c r="D348" s="38" t="n">
        <v>4562.26</v>
      </c>
      <c r="E348" s="38">
        <f>4541.138727+0.225904*B348</f>
        <v/>
      </c>
      <c r="F348" s="39">
        <f>D348-E348</f>
        <v/>
      </c>
      <c r="G348" s="38">
        <f>F348^2</f>
        <v/>
      </c>
      <c r="H348" s="37" t="n"/>
      <c r="I348" s="37" t="n"/>
    </row>
    <row r="349" ht="15" customHeight="1" s="28">
      <c r="A349" s="40" t="n">
        <v>336</v>
      </c>
      <c r="B349" s="56" t="n">
        <v>335</v>
      </c>
      <c r="C349" s="56">
        <f>B349^2</f>
        <v/>
      </c>
      <c r="D349" s="41" t="n">
        <v>4553.65</v>
      </c>
      <c r="E349" s="41">
        <f>4541.138727+0.225904*B349</f>
        <v/>
      </c>
      <c r="F349" s="42">
        <f>D349-E349</f>
        <v/>
      </c>
      <c r="G349" s="41">
        <f>F349^2</f>
        <v/>
      </c>
      <c r="H349" s="40" t="n"/>
      <c r="I349" s="40" t="n"/>
    </row>
    <row r="350" ht="15" customHeight="1" s="28">
      <c r="A350" s="37" t="n">
        <v>337</v>
      </c>
      <c r="B350" s="55" t="n">
        <v>336</v>
      </c>
      <c r="C350" s="55">
        <f>B350^2</f>
        <v/>
      </c>
      <c r="D350" s="38" t="n">
        <v>4559.94</v>
      </c>
      <c r="E350" s="38">
        <f>4541.138727+0.225904*B350</f>
        <v/>
      </c>
      <c r="F350" s="39">
        <f>D350-E350</f>
        <v/>
      </c>
      <c r="G350" s="38">
        <f>F350^2</f>
        <v/>
      </c>
      <c r="H350" s="37" t="n"/>
      <c r="I350" s="37" t="n"/>
    </row>
    <row r="351" ht="15" customHeight="1" s="28">
      <c r="A351" s="40" t="n">
        <v>338</v>
      </c>
      <c r="B351" s="56" t="n">
        <v>337</v>
      </c>
      <c r="C351" s="56">
        <f>B351^2</f>
        <v/>
      </c>
      <c r="D351" s="41" t="n">
        <v>4563.67</v>
      </c>
      <c r="E351" s="41">
        <f>4541.138727+0.225904*B351</f>
        <v/>
      </c>
      <c r="F351" s="42">
        <f>D351-E351</f>
        <v/>
      </c>
      <c r="G351" s="41">
        <f>F351^2</f>
        <v/>
      </c>
      <c r="H351" s="40" t="n"/>
      <c r="I351" s="40" t="n"/>
    </row>
    <row r="352" ht="15" customHeight="1" s="28">
      <c r="A352" s="37" t="n">
        <v>339</v>
      </c>
      <c r="B352" s="55" t="n">
        <v>338</v>
      </c>
      <c r="C352" s="55">
        <f>B352^2</f>
        <v/>
      </c>
      <c r="D352" s="38" t="n">
        <v>4568.68</v>
      </c>
      <c r="E352" s="38">
        <f>4541.138727+0.225904*B352</f>
        <v/>
      </c>
      <c r="F352" s="39">
        <f>D352-E352</f>
        <v/>
      </c>
      <c r="G352" s="38">
        <f>F352^2</f>
        <v/>
      </c>
      <c r="H352" s="37" t="n"/>
      <c r="I352" s="37" t="n"/>
    </row>
    <row r="353" ht="15" customHeight="1" s="28">
      <c r="A353" s="40" t="n">
        <v>340</v>
      </c>
      <c r="B353" s="56" t="n">
        <v>339</v>
      </c>
      <c r="C353" s="56">
        <f>B353^2</f>
        <v/>
      </c>
      <c r="D353" s="41" t="n">
        <v>4570.1</v>
      </c>
      <c r="E353" s="41">
        <f>4541.138727+0.225904*B353</f>
        <v/>
      </c>
      <c r="F353" s="42">
        <f>D353-E353</f>
        <v/>
      </c>
      <c r="G353" s="41">
        <f>F353^2</f>
        <v/>
      </c>
      <c r="H353" s="40" t="n"/>
      <c r="I353" s="40" t="n"/>
    </row>
    <row r="354" ht="15" customHeight="1" s="28">
      <c r="A354" s="37" t="n">
        <v>341</v>
      </c>
      <c r="B354" s="55" t="n">
        <v>340</v>
      </c>
      <c r="C354" s="55">
        <f>B354^2</f>
        <v/>
      </c>
      <c r="D354" s="38" t="n">
        <v>4568.79</v>
      </c>
      <c r="E354" s="38">
        <f>4541.138727+0.225904*B354</f>
        <v/>
      </c>
      <c r="F354" s="39">
        <f>D354-E354</f>
        <v/>
      </c>
      <c r="G354" s="38">
        <f>F354^2</f>
        <v/>
      </c>
      <c r="H354" s="37" t="n"/>
      <c r="I354" s="37" t="n"/>
    </row>
    <row r="355" ht="15" customHeight="1" s="28">
      <c r="A355" s="40" t="n">
        <v>342</v>
      </c>
      <c r="B355" s="56" t="n">
        <v>341</v>
      </c>
      <c r="C355" s="56">
        <f>B355^2</f>
        <v/>
      </c>
      <c r="D355" s="41" t="n">
        <v>4565.98</v>
      </c>
      <c r="E355" s="41">
        <f>4541.138727+0.225904*B355</f>
        <v/>
      </c>
      <c r="F355" s="42">
        <f>D355-E355</f>
        <v/>
      </c>
      <c r="G355" s="41">
        <f>F355^2</f>
        <v/>
      </c>
      <c r="H355" s="40" t="n"/>
      <c r="I355" s="40" t="n"/>
    </row>
    <row r="356" ht="15" customHeight="1" s="28">
      <c r="A356" s="37" t="n">
        <v>343</v>
      </c>
      <c r="B356" s="55" t="n">
        <v>342</v>
      </c>
      <c r="C356" s="55">
        <f>B356^2</f>
        <v/>
      </c>
      <c r="D356" s="38" t="n">
        <v>4561.09</v>
      </c>
      <c r="E356" s="38">
        <f>4541.138727+0.225904*B356</f>
        <v/>
      </c>
      <c r="F356" s="39">
        <f>D356-E356</f>
        <v/>
      </c>
      <c r="G356" s="38">
        <f>F356^2</f>
        <v/>
      </c>
      <c r="H356" s="37" t="n"/>
      <c r="I356" s="37" t="n"/>
    </row>
    <row r="357" ht="15" customHeight="1" s="28">
      <c r="A357" s="40" t="n">
        <v>344</v>
      </c>
      <c r="B357" s="56" t="n">
        <v>343</v>
      </c>
      <c r="C357" s="56">
        <f>B357^2</f>
        <v/>
      </c>
      <c r="D357" s="41" t="n">
        <v>4565.51</v>
      </c>
      <c r="E357" s="41">
        <f>4541.138727+0.225904*B357</f>
        <v/>
      </c>
      <c r="F357" s="42">
        <f>D357-E357</f>
        <v/>
      </c>
      <c r="G357" s="41">
        <f>F357^2</f>
        <v/>
      </c>
      <c r="H357" s="40" t="n"/>
      <c r="I357" s="40" t="n"/>
    </row>
    <row r="358" ht="15" customHeight="1" s="28">
      <c r="A358" s="37" t="n">
        <v>345</v>
      </c>
      <c r="B358" s="55" t="n">
        <v>344</v>
      </c>
      <c r="C358" s="55">
        <f>B358^2</f>
        <v/>
      </c>
      <c r="D358" s="38" t="n">
        <v>4563.85</v>
      </c>
      <c r="E358" s="38">
        <f>4541.138727+0.225904*B358</f>
        <v/>
      </c>
      <c r="F358" s="39">
        <f>D358-E358</f>
        <v/>
      </c>
      <c r="G358" s="38">
        <f>F358^2</f>
        <v/>
      </c>
      <c r="H358" s="37" t="n"/>
      <c r="I358" s="37" t="n"/>
    </row>
    <row r="359" ht="15" customHeight="1" s="28">
      <c r="A359" s="40" t="n">
        <v>346</v>
      </c>
      <c r="B359" s="56" t="n">
        <v>345</v>
      </c>
      <c r="C359" s="56">
        <f>B359^2</f>
        <v/>
      </c>
      <c r="D359" s="41" t="n">
        <v>4560.18</v>
      </c>
      <c r="E359" s="41">
        <f>4541.138727+0.225904*B359</f>
        <v/>
      </c>
      <c r="F359" s="42">
        <f>D359-E359</f>
        <v/>
      </c>
      <c r="G359" s="41">
        <f>F359^2</f>
        <v/>
      </c>
      <c r="H359" s="40" t="n"/>
      <c r="I359" s="40" t="n"/>
    </row>
    <row r="360" ht="15" customHeight="1" s="28">
      <c r="A360" s="37" t="n">
        <v>347</v>
      </c>
      <c r="B360" s="55" t="n">
        <v>346</v>
      </c>
      <c r="C360" s="55">
        <f>B360^2</f>
        <v/>
      </c>
      <c r="D360" s="38" t="n">
        <v>4571.2</v>
      </c>
      <c r="E360" s="38">
        <f>4541.138727+0.225904*B360</f>
        <v/>
      </c>
      <c r="F360" s="39">
        <f>D360-E360</f>
        <v/>
      </c>
      <c r="G360" s="38">
        <f>F360^2</f>
        <v/>
      </c>
      <c r="H360" s="37" t="n"/>
      <c r="I360" s="37" t="n"/>
    </row>
    <row r="361" ht="15" customHeight="1" s="28">
      <c r="A361" s="40" t="n">
        <v>348</v>
      </c>
      <c r="B361" s="56" t="n">
        <v>347</v>
      </c>
      <c r="C361" s="56">
        <f>B361^2</f>
        <v/>
      </c>
      <c r="D361" s="41" t="n">
        <v>4574.38</v>
      </c>
      <c r="E361" s="41">
        <f>4541.138727+0.225904*B361</f>
        <v/>
      </c>
      <c r="F361" s="42">
        <f>D361-E361</f>
        <v/>
      </c>
      <c r="G361" s="41">
        <f>F361^2</f>
        <v/>
      </c>
      <c r="H361" s="40" t="n"/>
      <c r="I361" s="40" t="n"/>
    </row>
    <row r="362" ht="15" customHeight="1" s="28">
      <c r="A362" s="37" t="n">
        <v>349</v>
      </c>
      <c r="B362" s="55" t="n">
        <v>348</v>
      </c>
      <c r="C362" s="55">
        <f>B362^2</f>
        <v/>
      </c>
      <c r="D362" s="38" t="n">
        <v>4561.26</v>
      </c>
      <c r="E362" s="38">
        <f>4541.138727+0.225904*B362</f>
        <v/>
      </c>
      <c r="F362" s="39">
        <f>D362-E362</f>
        <v/>
      </c>
      <c r="G362" s="38">
        <f>F362^2</f>
        <v/>
      </c>
      <c r="H362" s="37" t="n"/>
      <c r="I362" s="37" t="n"/>
    </row>
    <row r="363" ht="15" customHeight="1" s="28">
      <c r="A363" s="40" t="n">
        <v>350</v>
      </c>
      <c r="B363" s="56" t="n">
        <v>349</v>
      </c>
      <c r="C363" s="56">
        <f>B363^2</f>
        <v/>
      </c>
      <c r="D363" s="41" t="n">
        <v>4548.46</v>
      </c>
      <c r="E363" s="41">
        <f>4541.138727+0.225904*B363</f>
        <v/>
      </c>
      <c r="F363" s="42">
        <f>D363-E363</f>
        <v/>
      </c>
      <c r="G363" s="41">
        <f>F363^2</f>
        <v/>
      </c>
      <c r="H363" s="40" t="n"/>
      <c r="I363" s="40" t="n"/>
    </row>
    <row r="364" ht="15" customHeight="1" s="28">
      <c r="A364" s="37" t="n">
        <v>351</v>
      </c>
      <c r="B364" s="55" t="n">
        <v>350</v>
      </c>
      <c r="C364" s="55">
        <f>B364^2</f>
        <v/>
      </c>
      <c r="D364" s="38" t="n">
        <v>4537.95</v>
      </c>
      <c r="E364" s="38">
        <f>4541.138727+0.225904*B364</f>
        <v/>
      </c>
      <c r="F364" s="39">
        <f>D364-E364</f>
        <v/>
      </c>
      <c r="G364" s="38">
        <f>F364^2</f>
        <v/>
      </c>
      <c r="H364" s="37" t="n"/>
      <c r="I364" s="37" t="n"/>
    </row>
    <row r="365" ht="15" customHeight="1" s="28">
      <c r="A365" s="40" t="n">
        <v>352</v>
      </c>
      <c r="B365" s="56" t="n">
        <v>351</v>
      </c>
      <c r="C365" s="56">
        <f>B365^2</f>
        <v/>
      </c>
      <c r="D365" s="41" t="n">
        <v>4535.1</v>
      </c>
      <c r="E365" s="41">
        <f>4541.138727+0.225904*B365</f>
        <v/>
      </c>
      <c r="F365" s="42">
        <f>D365-E365</f>
        <v/>
      </c>
      <c r="G365" s="41">
        <f>F365^2</f>
        <v/>
      </c>
      <c r="H365" s="40" t="n"/>
      <c r="I365" s="40" t="n"/>
    </row>
    <row r="366" ht="15" customHeight="1" s="28">
      <c r="A366" s="37" t="n">
        <v>353</v>
      </c>
      <c r="B366" s="55" t="n">
        <v>352</v>
      </c>
      <c r="C366" s="55">
        <f>B366^2</f>
        <v/>
      </c>
      <c r="D366" s="38" t="n">
        <v>4521.33</v>
      </c>
      <c r="E366" s="38">
        <f>4541.138727+0.225904*B366</f>
        <v/>
      </c>
      <c r="F366" s="39">
        <f>D366-E366</f>
        <v/>
      </c>
      <c r="G366" s="38">
        <f>F366^2</f>
        <v/>
      </c>
      <c r="H366" s="37" t="n"/>
      <c r="I366" s="37" t="n"/>
    </row>
    <row r="367" ht="15" customHeight="1" s="28">
      <c r="A367" s="40" t="n">
        <v>354</v>
      </c>
      <c r="B367" s="56" t="n">
        <v>353</v>
      </c>
      <c r="C367" s="56">
        <f>B367^2</f>
        <v/>
      </c>
      <c r="D367" s="41" t="n">
        <v>4509.88</v>
      </c>
      <c r="E367" s="41">
        <f>4541.138727+0.225904*B367</f>
        <v/>
      </c>
      <c r="F367" s="42">
        <f>D367-E367</f>
        <v/>
      </c>
      <c r="G367" s="41">
        <f>F367^2</f>
        <v/>
      </c>
      <c r="H367" s="40" t="n"/>
      <c r="I367" s="40" t="n"/>
    </row>
    <row r="368" ht="15" customHeight="1" s="28">
      <c r="A368" s="37" t="n">
        <v>355</v>
      </c>
      <c r="B368" s="55" t="n">
        <v>354</v>
      </c>
      <c r="C368" s="55">
        <f>B368^2</f>
        <v/>
      </c>
      <c r="D368" s="38" t="n">
        <v>4515.03</v>
      </c>
      <c r="E368" s="38">
        <f>4541.138727+0.225904*B368</f>
        <v/>
      </c>
      <c r="F368" s="39">
        <f>D368-E368</f>
        <v/>
      </c>
      <c r="G368" s="38">
        <f>F368^2</f>
        <v/>
      </c>
      <c r="H368" s="37" t="n"/>
      <c r="I368" s="37" t="n"/>
    </row>
    <row r="369" ht="15" customHeight="1" s="28">
      <c r="A369" s="40" t="n">
        <v>356</v>
      </c>
      <c r="B369" s="56" t="n">
        <v>355</v>
      </c>
      <c r="C369" s="56">
        <f>B369^2</f>
        <v/>
      </c>
      <c r="D369" s="41" t="n">
        <v>4512.59</v>
      </c>
      <c r="E369" s="41">
        <f>4541.138727+0.225904*B369</f>
        <v/>
      </c>
      <c r="F369" s="42">
        <f>D369-E369</f>
        <v/>
      </c>
      <c r="G369" s="41">
        <f>F369^2</f>
        <v/>
      </c>
      <c r="H369" s="40" t="n"/>
      <c r="I369" s="40" t="n"/>
    </row>
    <row r="370" ht="15" customHeight="1" s="28">
      <c r="A370" s="37" t="n">
        <v>357</v>
      </c>
      <c r="B370" s="55" t="n">
        <v>356</v>
      </c>
      <c r="C370" s="55">
        <f>B370^2</f>
        <v/>
      </c>
      <c r="D370" s="38" t="n">
        <v>4510.69</v>
      </c>
      <c r="E370" s="38">
        <f>4541.138727+0.225904*B370</f>
        <v/>
      </c>
      <c r="F370" s="39">
        <f>D370-E370</f>
        <v/>
      </c>
      <c r="G370" s="38">
        <f>F370^2</f>
        <v/>
      </c>
      <c r="H370" s="37" t="n"/>
      <c r="I370" s="37" t="n"/>
    </row>
    <row r="371" ht="15" customHeight="1" s="28">
      <c r="A371" s="40" t="n">
        <v>358</v>
      </c>
      <c r="B371" s="56" t="n">
        <v>357</v>
      </c>
      <c r="C371" s="56">
        <f>B371^2</f>
        <v/>
      </c>
      <c r="D371" s="41" t="n">
        <v>4522.39</v>
      </c>
      <c r="E371" s="41">
        <f>4541.138727+0.225904*B371</f>
        <v/>
      </c>
      <c r="F371" s="42">
        <f>D371-E371</f>
        <v/>
      </c>
      <c r="G371" s="41">
        <f>F371^2</f>
        <v/>
      </c>
      <c r="H371" s="40" t="n"/>
      <c r="I371" s="40" t="n"/>
    </row>
    <row r="372" ht="15" customHeight="1" s="28">
      <c r="A372" s="37" t="n">
        <v>359</v>
      </c>
      <c r="B372" s="55" t="n">
        <v>358</v>
      </c>
      <c r="C372" s="55">
        <f>B372^2</f>
        <v/>
      </c>
      <c r="D372" s="38" t="n">
        <v>4524.38</v>
      </c>
      <c r="E372" s="38">
        <f>4541.138727+0.225904*B372</f>
        <v/>
      </c>
      <c r="F372" s="39">
        <f>D372-E372</f>
        <v/>
      </c>
      <c r="G372" s="38">
        <f>F372^2</f>
        <v/>
      </c>
      <c r="H372" s="37" t="n"/>
      <c r="I372" s="37" t="n"/>
    </row>
    <row r="373" ht="15" customHeight="1" s="28">
      <c r="A373" s="40" t="n">
        <v>360</v>
      </c>
      <c r="B373" s="56" t="n">
        <v>359</v>
      </c>
      <c r="C373" s="56">
        <f>B373^2</f>
        <v/>
      </c>
      <c r="D373" s="41" t="n">
        <v>4526.1</v>
      </c>
      <c r="E373" s="41">
        <f>4541.138727+0.225904*B373</f>
        <v/>
      </c>
      <c r="F373" s="42">
        <f>D373-E373</f>
        <v/>
      </c>
      <c r="G373" s="41">
        <f>F373^2</f>
        <v/>
      </c>
      <c r="H373" s="40" t="n"/>
      <c r="I373" s="40" t="n"/>
    </row>
    <row r="374" ht="15" customHeight="1" s="28">
      <c r="A374" s="37" t="n">
        <v>361</v>
      </c>
      <c r="B374" s="55" t="n">
        <v>360</v>
      </c>
      <c r="C374" s="55">
        <f>B374^2</f>
        <v/>
      </c>
      <c r="D374" s="38" t="n">
        <v>4522.35</v>
      </c>
      <c r="E374" s="38">
        <f>4541.138727+0.225904*B374</f>
        <v/>
      </c>
      <c r="F374" s="39">
        <f>D374-E374</f>
        <v/>
      </c>
      <c r="G374" s="38">
        <f>F374^2</f>
        <v/>
      </c>
      <c r="H374" s="37" t="n"/>
      <c r="I374" s="37" t="n"/>
    </row>
    <row r="375" ht="15" customHeight="1" s="28">
      <c r="A375" s="40" t="n">
        <v>362</v>
      </c>
      <c r="B375" s="56" t="n">
        <v>361</v>
      </c>
      <c r="C375" s="56">
        <f>B375^2</f>
        <v/>
      </c>
      <c r="D375" s="41" t="n">
        <v>4520.01</v>
      </c>
      <c r="E375" s="41">
        <f>4541.138727+0.225904*B375</f>
        <v/>
      </c>
      <c r="F375" s="42">
        <f>D375-E375</f>
        <v/>
      </c>
      <c r="G375" s="41">
        <f>F375^2</f>
        <v/>
      </c>
      <c r="H375" s="40" t="n"/>
      <c r="I375" s="40" t="n"/>
    </row>
    <row r="376" ht="15" customHeight="1" s="28">
      <c r="A376" s="37" t="n">
        <v>363</v>
      </c>
      <c r="B376" s="55" t="n">
        <v>362</v>
      </c>
      <c r="C376" s="55">
        <f>B376^2</f>
        <v/>
      </c>
      <c r="D376" s="38" t="n">
        <v>4511.95</v>
      </c>
      <c r="E376" s="38">
        <f>4541.138727+0.225904*B376</f>
        <v/>
      </c>
      <c r="F376" s="39">
        <f>D376-E376</f>
        <v/>
      </c>
      <c r="G376" s="38">
        <f>F376^2</f>
        <v/>
      </c>
      <c r="H376" s="37" t="n"/>
      <c r="I376" s="37" t="n"/>
    </row>
    <row r="377" ht="15" customHeight="1" s="28">
      <c r="A377" s="40" t="n">
        <v>364</v>
      </c>
      <c r="B377" s="56" t="n">
        <v>363</v>
      </c>
      <c r="C377" s="56">
        <f>B377^2</f>
        <v/>
      </c>
      <c r="D377" s="41" t="n">
        <v>4511.86</v>
      </c>
      <c r="E377" s="41">
        <f>4541.138727+0.225904*B377</f>
        <v/>
      </c>
      <c r="F377" s="42">
        <f>D377-E377</f>
        <v/>
      </c>
      <c r="G377" s="41">
        <f>F377^2</f>
        <v/>
      </c>
      <c r="H377" s="40" t="n"/>
      <c r="I377" s="40" t="n"/>
    </row>
    <row r="378" ht="15" customHeight="1" s="28">
      <c r="A378" s="37" t="n">
        <v>365</v>
      </c>
      <c r="B378" s="55" t="n">
        <v>364</v>
      </c>
      <c r="C378" s="55">
        <f>B378^2</f>
        <v/>
      </c>
      <c r="D378" s="38" t="n">
        <v>4516.4</v>
      </c>
      <c r="E378" s="38">
        <f>4541.138727+0.225904*B378</f>
        <v/>
      </c>
      <c r="F378" s="39">
        <f>D378-E378</f>
        <v/>
      </c>
      <c r="G378" s="38">
        <f>F378^2</f>
        <v/>
      </c>
      <c r="H378" s="37" t="n"/>
      <c r="I378" s="37" t="n"/>
    </row>
    <row r="379" ht="15" customHeight="1" s="28">
      <c r="A379" s="40" t="n">
        <v>366</v>
      </c>
      <c r="B379" s="56" t="n">
        <v>365</v>
      </c>
      <c r="C379" s="56">
        <f>B379^2</f>
        <v/>
      </c>
      <c r="D379" s="41" t="n">
        <v>4519.05</v>
      </c>
      <c r="E379" s="41">
        <f>4541.138727+0.225904*B379</f>
        <v/>
      </c>
      <c r="F379" s="42">
        <f>D379-E379</f>
        <v/>
      </c>
      <c r="G379" s="41">
        <f>F379^2</f>
        <v/>
      </c>
      <c r="H379" s="40" t="n"/>
      <c r="I379" s="40" t="n"/>
    </row>
    <row r="380" ht="15" customHeight="1" s="28">
      <c r="A380" s="37" t="n">
        <v>367</v>
      </c>
      <c r="B380" s="55" t="n">
        <v>366</v>
      </c>
      <c r="C380" s="55">
        <f>B380^2</f>
        <v/>
      </c>
      <c r="D380" s="38" t="n">
        <v>4522.42</v>
      </c>
      <c r="E380" s="38">
        <f>4541.138727+0.225904*B380</f>
        <v/>
      </c>
      <c r="F380" s="39">
        <f>D380-E380</f>
        <v/>
      </c>
      <c r="G380" s="38">
        <f>F380^2</f>
        <v/>
      </c>
      <c r="H380" s="37" t="n"/>
      <c r="I380" s="37" t="n"/>
    </row>
    <row r="381" ht="15" customHeight="1" s="28">
      <c r="A381" s="40" t="n">
        <v>368</v>
      </c>
      <c r="B381" s="56" t="n">
        <v>367</v>
      </c>
      <c r="C381" s="56">
        <f>B381^2</f>
        <v/>
      </c>
      <c r="D381" s="41" t="n">
        <v>4521.16</v>
      </c>
      <c r="E381" s="41">
        <f>4541.138727+0.225904*B381</f>
        <v/>
      </c>
      <c r="F381" s="42">
        <f>D381-E381</f>
        <v/>
      </c>
      <c r="G381" s="41">
        <f>F381^2</f>
        <v/>
      </c>
      <c r="H381" s="40" t="n"/>
      <c r="I381" s="40" t="n"/>
    </row>
    <row r="382" ht="15" customHeight="1" s="28">
      <c r="A382" s="37" t="n">
        <v>369</v>
      </c>
      <c r="B382" s="55" t="n">
        <v>368</v>
      </c>
      <c r="C382" s="55">
        <f>B382^2</f>
        <v/>
      </c>
      <c r="D382" s="38" t="n">
        <v>4517.46</v>
      </c>
      <c r="E382" s="38">
        <f>4541.138727+0.225904*B382</f>
        <v/>
      </c>
      <c r="F382" s="39">
        <f>D382-E382</f>
        <v/>
      </c>
      <c r="G382" s="38">
        <f>F382^2</f>
        <v/>
      </c>
      <c r="H382" s="37" t="n"/>
      <c r="I382" s="37" t="n"/>
    </row>
    <row r="383" ht="15" customHeight="1" s="28">
      <c r="A383" s="40" t="n">
        <v>370</v>
      </c>
      <c r="B383" s="56" t="n">
        <v>369</v>
      </c>
      <c r="C383" s="56">
        <f>B383^2</f>
        <v/>
      </c>
      <c r="D383" s="41" t="n">
        <v>4514.74</v>
      </c>
      <c r="E383" s="41">
        <f>4541.138727+0.225904*B383</f>
        <v/>
      </c>
      <c r="F383" s="42">
        <f>D383-E383</f>
        <v/>
      </c>
      <c r="G383" s="41">
        <f>F383^2</f>
        <v/>
      </c>
      <c r="H383" s="40" t="n"/>
      <c r="I383" s="40" t="n"/>
    </row>
    <row r="384" ht="15" customHeight="1" s="28">
      <c r="A384" s="37" t="n">
        <v>371</v>
      </c>
      <c r="B384" s="55" t="n">
        <v>370</v>
      </c>
      <c r="C384" s="55">
        <f>B384^2</f>
        <v/>
      </c>
      <c r="D384" s="38" t="n">
        <v>4515.21</v>
      </c>
      <c r="E384" s="38">
        <f>4541.138727+0.225904*B384</f>
        <v/>
      </c>
      <c r="F384" s="39">
        <f>D384-E384</f>
        <v/>
      </c>
      <c r="G384" s="38">
        <f>F384^2</f>
        <v/>
      </c>
      <c r="H384" s="37" t="n"/>
      <c r="I384" s="37" t="n"/>
    </row>
    <row r="385" ht="15" customHeight="1" s="28">
      <c r="A385" s="40" t="n">
        <v>372</v>
      </c>
      <c r="B385" s="56" t="n">
        <v>371</v>
      </c>
      <c r="C385" s="56">
        <f>B385^2</f>
        <v/>
      </c>
      <c r="D385" s="41" t="n">
        <v>4518.75</v>
      </c>
      <c r="E385" s="41">
        <f>4541.138727+0.225904*B385</f>
        <v/>
      </c>
      <c r="F385" s="42">
        <f>D385-E385</f>
        <v/>
      </c>
      <c r="G385" s="41">
        <f>F385^2</f>
        <v/>
      </c>
      <c r="H385" s="40" t="n"/>
      <c r="I385" s="40" t="n"/>
    </row>
    <row r="386" ht="15" customHeight="1" s="28">
      <c r="A386" s="37" t="n">
        <v>373</v>
      </c>
      <c r="B386" s="55" t="n">
        <v>372</v>
      </c>
      <c r="C386" s="55">
        <f>B386^2</f>
        <v/>
      </c>
      <c r="D386" s="38" t="n">
        <v>4523.84</v>
      </c>
      <c r="E386" s="38">
        <f>4541.138727+0.225904*B386</f>
        <v/>
      </c>
      <c r="F386" s="39">
        <f>D386-E386</f>
        <v/>
      </c>
      <c r="G386" s="38">
        <f>F386^2</f>
        <v/>
      </c>
      <c r="H386" s="37" t="n"/>
      <c r="I386" s="37" t="n"/>
    </row>
    <row r="387" ht="15" customHeight="1" s="28">
      <c r="A387" s="40" t="n">
        <v>374</v>
      </c>
      <c r="B387" s="56" t="n">
        <v>373</v>
      </c>
      <c r="C387" s="56">
        <f>B387^2</f>
        <v/>
      </c>
      <c r="D387" s="41" t="n">
        <v>4521.1</v>
      </c>
      <c r="E387" s="41">
        <f>4541.138727+0.225904*B387</f>
        <v/>
      </c>
      <c r="F387" s="42">
        <f>D387-E387</f>
        <v/>
      </c>
      <c r="G387" s="41">
        <f>F387^2</f>
        <v/>
      </c>
      <c r="H387" s="40" t="n"/>
      <c r="I387" s="40" t="n"/>
    </row>
    <row r="388" ht="15" customHeight="1" s="28">
      <c r="A388" s="37" t="n">
        <v>375</v>
      </c>
      <c r="B388" s="55" t="n">
        <v>374</v>
      </c>
      <c r="C388" s="55">
        <f>B388^2</f>
        <v/>
      </c>
      <c r="D388" s="38" t="n">
        <v>4519.66</v>
      </c>
      <c r="E388" s="38">
        <f>4541.138727+0.225904*B388</f>
        <v/>
      </c>
      <c r="F388" s="39">
        <f>D388-E388</f>
        <v/>
      </c>
      <c r="G388" s="38">
        <f>F388^2</f>
        <v/>
      </c>
      <c r="H388" s="37" t="n"/>
      <c r="I388" s="37" t="n"/>
    </row>
    <row r="389" ht="15" customHeight="1" s="28">
      <c r="A389" s="40" t="n">
        <v>376</v>
      </c>
      <c r="B389" s="56" t="n">
        <v>375</v>
      </c>
      <c r="C389" s="56">
        <f>B389^2</f>
        <v/>
      </c>
      <c r="D389" s="41" t="n">
        <v>4519.02</v>
      </c>
      <c r="E389" s="41">
        <f>4541.138727+0.225904*B389</f>
        <v/>
      </c>
      <c r="F389" s="42">
        <f>D389-E389</f>
        <v/>
      </c>
      <c r="G389" s="41">
        <f>F389^2</f>
        <v/>
      </c>
      <c r="H389" s="40" t="n"/>
      <c r="I389" s="40" t="n"/>
    </row>
    <row r="390" ht="15" customHeight="1" s="28">
      <c r="A390" s="37" t="n">
        <v>377</v>
      </c>
      <c r="B390" s="55" t="n">
        <v>376</v>
      </c>
      <c r="C390" s="55">
        <f>B390^2</f>
        <v/>
      </c>
      <c r="D390" s="38" t="n">
        <v>4517.52</v>
      </c>
      <c r="E390" s="38">
        <f>4541.138727+0.225904*B390</f>
        <v/>
      </c>
      <c r="F390" s="39">
        <f>D390-E390</f>
        <v/>
      </c>
      <c r="G390" s="38">
        <f>F390^2</f>
        <v/>
      </c>
      <c r="H390" s="37" t="n"/>
      <c r="I390" s="37" t="n"/>
    </row>
    <row r="391" ht="15" customHeight="1" s="28">
      <c r="A391" s="40" t="n">
        <v>378</v>
      </c>
      <c r="B391" s="56" t="n">
        <v>377</v>
      </c>
      <c r="C391" s="56">
        <f>B391^2</f>
        <v/>
      </c>
      <c r="D391" s="41" t="n">
        <v>4520.44</v>
      </c>
      <c r="E391" s="41">
        <f>4541.138727+0.225904*B391</f>
        <v/>
      </c>
      <c r="F391" s="42">
        <f>D391-E391</f>
        <v/>
      </c>
      <c r="G391" s="41">
        <f>F391^2</f>
        <v/>
      </c>
      <c r="H391" s="40" t="n"/>
      <c r="I391" s="40" t="n"/>
    </row>
    <row r="392" ht="15" customHeight="1" s="28">
      <c r="A392" s="37" t="n">
        <v>379</v>
      </c>
      <c r="B392" s="55" t="n">
        <v>378</v>
      </c>
      <c r="C392" s="55">
        <f>B392^2</f>
        <v/>
      </c>
      <c r="D392" s="38" t="n">
        <v>4521.13</v>
      </c>
      <c r="E392" s="38">
        <f>4541.138727+0.225904*B392</f>
        <v/>
      </c>
      <c r="F392" s="39">
        <f>D392-E392</f>
        <v/>
      </c>
      <c r="G392" s="38">
        <f>F392^2</f>
        <v/>
      </c>
      <c r="H392" s="37" t="n"/>
      <c r="I392" s="37" t="n"/>
    </row>
    <row r="393" ht="15" customHeight="1" s="28">
      <c r="A393" s="40" t="n">
        <v>380</v>
      </c>
      <c r="B393" s="56" t="n">
        <v>379</v>
      </c>
      <c r="C393" s="56">
        <f>B393^2</f>
        <v/>
      </c>
      <c r="D393" s="41" t="n">
        <v>4518.52</v>
      </c>
      <c r="E393" s="41">
        <f>4541.138727+0.225904*B393</f>
        <v/>
      </c>
      <c r="F393" s="42">
        <f>D393-E393</f>
        <v/>
      </c>
      <c r="G393" s="41">
        <f>F393^2</f>
        <v/>
      </c>
      <c r="H393" s="40" t="n"/>
      <c r="I393" s="40" t="n"/>
    </row>
    <row r="394" ht="15" customHeight="1" s="28">
      <c r="A394" s="37" t="n">
        <v>381</v>
      </c>
      <c r="B394" s="55" t="n">
        <v>380</v>
      </c>
      <c r="C394" s="55">
        <f>B394^2</f>
        <v/>
      </c>
      <c r="D394" s="38" t="n">
        <v>4519.04</v>
      </c>
      <c r="E394" s="38">
        <f>4541.138727+0.225904*B394</f>
        <v/>
      </c>
      <c r="F394" s="39">
        <f>D394-E394</f>
        <v/>
      </c>
      <c r="G394" s="38">
        <f>F394^2</f>
        <v/>
      </c>
      <c r="H394" s="37" t="n"/>
      <c r="I394" s="37" t="n"/>
    </row>
    <row r="395" ht="15" customHeight="1" s="28">
      <c r="A395" s="40" t="n">
        <v>382</v>
      </c>
      <c r="B395" s="56" t="n">
        <v>381</v>
      </c>
      <c r="C395" s="56">
        <f>B395^2</f>
        <v/>
      </c>
      <c r="D395" s="41" t="n">
        <v>4527.77</v>
      </c>
      <c r="E395" s="41">
        <f>4541.138727+0.225904*B395</f>
        <v/>
      </c>
      <c r="F395" s="42">
        <f>D395-E395</f>
        <v/>
      </c>
      <c r="G395" s="41">
        <f>F395^2</f>
        <v/>
      </c>
      <c r="H395" s="40" t="n"/>
      <c r="I395" s="40" t="n"/>
    </row>
    <row r="396" ht="15" customHeight="1" s="28">
      <c r="A396" s="37" t="n">
        <v>383</v>
      </c>
      <c r="B396" s="55" t="n">
        <v>382</v>
      </c>
      <c r="C396" s="55">
        <f>B396^2</f>
        <v/>
      </c>
      <c r="D396" s="38" t="n">
        <v>4517.12</v>
      </c>
      <c r="E396" s="38">
        <f>4541.138727+0.225904*B396</f>
        <v/>
      </c>
      <c r="F396" s="39">
        <f>D396-E396</f>
        <v/>
      </c>
      <c r="G396" s="38">
        <f>F396^2</f>
        <v/>
      </c>
      <c r="H396" s="37" t="n"/>
      <c r="I396" s="37" t="n"/>
    </row>
    <row r="397" ht="15" customHeight="1" s="28">
      <c r="A397" s="40" t="n">
        <v>384</v>
      </c>
      <c r="B397" s="56" t="n">
        <v>383</v>
      </c>
      <c r="C397" s="56">
        <f>B397^2</f>
        <v/>
      </c>
      <c r="D397" s="41" t="n">
        <v>4523.87</v>
      </c>
      <c r="E397" s="41">
        <f>4541.138727+0.225904*B397</f>
        <v/>
      </c>
      <c r="F397" s="42">
        <f>D397-E397</f>
        <v/>
      </c>
      <c r="G397" s="41">
        <f>F397^2</f>
        <v/>
      </c>
      <c r="H397" s="40" t="n"/>
      <c r="I397" s="40" t="n"/>
    </row>
    <row r="398" ht="15" customHeight="1" s="28">
      <c r="A398" s="37" t="n">
        <v>385</v>
      </c>
      <c r="B398" s="55" t="n">
        <v>384</v>
      </c>
      <c r="C398" s="55">
        <f>B398^2</f>
        <v/>
      </c>
      <c r="D398" s="38" t="n">
        <v>4530.12</v>
      </c>
      <c r="E398" s="38">
        <f>4541.138727+0.225904*B398</f>
        <v/>
      </c>
      <c r="F398" s="39">
        <f>D398-E398</f>
        <v/>
      </c>
      <c r="G398" s="38">
        <f>F398^2</f>
        <v/>
      </c>
      <c r="H398" s="37" t="n"/>
      <c r="I398" s="37" t="n"/>
    </row>
    <row r="399" ht="15" customHeight="1" s="28">
      <c r="A399" s="40" t="n">
        <v>386</v>
      </c>
      <c r="B399" s="56" t="n">
        <v>385</v>
      </c>
      <c r="C399" s="56">
        <f>B399^2</f>
        <v/>
      </c>
      <c r="D399" s="41" t="n">
        <v>4538.86</v>
      </c>
      <c r="E399" s="41">
        <f>4541.138727+0.225904*B399</f>
        <v/>
      </c>
      <c r="F399" s="42">
        <f>D399-E399</f>
        <v/>
      </c>
      <c r="G399" s="41">
        <f>F399^2</f>
        <v/>
      </c>
      <c r="H399" s="40" t="n"/>
      <c r="I399" s="40" t="n"/>
    </row>
    <row r="400" ht="15" customHeight="1" s="28">
      <c r="A400" s="37" t="n">
        <v>387</v>
      </c>
      <c r="B400" s="55" t="n">
        <v>386</v>
      </c>
      <c r="C400" s="55">
        <f>B400^2</f>
        <v/>
      </c>
      <c r="D400" s="38" t="n">
        <v>4537.8</v>
      </c>
      <c r="E400" s="38">
        <f>4541.138727+0.225904*B400</f>
        <v/>
      </c>
      <c r="F400" s="39">
        <f>D400-E400</f>
        <v/>
      </c>
      <c r="G400" s="38">
        <f>F400^2</f>
        <v/>
      </c>
      <c r="H400" s="37" t="n"/>
      <c r="I400" s="37" t="n"/>
    </row>
    <row r="401" ht="15" customHeight="1" s="28">
      <c r="A401" s="40" t="n">
        <v>388</v>
      </c>
      <c r="B401" s="56" t="n">
        <v>387</v>
      </c>
      <c r="C401" s="56">
        <f>B401^2</f>
        <v/>
      </c>
      <c r="D401" s="41" t="n">
        <v>4536.92</v>
      </c>
      <c r="E401" s="41">
        <f>4541.138727+0.225904*B401</f>
        <v/>
      </c>
      <c r="F401" s="42">
        <f>D401-E401</f>
        <v/>
      </c>
      <c r="G401" s="41">
        <f>F401^2</f>
        <v/>
      </c>
      <c r="H401" s="40" t="n"/>
      <c r="I401" s="40" t="n"/>
    </row>
    <row r="402" ht="15" customHeight="1" s="28">
      <c r="A402" s="37" t="n">
        <v>389</v>
      </c>
      <c r="B402" s="55" t="n">
        <v>388</v>
      </c>
      <c r="C402" s="55">
        <f>B402^2</f>
        <v/>
      </c>
      <c r="D402" s="38" t="n">
        <v>4541.02</v>
      </c>
      <c r="E402" s="38">
        <f>4541.138727+0.225904*B402</f>
        <v/>
      </c>
      <c r="F402" s="39">
        <f>D402-E402</f>
        <v/>
      </c>
      <c r="G402" s="38">
        <f>F402^2</f>
        <v/>
      </c>
      <c r="H402" s="37" t="n"/>
      <c r="I402" s="37" t="n"/>
    </row>
    <row r="403" ht="15" customHeight="1" s="28">
      <c r="A403" s="40" t="n">
        <v>390</v>
      </c>
      <c r="B403" s="56" t="n">
        <v>389</v>
      </c>
      <c r="C403" s="56">
        <f>B403^2</f>
        <v/>
      </c>
      <c r="D403" s="41" t="n">
        <v>4538.55</v>
      </c>
      <c r="E403" s="41">
        <f>4541.138727+0.225904*B403</f>
        <v/>
      </c>
      <c r="F403" s="42">
        <f>D403-E403</f>
        <v/>
      </c>
      <c r="G403" s="41">
        <f>F403^2</f>
        <v/>
      </c>
      <c r="H403" s="40" t="n"/>
      <c r="I403" s="40" t="n"/>
    </row>
    <row r="404" ht="15" customHeight="1" s="28">
      <c r="A404" s="37" t="n">
        <v>391</v>
      </c>
      <c r="B404" s="55" t="n">
        <v>390</v>
      </c>
      <c r="C404" s="55">
        <f>B404^2</f>
        <v/>
      </c>
      <c r="D404" s="38" t="n">
        <v>4541.49</v>
      </c>
      <c r="E404" s="38">
        <f>4541.138727+0.225904*B404</f>
        <v/>
      </c>
      <c r="F404" s="39">
        <f>D404-E404</f>
        <v/>
      </c>
      <c r="G404" s="38">
        <f>F404^2</f>
        <v/>
      </c>
      <c r="H404" s="37" t="n"/>
      <c r="I404" s="37" t="n"/>
    </row>
    <row r="405" ht="15" customHeight="1" s="28">
      <c r="A405" s="40" t="n">
        <v>392</v>
      </c>
      <c r="B405" s="56" t="n">
        <v>391</v>
      </c>
      <c r="C405" s="56">
        <f>B405^2</f>
        <v/>
      </c>
      <c r="D405" s="41" t="n">
        <v>4544.58</v>
      </c>
      <c r="E405" s="41">
        <f>4541.138727+0.225904*B405</f>
        <v/>
      </c>
      <c r="F405" s="42">
        <f>D405-E405</f>
        <v/>
      </c>
      <c r="G405" s="41">
        <f>F405^2</f>
        <v/>
      </c>
      <c r="H405" s="40" t="n"/>
      <c r="I405" s="40" t="n"/>
    </row>
    <row r="406" ht="15" customHeight="1" s="28">
      <c r="A406" s="37" t="n">
        <v>393</v>
      </c>
      <c r="B406" s="55" t="n">
        <v>392</v>
      </c>
      <c r="C406" s="55">
        <f>B406^2</f>
        <v/>
      </c>
      <c r="D406" s="38" t="n">
        <v>4539.17</v>
      </c>
      <c r="E406" s="38">
        <f>4541.138727+0.225904*B406</f>
        <v/>
      </c>
      <c r="F406" s="39">
        <f>D406-E406</f>
        <v/>
      </c>
      <c r="G406" s="38">
        <f>F406^2</f>
        <v/>
      </c>
      <c r="H406" s="37" t="n"/>
      <c r="I406" s="37" t="n"/>
    </row>
    <row r="407" ht="15" customHeight="1" s="28">
      <c r="A407" s="40" t="n">
        <v>394</v>
      </c>
      <c r="B407" s="56" t="n">
        <v>393</v>
      </c>
      <c r="C407" s="56">
        <f>B407^2</f>
        <v/>
      </c>
      <c r="D407" s="41" t="n">
        <v>4542.12</v>
      </c>
      <c r="E407" s="41">
        <f>4541.138727+0.225904*B407</f>
        <v/>
      </c>
      <c r="F407" s="42">
        <f>D407-E407</f>
        <v/>
      </c>
      <c r="G407" s="41">
        <f>F407^2</f>
        <v/>
      </c>
      <c r="H407" s="40" t="n"/>
      <c r="I407" s="40" t="n"/>
    </row>
    <row r="408" ht="15" customHeight="1" s="28">
      <c r="A408" s="37" t="n">
        <v>395</v>
      </c>
      <c r="B408" s="55" t="n">
        <v>394</v>
      </c>
      <c r="C408" s="55">
        <f>B408^2</f>
        <v/>
      </c>
      <c r="D408" s="38" t="n">
        <v>4538.07</v>
      </c>
      <c r="E408" s="38">
        <f>4541.138727+0.225904*B408</f>
        <v/>
      </c>
      <c r="F408" s="39">
        <f>D408-E408</f>
        <v/>
      </c>
      <c r="G408" s="38">
        <f>F408^2</f>
        <v/>
      </c>
      <c r="H408" s="37" t="n"/>
      <c r="I408" s="37" t="n"/>
    </row>
    <row r="409" ht="15" customHeight="1" s="28">
      <c r="A409" s="40" t="n">
        <v>396</v>
      </c>
      <c r="B409" s="56" t="n">
        <v>395</v>
      </c>
      <c r="C409" s="56">
        <f>B409^2</f>
        <v/>
      </c>
      <c r="D409" s="41" t="n">
        <v>4535.98</v>
      </c>
      <c r="E409" s="41">
        <f>4541.138727+0.225904*B409</f>
        <v/>
      </c>
      <c r="F409" s="42">
        <f>D409-E409</f>
        <v/>
      </c>
      <c r="G409" s="41">
        <f>F409^2</f>
        <v/>
      </c>
      <c r="H409" s="40" t="n"/>
      <c r="I409" s="40" t="n"/>
    </row>
    <row r="410" ht="15" customHeight="1" s="28">
      <c r="A410" s="37" t="n">
        <v>397</v>
      </c>
      <c r="B410" s="55" t="n">
        <v>396</v>
      </c>
      <c r="C410" s="55">
        <f>B410^2</f>
        <v/>
      </c>
      <c r="D410" s="38" t="n">
        <v>4534.67</v>
      </c>
      <c r="E410" s="38">
        <f>4541.138727+0.225904*B410</f>
        <v/>
      </c>
      <c r="F410" s="39">
        <f>D410-E410</f>
        <v/>
      </c>
      <c r="G410" s="38">
        <f>F410^2</f>
        <v/>
      </c>
      <c r="H410" s="37" t="n"/>
      <c r="I410" s="37" t="n"/>
    </row>
    <row r="411" ht="15" customHeight="1" s="28">
      <c r="A411" s="40" t="n">
        <v>398</v>
      </c>
      <c r="B411" s="56" t="n">
        <v>397</v>
      </c>
      <c r="C411" s="56">
        <f>B411^2</f>
        <v/>
      </c>
      <c r="D411" s="41" t="n">
        <v>4532.97</v>
      </c>
      <c r="E411" s="41">
        <f>4541.138727+0.225904*B411</f>
        <v/>
      </c>
      <c r="F411" s="42">
        <f>D411-E411</f>
        <v/>
      </c>
      <c r="G411" s="41">
        <f>F411^2</f>
        <v/>
      </c>
      <c r="H411" s="40" t="n"/>
      <c r="I411" s="40" t="n"/>
    </row>
    <row r="412" ht="15" customHeight="1" s="28">
      <c r="A412" s="37" t="n">
        <v>399</v>
      </c>
      <c r="B412" s="55" t="n">
        <v>398</v>
      </c>
      <c r="C412" s="55">
        <f>B412^2</f>
        <v/>
      </c>
      <c r="D412" s="38" t="n">
        <v>4529.71</v>
      </c>
      <c r="E412" s="38">
        <f>4541.138727+0.225904*B412</f>
        <v/>
      </c>
      <c r="F412" s="39">
        <f>D412-E412</f>
        <v/>
      </c>
      <c r="G412" s="38">
        <f>F412^2</f>
        <v/>
      </c>
      <c r="H412" s="37" t="n"/>
      <c r="I412" s="37" t="n"/>
    </row>
    <row r="413" ht="15" customHeight="1" s="28">
      <c r="A413" s="40" t="n">
        <v>400</v>
      </c>
      <c r="B413" s="56" t="n">
        <v>399</v>
      </c>
      <c r="C413" s="56">
        <f>B413^2</f>
        <v/>
      </c>
      <c r="D413" s="41" t="n">
        <v>4531.71</v>
      </c>
      <c r="E413" s="41">
        <f>4541.138727+0.225904*B413</f>
        <v/>
      </c>
      <c r="F413" s="42">
        <f>D413-E413</f>
        <v/>
      </c>
      <c r="G413" s="41">
        <f>F413^2</f>
        <v/>
      </c>
      <c r="H413" s="40" t="n"/>
      <c r="I413" s="40" t="n"/>
    </row>
    <row r="414" ht="15" customHeight="1" s="28">
      <c r="A414" s="37" t="n">
        <v>401</v>
      </c>
      <c r="B414" s="55" t="n">
        <v>400</v>
      </c>
      <c r="C414" s="55">
        <f>B414^2</f>
        <v/>
      </c>
      <c r="D414" s="38" t="n">
        <v>4533.58</v>
      </c>
      <c r="E414" s="38">
        <f>4541.138727+0.225904*B414</f>
        <v/>
      </c>
      <c r="F414" s="39">
        <f>D414-E414</f>
        <v/>
      </c>
      <c r="G414" s="38">
        <f>F414^2</f>
        <v/>
      </c>
      <c r="H414" s="37" t="n"/>
      <c r="I414" s="37" t="n"/>
    </row>
    <row r="415" ht="15" customHeight="1" s="28">
      <c r="A415" s="40" t="n">
        <v>402</v>
      </c>
      <c r="B415" s="56" t="n">
        <v>401</v>
      </c>
      <c r="C415" s="56">
        <f>B415^2</f>
        <v/>
      </c>
      <c r="D415" s="41" t="n">
        <v>4540.2</v>
      </c>
      <c r="E415" s="41">
        <f>4541.138727+0.225904*B415</f>
        <v/>
      </c>
      <c r="F415" s="42">
        <f>D415-E415</f>
        <v/>
      </c>
      <c r="G415" s="41">
        <f>F415^2</f>
        <v/>
      </c>
      <c r="H415" s="40" t="n"/>
      <c r="I415" s="40" t="n"/>
    </row>
    <row r="416" ht="15" customHeight="1" s="28">
      <c r="A416" s="37" t="n">
        <v>403</v>
      </c>
      <c r="B416" s="55" t="n">
        <v>402</v>
      </c>
      <c r="C416" s="55">
        <f>B416^2</f>
        <v/>
      </c>
      <c r="D416" s="38" t="n">
        <v>4540.11</v>
      </c>
      <c r="E416" s="38">
        <f>4541.138727+0.225904*B416</f>
        <v/>
      </c>
      <c r="F416" s="39">
        <f>D416-E416</f>
        <v/>
      </c>
      <c r="G416" s="38">
        <f>F416^2</f>
        <v/>
      </c>
      <c r="H416" s="37" t="n"/>
      <c r="I416" s="37" t="n"/>
    </row>
    <row r="417" ht="15" customHeight="1" s="28">
      <c r="A417" s="40" t="n">
        <v>404</v>
      </c>
      <c r="B417" s="56" t="n">
        <v>403</v>
      </c>
      <c r="C417" s="56">
        <f>B417^2</f>
        <v/>
      </c>
      <c r="D417" s="41" t="n">
        <v>4545.86</v>
      </c>
      <c r="E417" s="41">
        <f>4541.138727+0.225904*B417</f>
        <v/>
      </c>
      <c r="F417" s="42">
        <f>D417-E417</f>
        <v/>
      </c>
      <c r="G417" s="41">
        <f>F417^2</f>
        <v/>
      </c>
      <c r="H417" s="40" t="n"/>
      <c r="I417" s="40" t="n"/>
    </row>
    <row r="418" ht="15" customHeight="1" s="28">
      <c r="A418" s="37" t="n">
        <v>405</v>
      </c>
      <c r="B418" s="55" t="n">
        <v>404</v>
      </c>
      <c r="C418" s="55">
        <f>B418^2</f>
        <v/>
      </c>
      <c r="D418" s="38" t="n">
        <v>4545.73</v>
      </c>
      <c r="E418" s="38">
        <f>4541.138727+0.225904*B418</f>
        <v/>
      </c>
      <c r="F418" s="39">
        <f>D418-E418</f>
        <v/>
      </c>
      <c r="G418" s="38">
        <f>F418^2</f>
        <v/>
      </c>
      <c r="H418" s="37" t="n"/>
      <c r="I418" s="37" t="n"/>
    </row>
    <row r="419" ht="15" customHeight="1" s="28">
      <c r="A419" s="40" t="n">
        <v>406</v>
      </c>
      <c r="B419" s="56" t="n">
        <v>405</v>
      </c>
      <c r="C419" s="56">
        <f>B419^2</f>
        <v/>
      </c>
      <c r="D419" s="41" t="n">
        <v>4543.66</v>
      </c>
      <c r="E419" s="41">
        <f>4541.138727+0.225904*B419</f>
        <v/>
      </c>
      <c r="F419" s="42">
        <f>D419-E419</f>
        <v/>
      </c>
      <c r="G419" s="41">
        <f>F419^2</f>
        <v/>
      </c>
      <c r="H419" s="40" t="n"/>
      <c r="I419" s="40" t="n"/>
    </row>
    <row r="420" ht="15" customHeight="1" s="28">
      <c r="A420" s="37" t="n">
        <v>407</v>
      </c>
      <c r="B420" s="55" t="n">
        <v>406</v>
      </c>
      <c r="C420" s="55">
        <f>B420^2</f>
        <v/>
      </c>
      <c r="D420" s="38" t="n">
        <v>4536.86</v>
      </c>
      <c r="E420" s="38">
        <f>4541.138727+0.225904*B420</f>
        <v/>
      </c>
      <c r="F420" s="39">
        <f>D420-E420</f>
        <v/>
      </c>
      <c r="G420" s="38">
        <f>F420^2</f>
        <v/>
      </c>
      <c r="H420" s="37" t="n"/>
      <c r="I420" s="37" t="n"/>
    </row>
    <row r="421" ht="15" customHeight="1" s="28">
      <c r="A421" s="40" t="n">
        <v>408</v>
      </c>
      <c r="B421" s="56" t="n">
        <v>407</v>
      </c>
      <c r="C421" s="56">
        <f>B421^2</f>
        <v/>
      </c>
      <c r="D421" s="41" t="n">
        <v>4546.17</v>
      </c>
      <c r="E421" s="41">
        <f>4541.138727+0.225904*B421</f>
        <v/>
      </c>
      <c r="F421" s="42">
        <f>D421-E421</f>
        <v/>
      </c>
      <c r="G421" s="41">
        <f>F421^2</f>
        <v/>
      </c>
      <c r="H421" s="40" t="n"/>
      <c r="I421" s="40" t="n"/>
    </row>
    <row r="422" ht="15" customHeight="1" s="28">
      <c r="A422" s="37" t="n">
        <v>409</v>
      </c>
      <c r="B422" s="55" t="n">
        <v>408</v>
      </c>
      <c r="C422" s="55">
        <f>B422^2</f>
        <v/>
      </c>
      <c r="D422" s="38" t="n">
        <v>4548.12</v>
      </c>
      <c r="E422" s="38">
        <f>4541.138727+0.225904*B422</f>
        <v/>
      </c>
      <c r="F422" s="39">
        <f>D422-E422</f>
        <v/>
      </c>
      <c r="G422" s="38">
        <f>F422^2</f>
        <v/>
      </c>
      <c r="H422" s="37" t="n"/>
      <c r="I422" s="37" t="n"/>
    </row>
    <row r="423" ht="15" customHeight="1" s="28">
      <c r="A423" s="40" t="n">
        <v>410</v>
      </c>
      <c r="B423" s="56" t="n">
        <v>409</v>
      </c>
      <c r="C423" s="56">
        <f>B423^2</f>
        <v/>
      </c>
      <c r="D423" s="41" t="n">
        <v>4554.04</v>
      </c>
      <c r="E423" s="41">
        <f>4541.138727+0.225904*B423</f>
        <v/>
      </c>
      <c r="F423" s="42">
        <f>D423-E423</f>
        <v/>
      </c>
      <c r="G423" s="41">
        <f>F423^2</f>
        <v/>
      </c>
      <c r="H423" s="40" t="n"/>
      <c r="I423" s="40" t="n"/>
    </row>
    <row r="424" ht="15" customHeight="1" s="28">
      <c r="A424" s="37" t="n">
        <v>411</v>
      </c>
      <c r="B424" s="55" t="n">
        <v>410</v>
      </c>
      <c r="C424" s="55">
        <f>B424^2</f>
        <v/>
      </c>
      <c r="D424" s="38" t="n">
        <v>4548.94</v>
      </c>
      <c r="E424" s="38">
        <f>4541.138727+0.225904*B424</f>
        <v/>
      </c>
      <c r="F424" s="39">
        <f>D424-E424</f>
        <v/>
      </c>
      <c r="G424" s="38">
        <f>F424^2</f>
        <v/>
      </c>
      <c r="H424" s="37" t="n"/>
      <c r="I424" s="37" t="n"/>
    </row>
    <row r="425" ht="15" customHeight="1" s="28">
      <c r="A425" s="40" t="n">
        <v>412</v>
      </c>
      <c r="B425" s="56" t="n">
        <v>411</v>
      </c>
      <c r="C425" s="56">
        <f>B425^2</f>
        <v/>
      </c>
      <c r="D425" s="41" t="n">
        <v>4551.29</v>
      </c>
      <c r="E425" s="41">
        <f>4541.138727+0.225904*B425</f>
        <v/>
      </c>
      <c r="F425" s="42">
        <f>D425-E425</f>
        <v/>
      </c>
      <c r="G425" s="41">
        <f>F425^2</f>
        <v/>
      </c>
      <c r="H425" s="40" t="n"/>
      <c r="I425" s="40" t="n"/>
    </row>
    <row r="426" ht="15" customHeight="1" s="28">
      <c r="A426" s="37" t="n">
        <v>413</v>
      </c>
      <c r="B426" s="55" t="n">
        <v>412</v>
      </c>
      <c r="C426" s="55">
        <f>B426^2</f>
        <v/>
      </c>
      <c r="D426" s="38" t="n">
        <v>4545.57</v>
      </c>
      <c r="E426" s="38">
        <f>4541.138727+0.225904*B426</f>
        <v/>
      </c>
      <c r="F426" s="39">
        <f>D426-E426</f>
        <v/>
      </c>
      <c r="G426" s="38">
        <f>F426^2</f>
        <v/>
      </c>
      <c r="H426" s="37" t="n"/>
      <c r="I426" s="37" t="n"/>
    </row>
    <row r="427" ht="15" customHeight="1" s="28">
      <c r="A427" s="40" t="n">
        <v>414</v>
      </c>
      <c r="B427" s="56" t="n">
        <v>413</v>
      </c>
      <c r="C427" s="56">
        <f>B427^2</f>
        <v/>
      </c>
      <c r="D427" s="41" t="n">
        <v>4551.12</v>
      </c>
      <c r="E427" s="41">
        <f>4541.138727+0.225904*B427</f>
        <v/>
      </c>
      <c r="F427" s="42">
        <f>D427-E427</f>
        <v/>
      </c>
      <c r="G427" s="41">
        <f>F427^2</f>
        <v/>
      </c>
      <c r="H427" s="40" t="n"/>
      <c r="I427" s="40" t="n"/>
    </row>
    <row r="428" ht="15" customHeight="1" s="28">
      <c r="A428" s="37" t="n">
        <v>415</v>
      </c>
      <c r="B428" s="55" t="n">
        <v>414</v>
      </c>
      <c r="C428" s="55">
        <f>B428^2</f>
        <v/>
      </c>
      <c r="D428" s="38" t="n">
        <v>4551.48</v>
      </c>
      <c r="E428" s="38">
        <f>4541.138727+0.225904*B428</f>
        <v/>
      </c>
      <c r="F428" s="39">
        <f>D428-E428</f>
        <v/>
      </c>
      <c r="G428" s="38">
        <f>F428^2</f>
        <v/>
      </c>
      <c r="H428" s="37" t="n"/>
      <c r="I428" s="37" t="n"/>
    </row>
    <row r="429" ht="15" customHeight="1" s="28">
      <c r="A429" s="40" t="n">
        <v>416</v>
      </c>
      <c r="B429" s="56" t="n">
        <v>415</v>
      </c>
      <c r="C429" s="56">
        <f>B429^2</f>
        <v/>
      </c>
      <c r="D429" s="41" t="n">
        <v>4550.32</v>
      </c>
      <c r="E429" s="41">
        <f>4541.138727+0.225904*B429</f>
        <v/>
      </c>
      <c r="F429" s="42">
        <f>D429-E429</f>
        <v/>
      </c>
      <c r="G429" s="41">
        <f>F429^2</f>
        <v/>
      </c>
      <c r="H429" s="40" t="n"/>
      <c r="I429" s="40" t="n"/>
    </row>
    <row r="430" ht="15" customHeight="1" s="28">
      <c r="A430" s="37" t="n">
        <v>417</v>
      </c>
      <c r="B430" s="55" t="n">
        <v>416</v>
      </c>
      <c r="C430" s="55">
        <f>B430^2</f>
        <v/>
      </c>
      <c r="D430" s="38" t="n">
        <v>4558.34</v>
      </c>
      <c r="E430" s="38">
        <f>4541.138727+0.225904*B430</f>
        <v/>
      </c>
      <c r="F430" s="39">
        <f>D430-E430</f>
        <v/>
      </c>
      <c r="G430" s="38">
        <f>F430^2</f>
        <v/>
      </c>
      <c r="H430" s="37" t="n"/>
      <c r="I430" s="37" t="n"/>
    </row>
    <row r="431" ht="15" customHeight="1" s="28">
      <c r="A431" s="40" t="n">
        <v>418</v>
      </c>
      <c r="B431" s="56" t="n">
        <v>417</v>
      </c>
      <c r="C431" s="56">
        <f>B431^2</f>
        <v/>
      </c>
      <c r="D431" s="41" t="n">
        <v>4557.61</v>
      </c>
      <c r="E431" s="41">
        <f>4541.138727+0.225904*B431</f>
        <v/>
      </c>
      <c r="F431" s="42">
        <f>D431-E431</f>
        <v/>
      </c>
      <c r="G431" s="41">
        <f>F431^2</f>
        <v/>
      </c>
      <c r="H431" s="40" t="n"/>
      <c r="I431" s="40" t="n"/>
    </row>
    <row r="432" ht="15" customHeight="1" s="28">
      <c r="A432" s="37" t="n">
        <v>419</v>
      </c>
      <c r="B432" s="55" t="n">
        <v>418</v>
      </c>
      <c r="C432" s="55">
        <f>B432^2</f>
        <v/>
      </c>
      <c r="D432" s="38" t="n">
        <v>4552.3</v>
      </c>
      <c r="E432" s="38">
        <f>4541.138727+0.225904*B432</f>
        <v/>
      </c>
      <c r="F432" s="39">
        <f>D432-E432</f>
        <v/>
      </c>
      <c r="G432" s="38">
        <f>F432^2</f>
        <v/>
      </c>
      <c r="H432" s="37" t="n"/>
      <c r="I432" s="37" t="n"/>
    </row>
    <row r="433" ht="15" customHeight="1" s="28">
      <c r="A433" s="40" t="n">
        <v>420</v>
      </c>
      <c r="B433" s="56" t="n">
        <v>419</v>
      </c>
      <c r="C433" s="56">
        <f>B433^2</f>
        <v/>
      </c>
      <c r="D433" s="41" t="n">
        <v>4555.5</v>
      </c>
      <c r="E433" s="41">
        <f>4541.138727+0.225904*B433</f>
        <v/>
      </c>
      <c r="F433" s="42">
        <f>D433-E433</f>
        <v/>
      </c>
      <c r="G433" s="41">
        <f>F433^2</f>
        <v/>
      </c>
      <c r="H433" s="40" t="n"/>
      <c r="I433" s="40" t="n"/>
    </row>
    <row r="434" ht="15" customHeight="1" s="28">
      <c r="A434" s="37" t="n">
        <v>421</v>
      </c>
      <c r="B434" s="55" t="n">
        <v>420</v>
      </c>
      <c r="C434" s="55">
        <f>B434^2</f>
        <v/>
      </c>
      <c r="D434" s="38" t="n">
        <v>4556.21</v>
      </c>
      <c r="E434" s="38">
        <f>4541.138727+0.225904*B434</f>
        <v/>
      </c>
      <c r="F434" s="39">
        <f>D434-E434</f>
        <v/>
      </c>
      <c r="G434" s="38">
        <f>F434^2</f>
        <v/>
      </c>
      <c r="H434" s="37" t="n"/>
      <c r="I434" s="37" t="n"/>
    </row>
    <row r="435" ht="15" customHeight="1" s="28">
      <c r="A435" s="40" t="n">
        <v>422</v>
      </c>
      <c r="B435" s="56" t="n">
        <v>421</v>
      </c>
      <c r="C435" s="56">
        <f>B435^2</f>
        <v/>
      </c>
      <c r="D435" s="41" t="n">
        <v>4553.01</v>
      </c>
      <c r="E435" s="41">
        <f>4541.138727+0.225904*B435</f>
        <v/>
      </c>
      <c r="F435" s="42">
        <f>D435-E435</f>
        <v/>
      </c>
      <c r="G435" s="41">
        <f>F435^2</f>
        <v/>
      </c>
      <c r="H435" s="40" t="n"/>
      <c r="I435" s="40" t="n"/>
    </row>
    <row r="436" ht="15" customHeight="1" s="28">
      <c r="A436" s="37" t="n">
        <v>423</v>
      </c>
      <c r="B436" s="55" t="n">
        <v>422</v>
      </c>
      <c r="C436" s="55">
        <f>B436^2</f>
        <v/>
      </c>
      <c r="D436" s="38" t="n">
        <v>4547.92</v>
      </c>
      <c r="E436" s="38">
        <f>4541.138727+0.225904*B436</f>
        <v/>
      </c>
      <c r="F436" s="39">
        <f>D436-E436</f>
        <v/>
      </c>
      <c r="G436" s="38">
        <f>F436^2</f>
        <v/>
      </c>
      <c r="H436" s="37" t="n"/>
      <c r="I436" s="37" t="n"/>
    </row>
    <row r="437" ht="15" customHeight="1" s="28">
      <c r="A437" s="40" t="n">
        <v>424</v>
      </c>
      <c r="B437" s="56" t="n">
        <v>423</v>
      </c>
      <c r="C437" s="56">
        <f>B437^2</f>
        <v/>
      </c>
      <c r="D437" s="41" t="n">
        <v>4545.13</v>
      </c>
      <c r="E437" s="41">
        <f>4541.138727+0.225904*B437</f>
        <v/>
      </c>
      <c r="F437" s="42">
        <f>D437-E437</f>
        <v/>
      </c>
      <c r="G437" s="41">
        <f>F437^2</f>
        <v/>
      </c>
      <c r="H437" s="40" t="n"/>
      <c r="I437" s="40" t="n"/>
    </row>
    <row r="438" ht="15" customHeight="1" s="28">
      <c r="A438" s="37" t="n">
        <v>425</v>
      </c>
      <c r="B438" s="55" t="n">
        <v>424</v>
      </c>
      <c r="C438" s="55">
        <f>B438^2</f>
        <v/>
      </c>
      <c r="D438" s="38" t="n">
        <v>4543.73</v>
      </c>
      <c r="E438" s="38">
        <f>4541.138727+0.225904*B438</f>
        <v/>
      </c>
      <c r="F438" s="39">
        <f>D438-E438</f>
        <v/>
      </c>
      <c r="G438" s="38">
        <f>F438^2</f>
        <v/>
      </c>
      <c r="H438" s="37" t="n"/>
      <c r="I438" s="37" t="n"/>
    </row>
    <row r="439" ht="15" customHeight="1" s="28">
      <c r="A439" s="40" t="n">
        <v>426</v>
      </c>
      <c r="B439" s="56" t="n">
        <v>425</v>
      </c>
      <c r="C439" s="56">
        <f>B439^2</f>
        <v/>
      </c>
      <c r="D439" s="41" t="n">
        <v>4552.62</v>
      </c>
      <c r="E439" s="41">
        <f>4541.138727+0.225904*B439</f>
        <v/>
      </c>
      <c r="F439" s="42">
        <f>D439-E439</f>
        <v/>
      </c>
      <c r="G439" s="41">
        <f>F439^2</f>
        <v/>
      </c>
      <c r="H439" s="40" t="n"/>
      <c r="I439" s="40" t="n"/>
    </row>
    <row r="440" ht="15" customHeight="1" s="28">
      <c r="A440" s="37" t="n">
        <v>427</v>
      </c>
      <c r="B440" s="55" t="n">
        <v>426</v>
      </c>
      <c r="C440" s="55">
        <f>B440^2</f>
        <v/>
      </c>
      <c r="D440" s="38" t="n">
        <v>4556.17</v>
      </c>
      <c r="E440" s="38">
        <f>4541.138727+0.225904*B440</f>
        <v/>
      </c>
      <c r="F440" s="39">
        <f>D440-E440</f>
        <v/>
      </c>
      <c r="G440" s="38">
        <f>F440^2</f>
        <v/>
      </c>
      <c r="H440" s="37" t="n"/>
      <c r="I440" s="37" t="n"/>
    </row>
    <row r="441" ht="15" customHeight="1" s="28">
      <c r="A441" s="40" t="n">
        <v>428</v>
      </c>
      <c r="B441" s="56" t="n">
        <v>427</v>
      </c>
      <c r="C441" s="56">
        <f>B441^2</f>
        <v/>
      </c>
      <c r="D441" s="41" t="n">
        <v>4563.32</v>
      </c>
      <c r="E441" s="41">
        <f>4541.138727+0.225904*B441</f>
        <v/>
      </c>
      <c r="F441" s="42">
        <f>D441-E441</f>
        <v/>
      </c>
      <c r="G441" s="41">
        <f>F441^2</f>
        <v/>
      </c>
      <c r="H441" s="40" t="n"/>
      <c r="I441" s="40" t="n"/>
    </row>
    <row r="442" ht="15" customHeight="1" s="28">
      <c r="A442" s="37" t="n">
        <v>429</v>
      </c>
      <c r="B442" s="55" t="n">
        <v>428</v>
      </c>
      <c r="C442" s="55">
        <f>B442^2</f>
        <v/>
      </c>
      <c r="D442" s="38" t="n">
        <v>4562.6</v>
      </c>
      <c r="E442" s="38">
        <f>4541.138727+0.225904*B442</f>
        <v/>
      </c>
      <c r="F442" s="39">
        <f>D442-E442</f>
        <v/>
      </c>
      <c r="G442" s="38">
        <f>F442^2</f>
        <v/>
      </c>
      <c r="H442" s="37" t="n"/>
      <c r="I442" s="37" t="n"/>
    </row>
    <row r="443" ht="15" customHeight="1" s="28">
      <c r="A443" s="40" t="n">
        <v>430</v>
      </c>
      <c r="B443" s="56" t="n">
        <v>429</v>
      </c>
      <c r="C443" s="56">
        <f>B443^2</f>
        <v/>
      </c>
      <c r="D443" s="41" t="n">
        <v>4565</v>
      </c>
      <c r="E443" s="41">
        <f>4541.138727+0.225904*B443</f>
        <v/>
      </c>
      <c r="F443" s="42">
        <f>D443-E443</f>
        <v/>
      </c>
      <c r="G443" s="41">
        <f>F443^2</f>
        <v/>
      </c>
      <c r="H443" s="40" t="n"/>
      <c r="I443" s="40" t="n"/>
    </row>
    <row r="444" ht="15" customHeight="1" s="28">
      <c r="A444" s="37" t="n">
        <v>431</v>
      </c>
      <c r="B444" s="55" t="n">
        <v>430</v>
      </c>
      <c r="C444" s="55">
        <f>B444^2</f>
        <v/>
      </c>
      <c r="D444" s="38" t="n">
        <v>4573.81</v>
      </c>
      <c r="E444" s="38">
        <f>4541.138727+0.225904*B444</f>
        <v/>
      </c>
      <c r="F444" s="39">
        <f>D444-E444</f>
        <v/>
      </c>
      <c r="G444" s="38">
        <f>F444^2</f>
        <v/>
      </c>
      <c r="H444" s="37" t="n"/>
      <c r="I444" s="37" t="n"/>
    </row>
    <row r="445" ht="15" customHeight="1" s="28">
      <c r="A445" s="40" t="n">
        <v>432</v>
      </c>
      <c r="B445" s="56" t="n">
        <v>431</v>
      </c>
      <c r="C445" s="56">
        <f>B445^2</f>
        <v/>
      </c>
      <c r="D445" s="41" t="n">
        <v>4567.11</v>
      </c>
      <c r="E445" s="41">
        <f>4541.138727+0.225904*B445</f>
        <v/>
      </c>
      <c r="F445" s="42">
        <f>D445-E445</f>
        <v/>
      </c>
      <c r="G445" s="41">
        <f>F445^2</f>
        <v/>
      </c>
      <c r="H445" s="40" t="n"/>
      <c r="I445" s="40" t="n"/>
    </row>
    <row r="446" ht="15" customHeight="1" s="28">
      <c r="A446" s="37" t="n">
        <v>433</v>
      </c>
      <c r="B446" s="55" t="n">
        <v>432</v>
      </c>
      <c r="C446" s="55">
        <f>B446^2</f>
        <v/>
      </c>
      <c r="D446" s="38" t="n">
        <v>4564.68</v>
      </c>
      <c r="E446" s="38">
        <f>4541.138727+0.225904*B446</f>
        <v/>
      </c>
      <c r="F446" s="39">
        <f>D446-E446</f>
        <v/>
      </c>
      <c r="G446" s="38">
        <f>F446^2</f>
        <v/>
      </c>
      <c r="H446" s="37" t="n"/>
      <c r="I446" s="37" t="n"/>
    </row>
    <row r="447" ht="15" customHeight="1" s="28">
      <c r="A447" s="40" t="n">
        <v>434</v>
      </c>
      <c r="B447" s="56" t="n">
        <v>433</v>
      </c>
      <c r="C447" s="56">
        <f>B447^2</f>
        <v/>
      </c>
      <c r="D447" s="41" t="n">
        <v>4578.78</v>
      </c>
      <c r="E447" s="41">
        <f>4541.138727+0.225904*B447</f>
        <v/>
      </c>
      <c r="F447" s="42">
        <f>D447-E447</f>
        <v/>
      </c>
      <c r="G447" s="41">
        <f>F447^2</f>
        <v/>
      </c>
      <c r="H447" s="40" t="n"/>
      <c r="I447" s="40" t="n"/>
    </row>
    <row r="448" ht="15" customHeight="1" s="28">
      <c r="A448" s="37" t="n">
        <v>435</v>
      </c>
      <c r="B448" s="55" t="n">
        <v>434</v>
      </c>
      <c r="C448" s="55">
        <f>B448^2</f>
        <v/>
      </c>
      <c r="D448" s="38" t="n">
        <v>4576.85</v>
      </c>
      <c r="E448" s="38">
        <f>4541.138727+0.225904*B448</f>
        <v/>
      </c>
      <c r="F448" s="39">
        <f>D448-E448</f>
        <v/>
      </c>
      <c r="G448" s="38">
        <f>F448^2</f>
        <v/>
      </c>
      <c r="H448" s="37" t="n"/>
      <c r="I448" s="37" t="n"/>
    </row>
    <row r="449" ht="15" customHeight="1" s="28">
      <c r="A449" s="40" t="n">
        <v>436</v>
      </c>
      <c r="B449" s="56" t="n">
        <v>435</v>
      </c>
      <c r="C449" s="56">
        <f>B449^2</f>
        <v/>
      </c>
      <c r="D449" s="41" t="n">
        <v>4574.12</v>
      </c>
      <c r="E449" s="41">
        <f>4541.138727+0.225904*B449</f>
        <v/>
      </c>
      <c r="F449" s="42">
        <f>D449-E449</f>
        <v/>
      </c>
      <c r="G449" s="41">
        <f>F449^2</f>
        <v/>
      </c>
      <c r="H449" s="40" t="n"/>
      <c r="I449" s="40" t="n"/>
    </row>
    <row r="450" ht="15" customHeight="1" s="28">
      <c r="A450" s="37" t="n">
        <v>437</v>
      </c>
      <c r="B450" s="55" t="n">
        <v>436</v>
      </c>
      <c r="C450" s="55">
        <f>B450^2</f>
        <v/>
      </c>
      <c r="D450" s="38" t="n">
        <v>4579.4</v>
      </c>
      <c r="E450" s="38">
        <f>4541.138727+0.225904*B450</f>
        <v/>
      </c>
      <c r="F450" s="39">
        <f>D450-E450</f>
        <v/>
      </c>
      <c r="G450" s="38">
        <f>F450^2</f>
        <v/>
      </c>
      <c r="H450" s="37" t="n"/>
      <c r="I450" s="37" t="n"/>
    </row>
    <row r="451" ht="15" customHeight="1" s="28">
      <c r="A451" s="40" t="n">
        <v>438</v>
      </c>
      <c r="B451" s="56" t="n">
        <v>437</v>
      </c>
      <c r="C451" s="56">
        <f>B451^2</f>
        <v/>
      </c>
      <c r="D451" s="41" t="n">
        <v>4573.57</v>
      </c>
      <c r="E451" s="41">
        <f>4541.138727+0.225904*B451</f>
        <v/>
      </c>
      <c r="F451" s="42">
        <f>D451-E451</f>
        <v/>
      </c>
      <c r="G451" s="41">
        <f>F451^2</f>
        <v/>
      </c>
      <c r="H451" s="40" t="n"/>
      <c r="I451" s="40" t="n"/>
    </row>
    <row r="452" ht="15" customHeight="1" s="28">
      <c r="A452" s="37" t="n">
        <v>439</v>
      </c>
      <c r="B452" s="55" t="n">
        <v>438</v>
      </c>
      <c r="C452" s="55">
        <f>B452^2</f>
        <v/>
      </c>
      <c r="D452" s="38" t="n">
        <v>4584.37</v>
      </c>
      <c r="E452" s="38">
        <f>4541.138727+0.225904*B452</f>
        <v/>
      </c>
      <c r="F452" s="39">
        <f>D452-E452</f>
        <v/>
      </c>
      <c r="G452" s="38">
        <f>F452^2</f>
        <v/>
      </c>
      <c r="H452" s="37" t="n"/>
      <c r="I452" s="37" t="n"/>
    </row>
    <row r="453" ht="15" customHeight="1" s="28">
      <c r="A453" s="40" t="n">
        <v>440</v>
      </c>
      <c r="B453" s="56" t="n">
        <v>439</v>
      </c>
      <c r="C453" s="56">
        <f>B453^2</f>
        <v/>
      </c>
      <c r="D453" s="41" t="n">
        <v>4582.96</v>
      </c>
      <c r="E453" s="41">
        <f>4541.138727+0.225904*B453</f>
        <v/>
      </c>
      <c r="F453" s="42">
        <f>D453-E453</f>
        <v/>
      </c>
      <c r="G453" s="41">
        <f>F453^2</f>
        <v/>
      </c>
      <c r="H453" s="40" t="n"/>
      <c r="I453" s="40" t="n"/>
    </row>
    <row r="454" ht="15" customHeight="1" s="28">
      <c r="A454" s="37" t="n">
        <v>441</v>
      </c>
      <c r="B454" s="55" t="n">
        <v>440</v>
      </c>
      <c r="C454" s="55">
        <f>B454^2</f>
        <v/>
      </c>
      <c r="D454" s="38" t="n">
        <v>4582.46</v>
      </c>
      <c r="E454" s="38">
        <f>4541.138727+0.225904*B454</f>
        <v/>
      </c>
      <c r="F454" s="39">
        <f>D454-E454</f>
        <v/>
      </c>
      <c r="G454" s="38">
        <f>F454^2</f>
        <v/>
      </c>
      <c r="H454" s="37" t="n"/>
      <c r="I454" s="37" t="n"/>
    </row>
    <row r="455" ht="15" customHeight="1" s="28">
      <c r="A455" s="40" t="n">
        <v>442</v>
      </c>
      <c r="B455" s="56" t="n">
        <v>441</v>
      </c>
      <c r="C455" s="56">
        <f>B455^2</f>
        <v/>
      </c>
      <c r="D455" s="41" t="n">
        <v>4580.89</v>
      </c>
      <c r="E455" s="41">
        <f>4541.138727+0.225904*B455</f>
        <v/>
      </c>
      <c r="F455" s="42">
        <f>D455-E455</f>
        <v/>
      </c>
      <c r="G455" s="41">
        <f>F455^2</f>
        <v/>
      </c>
      <c r="H455" s="40" t="n"/>
      <c r="I455" s="40" t="n"/>
    </row>
    <row r="456" ht="15" customHeight="1" s="28">
      <c r="A456" s="37" t="n">
        <v>443</v>
      </c>
      <c r="B456" s="55" t="n">
        <v>442</v>
      </c>
      <c r="C456" s="55">
        <f>B456^2</f>
        <v/>
      </c>
      <c r="D456" s="38" t="n">
        <v>4578.99</v>
      </c>
      <c r="E456" s="38">
        <f>4541.138727+0.225904*B456</f>
        <v/>
      </c>
      <c r="F456" s="39">
        <f>D456-E456</f>
        <v/>
      </c>
      <c r="G456" s="38">
        <f>F456^2</f>
        <v/>
      </c>
      <c r="H456" s="37" t="n"/>
      <c r="I456" s="37" t="n"/>
    </row>
    <row r="457" ht="15" customHeight="1" s="28">
      <c r="A457" s="40" t="n">
        <v>444</v>
      </c>
      <c r="B457" s="56" t="n">
        <v>443</v>
      </c>
      <c r="C457" s="56">
        <f>B457^2</f>
        <v/>
      </c>
      <c r="D457" s="41" t="n">
        <v>4572.95</v>
      </c>
      <c r="E457" s="41">
        <f>4541.138727+0.225904*B457</f>
        <v/>
      </c>
      <c r="F457" s="42">
        <f>D457-E457</f>
        <v/>
      </c>
      <c r="G457" s="41">
        <f>F457^2</f>
        <v/>
      </c>
      <c r="H457" s="40" t="n"/>
      <c r="I457" s="40" t="n"/>
    </row>
    <row r="458" ht="15" customHeight="1" s="28">
      <c r="A458" s="37" t="n">
        <v>445</v>
      </c>
      <c r="B458" s="55" t="n">
        <v>444</v>
      </c>
      <c r="C458" s="55">
        <f>B458^2</f>
        <v/>
      </c>
      <c r="D458" s="38" t="n">
        <v>4568.49</v>
      </c>
      <c r="E458" s="38">
        <f>4541.138727+0.225904*B458</f>
        <v/>
      </c>
      <c r="F458" s="39">
        <f>D458-E458</f>
        <v/>
      </c>
      <c r="G458" s="38">
        <f>F458^2</f>
        <v/>
      </c>
      <c r="H458" s="37" t="n"/>
      <c r="I458" s="37" t="n"/>
    </row>
    <row r="459" ht="15" customHeight="1" s="28">
      <c r="A459" s="40" t="n">
        <v>446</v>
      </c>
      <c r="B459" s="56" t="n">
        <v>445</v>
      </c>
      <c r="C459" s="56">
        <f>B459^2</f>
        <v/>
      </c>
      <c r="D459" s="41" t="n">
        <v>4566.28</v>
      </c>
      <c r="E459" s="41">
        <f>4541.138727+0.225904*B459</f>
        <v/>
      </c>
      <c r="F459" s="42">
        <f>D459-E459</f>
        <v/>
      </c>
      <c r="G459" s="41">
        <f>F459^2</f>
        <v/>
      </c>
      <c r="H459" s="40" t="n"/>
      <c r="I459" s="40" t="n"/>
    </row>
    <row r="460" ht="15" customHeight="1" s="28">
      <c r="A460" s="37" t="n">
        <v>447</v>
      </c>
      <c r="B460" s="55" t="n">
        <v>446</v>
      </c>
      <c r="C460" s="55">
        <f>B460^2</f>
        <v/>
      </c>
      <c r="D460" s="38" t="n">
        <v>4559.7</v>
      </c>
      <c r="E460" s="38">
        <f>4541.138727+0.225904*B460</f>
        <v/>
      </c>
      <c r="F460" s="39">
        <f>D460-E460</f>
        <v/>
      </c>
      <c r="G460" s="38">
        <f>F460^2</f>
        <v/>
      </c>
      <c r="H460" s="37" t="n"/>
      <c r="I460" s="37" t="n"/>
    </row>
    <row r="461" ht="15" customHeight="1" s="28">
      <c r="A461" s="40" t="n">
        <v>448</v>
      </c>
      <c r="B461" s="56" t="n">
        <v>447</v>
      </c>
      <c r="C461" s="56">
        <f>B461^2</f>
        <v/>
      </c>
      <c r="D461" s="41" t="n">
        <v>4556.78</v>
      </c>
      <c r="E461" s="41">
        <f>4541.138727+0.225904*B461</f>
        <v/>
      </c>
      <c r="F461" s="42">
        <f>D461-E461</f>
        <v/>
      </c>
      <c r="G461" s="41">
        <f>F461^2</f>
        <v/>
      </c>
      <c r="H461" s="40" t="n"/>
      <c r="I461" s="40" t="n"/>
    </row>
    <row r="462" ht="15" customHeight="1" s="28">
      <c r="A462" s="37" t="n">
        <v>449</v>
      </c>
      <c r="B462" s="55" t="n">
        <v>448</v>
      </c>
      <c r="C462" s="55">
        <f>B462^2</f>
        <v/>
      </c>
      <c r="D462" s="38" t="n">
        <v>4561.35</v>
      </c>
      <c r="E462" s="38">
        <f>4541.138727+0.225904*B462</f>
        <v/>
      </c>
      <c r="F462" s="39">
        <f>D462-E462</f>
        <v/>
      </c>
      <c r="G462" s="38">
        <f>F462^2</f>
        <v/>
      </c>
      <c r="H462" s="37" t="n"/>
      <c r="I462" s="37" t="n"/>
    </row>
    <row r="463" ht="15" customHeight="1" s="28">
      <c r="A463" s="40" t="n">
        <v>450</v>
      </c>
      <c r="B463" s="56" t="n">
        <v>449</v>
      </c>
      <c r="C463" s="56">
        <f>B463^2</f>
        <v/>
      </c>
      <c r="D463" s="41" t="n">
        <v>4556.2</v>
      </c>
      <c r="E463" s="41">
        <f>4541.138727+0.225904*B463</f>
        <v/>
      </c>
      <c r="F463" s="42">
        <f>D463-E463</f>
        <v/>
      </c>
      <c r="G463" s="41">
        <f>F463^2</f>
        <v/>
      </c>
      <c r="H463" s="40" t="n"/>
      <c r="I463" s="40" t="n"/>
    </row>
    <row r="464" ht="15" customHeight="1" s="28">
      <c r="A464" s="37" t="n">
        <v>451</v>
      </c>
      <c r="B464" s="55" t="n">
        <v>450</v>
      </c>
      <c r="C464" s="55">
        <f>B464^2</f>
        <v/>
      </c>
      <c r="D464" s="38" t="n">
        <v>4558.57</v>
      </c>
      <c r="E464" s="38">
        <f>4541.138727+0.225904*B464</f>
        <v/>
      </c>
      <c r="F464" s="39">
        <f>D464-E464</f>
        <v/>
      </c>
      <c r="G464" s="38">
        <f>F464^2</f>
        <v/>
      </c>
      <c r="H464" s="37" t="n"/>
      <c r="I464" s="37" t="n"/>
    </row>
    <row r="465" ht="15" customHeight="1" s="28">
      <c r="A465" s="40" t="n">
        <v>452</v>
      </c>
      <c r="B465" s="56" t="n">
        <v>451</v>
      </c>
      <c r="C465" s="56">
        <f>B465^2</f>
        <v/>
      </c>
      <c r="D465" s="41" t="n">
        <v>4560.43</v>
      </c>
      <c r="E465" s="41">
        <f>4541.138727+0.225904*B465</f>
        <v/>
      </c>
      <c r="F465" s="42">
        <f>D465-E465</f>
        <v/>
      </c>
      <c r="G465" s="41">
        <f>F465^2</f>
        <v/>
      </c>
      <c r="H465" s="40" t="n"/>
      <c r="I465" s="40" t="n"/>
    </row>
    <row r="466" ht="15" customHeight="1" s="28">
      <c r="A466" s="37" t="n">
        <v>453</v>
      </c>
      <c r="B466" s="55" t="n">
        <v>452</v>
      </c>
      <c r="C466" s="55">
        <f>B466^2</f>
        <v/>
      </c>
      <c r="D466" s="38" t="n">
        <v>4559.93</v>
      </c>
      <c r="E466" s="38">
        <f>4541.138727+0.225904*B466</f>
        <v/>
      </c>
      <c r="F466" s="39">
        <f>D466-E466</f>
        <v/>
      </c>
      <c r="G466" s="38">
        <f>F466^2</f>
        <v/>
      </c>
      <c r="H466" s="37" t="n"/>
      <c r="I466" s="37" t="n"/>
    </row>
    <row r="467" ht="15" customHeight="1" s="28">
      <c r="A467" s="40" t="n">
        <v>454</v>
      </c>
      <c r="B467" s="56" t="n">
        <v>453</v>
      </c>
      <c r="C467" s="56">
        <f>B467^2</f>
        <v/>
      </c>
      <c r="D467" s="41" t="n">
        <v>4564.29</v>
      </c>
      <c r="E467" s="41">
        <f>4541.138727+0.225904*B467</f>
        <v/>
      </c>
      <c r="F467" s="42">
        <f>D467-E467</f>
        <v/>
      </c>
      <c r="G467" s="41">
        <f>F467^2</f>
        <v/>
      </c>
      <c r="H467" s="40" t="n"/>
      <c r="I467" s="40" t="n"/>
    </row>
    <row r="468" ht="15" customHeight="1" s="28">
      <c r="A468" s="37" t="n">
        <v>455</v>
      </c>
      <c r="B468" s="55" t="n">
        <v>454</v>
      </c>
      <c r="C468" s="55">
        <f>B468^2</f>
        <v/>
      </c>
      <c r="D468" s="38" t="n">
        <v>4562.18</v>
      </c>
      <c r="E468" s="38">
        <f>4541.138727+0.225904*B468</f>
        <v/>
      </c>
      <c r="F468" s="39">
        <f>D468-E468</f>
        <v/>
      </c>
      <c r="G468" s="38">
        <f>F468^2</f>
        <v/>
      </c>
      <c r="H468" s="37" t="n"/>
      <c r="I468" s="37" t="n"/>
    </row>
    <row r="469" ht="15" customHeight="1" s="28">
      <c r="A469" s="40" t="n">
        <v>456</v>
      </c>
      <c r="B469" s="56" t="n">
        <v>455</v>
      </c>
      <c r="C469" s="56">
        <f>B469^2</f>
        <v/>
      </c>
      <c r="D469" s="41" t="n">
        <v>4561.56</v>
      </c>
      <c r="E469" s="41">
        <f>4541.138727+0.225904*B469</f>
        <v/>
      </c>
      <c r="F469" s="42">
        <f>D469-E469</f>
        <v/>
      </c>
      <c r="G469" s="41">
        <f>F469^2</f>
        <v/>
      </c>
      <c r="H469" s="40" t="n"/>
      <c r="I469" s="40" t="n"/>
    </row>
    <row r="470" ht="15" customHeight="1" s="28">
      <c r="A470" s="37" t="n">
        <v>457</v>
      </c>
      <c r="B470" s="55" t="n">
        <v>456</v>
      </c>
      <c r="C470" s="55">
        <f>B470^2</f>
        <v/>
      </c>
      <c r="D470" s="38" t="n">
        <v>4561.04</v>
      </c>
      <c r="E470" s="38">
        <f>4541.138727+0.225904*B470</f>
        <v/>
      </c>
      <c r="F470" s="39">
        <f>D470-E470</f>
        <v/>
      </c>
      <c r="G470" s="38">
        <f>F470^2</f>
        <v/>
      </c>
      <c r="H470" s="37" t="n"/>
      <c r="I470" s="37" t="n"/>
    </row>
    <row r="471" ht="15" customHeight="1" s="28">
      <c r="A471" s="40" t="n">
        <v>458</v>
      </c>
      <c r="B471" s="56" t="n">
        <v>457</v>
      </c>
      <c r="C471" s="56">
        <f>B471^2</f>
        <v/>
      </c>
      <c r="D471" s="41" t="n">
        <v>4557.24</v>
      </c>
      <c r="E471" s="41">
        <f>4541.138727+0.225904*B471</f>
        <v/>
      </c>
      <c r="F471" s="42">
        <f>D471-E471</f>
        <v/>
      </c>
      <c r="G471" s="41">
        <f>F471^2</f>
        <v/>
      </c>
      <c r="H471" s="40" t="n"/>
      <c r="I471" s="40" t="n"/>
    </row>
    <row r="472" ht="15" customHeight="1" s="28">
      <c r="A472" s="37" t="n">
        <v>459</v>
      </c>
      <c r="B472" s="55" t="n">
        <v>458</v>
      </c>
      <c r="C472" s="55">
        <f>B472^2</f>
        <v/>
      </c>
      <c r="D472" s="38" t="n">
        <v>4556.32</v>
      </c>
      <c r="E472" s="38">
        <f>4541.138727+0.225904*B472</f>
        <v/>
      </c>
      <c r="F472" s="39">
        <f>D472-E472</f>
        <v/>
      </c>
      <c r="G472" s="38">
        <f>F472^2</f>
        <v/>
      </c>
      <c r="H472" s="37" t="n"/>
      <c r="I472" s="37" t="n"/>
    </row>
    <row r="473" ht="15" customHeight="1" s="28">
      <c r="A473" s="40" t="n">
        <v>460</v>
      </c>
      <c r="B473" s="56" t="n">
        <v>459</v>
      </c>
      <c r="C473" s="56">
        <f>B473^2</f>
        <v/>
      </c>
      <c r="D473" s="41" t="n">
        <v>4555.64</v>
      </c>
      <c r="E473" s="41">
        <f>4541.138727+0.225904*B473</f>
        <v/>
      </c>
      <c r="F473" s="42">
        <f>D473-E473</f>
        <v/>
      </c>
      <c r="G473" s="41">
        <f>F473^2</f>
        <v/>
      </c>
      <c r="H473" s="40" t="n"/>
      <c r="I473" s="40" t="n"/>
    </row>
    <row r="474" ht="15" customHeight="1" s="28">
      <c r="A474" s="37" t="n">
        <v>461</v>
      </c>
      <c r="B474" s="55" t="n">
        <v>460</v>
      </c>
      <c r="C474" s="55">
        <f>B474^2</f>
        <v/>
      </c>
      <c r="D474" s="38" t="n">
        <v>4554.64</v>
      </c>
      <c r="E474" s="38">
        <f>4541.138727+0.225904*B474</f>
        <v/>
      </c>
      <c r="F474" s="39">
        <f>D474-E474</f>
        <v/>
      </c>
      <c r="G474" s="38">
        <f>F474^2</f>
        <v/>
      </c>
      <c r="H474" s="37" t="n"/>
      <c r="I474" s="37" t="n"/>
    </row>
    <row r="475" ht="15" customHeight="1" s="28">
      <c r="A475" s="40" t="n">
        <v>462</v>
      </c>
      <c r="B475" s="56" t="n">
        <v>461</v>
      </c>
      <c r="C475" s="56">
        <f>B475^2</f>
        <v/>
      </c>
      <c r="D475" s="41" t="n">
        <v>4557.01</v>
      </c>
      <c r="E475" s="41">
        <f>4541.138727+0.225904*B475</f>
        <v/>
      </c>
      <c r="F475" s="42">
        <f>D475-E475</f>
        <v/>
      </c>
      <c r="G475" s="41">
        <f>F475^2</f>
        <v/>
      </c>
      <c r="H475" s="40" t="n"/>
      <c r="I475" s="40" t="n"/>
    </row>
    <row r="476" ht="15" customHeight="1" s="28">
      <c r="A476" s="37" t="n">
        <v>463</v>
      </c>
      <c r="B476" s="55" t="n">
        <v>462</v>
      </c>
      <c r="C476" s="55">
        <f>B476^2</f>
        <v/>
      </c>
      <c r="D476" s="38" t="n">
        <v>4559.18</v>
      </c>
      <c r="E476" s="38">
        <f>4541.138727+0.225904*B476</f>
        <v/>
      </c>
      <c r="F476" s="39">
        <f>D476-E476</f>
        <v/>
      </c>
      <c r="G476" s="38">
        <f>F476^2</f>
        <v/>
      </c>
      <c r="H476" s="37" t="n"/>
      <c r="I476" s="37" t="n"/>
    </row>
    <row r="477" ht="15" customHeight="1" s="28">
      <c r="A477" s="40" t="n">
        <v>464</v>
      </c>
      <c r="B477" s="56" t="n">
        <v>463</v>
      </c>
      <c r="C477" s="56">
        <f>B477^2</f>
        <v/>
      </c>
      <c r="D477" s="41" t="n">
        <v>4555.63</v>
      </c>
      <c r="E477" s="41">
        <f>4541.138727+0.225904*B477</f>
        <v/>
      </c>
      <c r="F477" s="42">
        <f>D477-E477</f>
        <v/>
      </c>
      <c r="G477" s="41">
        <f>F477^2</f>
        <v/>
      </c>
      <c r="H477" s="40" t="n"/>
      <c r="I477" s="40" t="n"/>
    </row>
    <row r="478" ht="15" customHeight="1" s="28">
      <c r="A478" s="37" t="n">
        <v>465</v>
      </c>
      <c r="B478" s="55" t="n">
        <v>464</v>
      </c>
      <c r="C478" s="55">
        <f>B478^2</f>
        <v/>
      </c>
      <c r="D478" s="38" t="n">
        <v>4557.58</v>
      </c>
      <c r="E478" s="38">
        <f>4541.138727+0.225904*B478</f>
        <v/>
      </c>
      <c r="F478" s="39">
        <f>D478-E478</f>
        <v/>
      </c>
      <c r="G478" s="38">
        <f>F478^2</f>
        <v/>
      </c>
      <c r="H478" s="37" t="n"/>
      <c r="I478" s="37" t="n"/>
    </row>
    <row r="479" ht="15" customHeight="1" s="28">
      <c r="A479" s="40" t="n">
        <v>466</v>
      </c>
      <c r="B479" s="56" t="n">
        <v>465</v>
      </c>
      <c r="C479" s="56">
        <f>B479^2</f>
        <v/>
      </c>
      <c r="D479" s="41" t="n">
        <v>4550.67</v>
      </c>
      <c r="E479" s="41">
        <f>4541.138727+0.225904*B479</f>
        <v/>
      </c>
      <c r="F479" s="42">
        <f>D479-E479</f>
        <v/>
      </c>
      <c r="G479" s="41">
        <f>F479^2</f>
        <v/>
      </c>
      <c r="H479" s="40" t="n"/>
      <c r="I479" s="40" t="n"/>
    </row>
    <row r="480" ht="15" customHeight="1" s="28">
      <c r="A480" s="37" t="n">
        <v>467</v>
      </c>
      <c r="B480" s="55" t="n">
        <v>466</v>
      </c>
      <c r="C480" s="55">
        <f>B480^2</f>
        <v/>
      </c>
      <c r="D480" s="38" t="n">
        <v>4546.68</v>
      </c>
      <c r="E480" s="38">
        <f>4541.138727+0.225904*B480</f>
        <v/>
      </c>
      <c r="F480" s="39">
        <f>D480-E480</f>
        <v/>
      </c>
      <c r="G480" s="38">
        <f>F480^2</f>
        <v/>
      </c>
      <c r="H480" s="37" t="n"/>
      <c r="I480" s="37" t="n"/>
    </row>
    <row r="481" ht="15" customHeight="1" s="28">
      <c r="A481" s="40" t="n">
        <v>468</v>
      </c>
      <c r="B481" s="56" t="n">
        <v>467</v>
      </c>
      <c r="C481" s="56">
        <f>B481^2</f>
        <v/>
      </c>
      <c r="D481" s="41" t="n">
        <v>4548.82</v>
      </c>
      <c r="E481" s="41">
        <f>4541.138727+0.225904*B481</f>
        <v/>
      </c>
      <c r="F481" s="42">
        <f>D481-E481</f>
        <v/>
      </c>
      <c r="G481" s="41">
        <f>F481^2</f>
        <v/>
      </c>
      <c r="H481" s="40" t="n"/>
      <c r="I481" s="40" t="n"/>
    </row>
    <row r="482" ht="15" customHeight="1" s="28">
      <c r="A482" s="37" t="n">
        <v>469</v>
      </c>
      <c r="B482" s="55" t="n">
        <v>468</v>
      </c>
      <c r="C482" s="55">
        <f>B482^2</f>
        <v/>
      </c>
      <c r="D482" s="38" t="n">
        <v>4573.43</v>
      </c>
      <c r="E482" s="38">
        <f>4541.138727+0.225904*B482</f>
        <v/>
      </c>
      <c r="F482" s="39">
        <f>D482-E482</f>
        <v/>
      </c>
      <c r="G482" s="38">
        <f>F482^2</f>
        <v/>
      </c>
      <c r="H482" s="37" t="n"/>
      <c r="I482" s="37" t="n"/>
    </row>
    <row r="483" ht="15" customHeight="1" s="28">
      <c r="A483" s="40" t="n">
        <v>470</v>
      </c>
      <c r="B483" s="56" t="n">
        <v>469</v>
      </c>
      <c r="C483" s="56">
        <f>B483^2</f>
        <v/>
      </c>
      <c r="D483" s="41" t="n">
        <v>4588.62</v>
      </c>
      <c r="E483" s="41">
        <f>4541.138727+0.225904*B483</f>
        <v/>
      </c>
      <c r="F483" s="42">
        <f>D483-E483</f>
        <v/>
      </c>
      <c r="G483" s="41">
        <f>F483^2</f>
        <v/>
      </c>
      <c r="H483" s="40" t="n"/>
      <c r="I483" s="40" t="n"/>
    </row>
    <row r="484" ht="15" customHeight="1" s="28">
      <c r="A484" s="37" t="n">
        <v>471</v>
      </c>
      <c r="B484" s="55" t="n">
        <v>470</v>
      </c>
      <c r="C484" s="55">
        <f>B484^2</f>
        <v/>
      </c>
      <c r="D484" s="38" t="n">
        <v>4582.1</v>
      </c>
      <c r="E484" s="38">
        <f>4541.138727+0.225904*B484</f>
        <v/>
      </c>
      <c r="F484" s="39">
        <f>D484-E484</f>
        <v/>
      </c>
      <c r="G484" s="38">
        <f>F484^2</f>
        <v/>
      </c>
      <c r="H484" s="37" t="n"/>
      <c r="I484" s="37" t="n"/>
    </row>
    <row r="485" ht="15" customHeight="1" s="28">
      <c r="A485" s="40" t="n">
        <v>472</v>
      </c>
      <c r="B485" s="56" t="n">
        <v>471</v>
      </c>
      <c r="C485" s="56">
        <f>B485^2</f>
        <v/>
      </c>
      <c r="D485" s="41" t="n">
        <v>4584.84</v>
      </c>
      <c r="E485" s="41">
        <f>4541.138727+0.225904*B485</f>
        <v/>
      </c>
      <c r="F485" s="42">
        <f>D485-E485</f>
        <v/>
      </c>
      <c r="G485" s="41">
        <f>F485^2</f>
        <v/>
      </c>
      <c r="H485" s="40" t="n"/>
      <c r="I485" s="40" t="n"/>
    </row>
    <row r="486" ht="15" customHeight="1" s="28">
      <c r="A486" s="37" t="n">
        <v>473</v>
      </c>
      <c r="B486" s="55" t="n">
        <v>472</v>
      </c>
      <c r="C486" s="55">
        <f>B486^2</f>
        <v/>
      </c>
      <c r="D486" s="38" t="n">
        <v>4593.92</v>
      </c>
      <c r="E486" s="38">
        <f>4541.138727+0.225904*B486</f>
        <v/>
      </c>
      <c r="F486" s="39">
        <f>D486-E486</f>
        <v/>
      </c>
      <c r="G486" s="38">
        <f>F486^2</f>
        <v/>
      </c>
      <c r="H486" s="37" t="n"/>
      <c r="I486" s="37" t="n"/>
    </row>
    <row r="487" ht="15" customHeight="1" s="28">
      <c r="A487" s="40" t="n">
        <v>474</v>
      </c>
      <c r="B487" s="56" t="n">
        <v>473</v>
      </c>
      <c r="C487" s="56">
        <f>B487^2</f>
        <v/>
      </c>
      <c r="D487" s="41" t="n">
        <v>4591.76</v>
      </c>
      <c r="E487" s="41">
        <f>4541.138727+0.225904*B487</f>
        <v/>
      </c>
      <c r="F487" s="42">
        <f>D487-E487</f>
        <v/>
      </c>
      <c r="G487" s="41">
        <f>F487^2</f>
        <v/>
      </c>
      <c r="H487" s="40" t="n"/>
      <c r="I487" s="40" t="n"/>
    </row>
    <row r="488" ht="15" customHeight="1" s="28">
      <c r="A488" s="37" t="n">
        <v>475</v>
      </c>
      <c r="B488" s="55" t="n">
        <v>474</v>
      </c>
      <c r="C488" s="55">
        <f>B488^2</f>
        <v/>
      </c>
      <c r="D488" s="38" t="n">
        <v>4602.23</v>
      </c>
      <c r="E488" s="38">
        <f>4541.138727+0.225904*B488</f>
        <v/>
      </c>
      <c r="F488" s="39">
        <f>D488-E488</f>
        <v/>
      </c>
      <c r="G488" s="38">
        <f>F488^2</f>
        <v/>
      </c>
      <c r="H488" s="37" t="n"/>
      <c r="I488" s="37" t="n"/>
    </row>
    <row r="489" ht="15" customHeight="1" s="28">
      <c r="A489" s="40" t="n">
        <v>476</v>
      </c>
      <c r="B489" s="56" t="n">
        <v>475</v>
      </c>
      <c r="C489" s="56">
        <f>B489^2</f>
        <v/>
      </c>
      <c r="D489" s="41" t="n">
        <v>4610.32</v>
      </c>
      <c r="E489" s="41">
        <f>4541.138727+0.225904*B489</f>
        <v/>
      </c>
      <c r="F489" s="42">
        <f>D489-E489</f>
        <v/>
      </c>
      <c r="G489" s="41">
        <f>F489^2</f>
        <v/>
      </c>
      <c r="H489" s="40" t="n"/>
      <c r="I489" s="40" t="n"/>
    </row>
    <row r="490" ht="15" customHeight="1" s="28">
      <c r="A490" s="37" t="n">
        <v>477</v>
      </c>
      <c r="B490" s="55" t="n">
        <v>476</v>
      </c>
      <c r="C490" s="55">
        <f>B490^2</f>
        <v/>
      </c>
      <c r="D490" s="38" t="n">
        <v>4618.87</v>
      </c>
      <c r="E490" s="38">
        <f>4541.138727+0.225904*B490</f>
        <v/>
      </c>
      <c r="F490" s="39">
        <f>D490-E490</f>
        <v/>
      </c>
      <c r="G490" s="38">
        <f>F490^2</f>
        <v/>
      </c>
      <c r="H490" s="37" t="n"/>
      <c r="I490" s="37" t="n"/>
    </row>
    <row r="491" ht="15" customHeight="1" s="28">
      <c r="A491" s="40" t="n">
        <v>478</v>
      </c>
      <c r="B491" s="56" t="n">
        <v>477</v>
      </c>
      <c r="C491" s="56">
        <f>B491^2</f>
        <v/>
      </c>
      <c r="D491" s="41" t="n">
        <v>4611.55</v>
      </c>
      <c r="E491" s="41">
        <f>4541.138727+0.225904*B491</f>
        <v/>
      </c>
      <c r="F491" s="42">
        <f>D491-E491</f>
        <v/>
      </c>
      <c r="G491" s="41">
        <f>F491^2</f>
        <v/>
      </c>
      <c r="H491" s="40" t="n"/>
      <c r="I491" s="40" t="n"/>
    </row>
    <row r="492" ht="15" customHeight="1" s="28">
      <c r="A492" s="37" t="n">
        <v>479</v>
      </c>
      <c r="B492" s="55" t="n">
        <v>478</v>
      </c>
      <c r="C492" s="55">
        <f>B492^2</f>
        <v/>
      </c>
      <c r="D492" s="38" t="n">
        <v>4625</v>
      </c>
      <c r="E492" s="38">
        <f>4541.138727+0.225904*B492</f>
        <v/>
      </c>
      <c r="F492" s="39">
        <f>D492-E492</f>
        <v/>
      </c>
      <c r="G492" s="38">
        <f>F492^2</f>
        <v/>
      </c>
      <c r="H492" s="37" t="n"/>
      <c r="I492" s="37" t="n"/>
    </row>
    <row r="493" ht="15" customHeight="1" s="28">
      <c r="A493" s="40" t="n">
        <v>480</v>
      </c>
      <c r="B493" s="56" t="n">
        <v>479</v>
      </c>
      <c r="C493" s="56">
        <f>B493^2</f>
        <v/>
      </c>
      <c r="D493" s="41" t="n">
        <v>4624.12</v>
      </c>
      <c r="E493" s="41">
        <f>4541.138727+0.225904*B493</f>
        <v/>
      </c>
      <c r="F493" s="42">
        <f>D493-E493</f>
        <v/>
      </c>
      <c r="G493" s="41">
        <f>F493^2</f>
        <v/>
      </c>
      <c r="H493" s="40" t="n"/>
      <c r="I493" s="40" t="n"/>
    </row>
    <row r="494" ht="15" customHeight="1" s="28">
      <c r="A494" s="37" t="n">
        <v>481</v>
      </c>
      <c r="B494" s="55" t="n">
        <v>480</v>
      </c>
      <c r="C494" s="55">
        <f>B494^2</f>
        <v/>
      </c>
      <c r="D494" s="38" t="n">
        <v>4626.18</v>
      </c>
      <c r="E494" s="38">
        <f>4541.138727+0.225904*B494</f>
        <v/>
      </c>
      <c r="F494" s="39">
        <f>D494-E494</f>
        <v/>
      </c>
      <c r="G494" s="38">
        <f>F494^2</f>
        <v/>
      </c>
      <c r="H494" s="37" t="n"/>
      <c r="I494" s="37" t="n"/>
    </row>
    <row r="495" ht="15" customHeight="1" s="28">
      <c r="A495" s="40" t="n">
        <v>482</v>
      </c>
      <c r="B495" s="56" t="n">
        <v>481</v>
      </c>
      <c r="C495" s="56">
        <f>B495^2</f>
        <v/>
      </c>
      <c r="D495" s="41" t="n">
        <v>4633.69</v>
      </c>
      <c r="E495" s="41">
        <f>4541.138727+0.225904*B495</f>
        <v/>
      </c>
      <c r="F495" s="42">
        <f>D495-E495</f>
        <v/>
      </c>
      <c r="G495" s="41">
        <f>F495^2</f>
        <v/>
      </c>
      <c r="H495" s="40" t="n"/>
      <c r="I495" s="40" t="n"/>
    </row>
    <row r="496" ht="15" customHeight="1" s="28">
      <c r="A496" s="37" t="n">
        <v>483</v>
      </c>
      <c r="B496" s="55" t="n">
        <v>482</v>
      </c>
      <c r="C496" s="55">
        <f>B496^2</f>
        <v/>
      </c>
      <c r="D496" s="38" t="n">
        <v>4630.22</v>
      </c>
      <c r="E496" s="38">
        <f>4541.138727+0.225904*B496</f>
        <v/>
      </c>
      <c r="F496" s="39">
        <f>D496-E496</f>
        <v/>
      </c>
      <c r="G496" s="38">
        <f>F496^2</f>
        <v/>
      </c>
      <c r="H496" s="37" t="n"/>
      <c r="I496" s="37" t="n"/>
    </row>
    <row r="497" ht="15" customHeight="1" s="28">
      <c r="A497" s="40" t="n">
        <v>484</v>
      </c>
      <c r="B497" s="56" t="n">
        <v>483</v>
      </c>
      <c r="C497" s="56">
        <f>B497^2</f>
        <v/>
      </c>
      <c r="D497" s="41" t="n">
        <v>4635.01</v>
      </c>
      <c r="E497" s="41">
        <f>4541.138727+0.225904*B497</f>
        <v/>
      </c>
      <c r="F497" s="42">
        <f>D497-E497</f>
        <v/>
      </c>
      <c r="G497" s="41">
        <f>F497^2</f>
        <v/>
      </c>
      <c r="H497" s="40" t="n"/>
      <c r="I497" s="40" t="n"/>
    </row>
    <row r="498" ht="15" customHeight="1" s="28">
      <c r="A498" s="37" t="n">
        <v>485</v>
      </c>
      <c r="B498" s="55" t="n">
        <v>484</v>
      </c>
      <c r="C498" s="55">
        <f>B498^2</f>
        <v/>
      </c>
      <c r="D498" s="38" t="n">
        <v>4640.94</v>
      </c>
      <c r="E498" s="38">
        <f>4541.138727+0.225904*B498</f>
        <v/>
      </c>
      <c r="F498" s="39">
        <f>D498-E498</f>
        <v/>
      </c>
      <c r="G498" s="38">
        <f>F498^2</f>
        <v/>
      </c>
      <c r="H498" s="37" t="n"/>
      <c r="I498" s="37" t="n"/>
    </row>
    <row r="499" ht="15" customHeight="1" s="28">
      <c r="A499" s="40" t="n">
        <v>486</v>
      </c>
      <c r="B499" s="56" t="n">
        <v>485</v>
      </c>
      <c r="C499" s="56">
        <f>B499^2</f>
        <v/>
      </c>
      <c r="D499" s="41" t="n">
        <v>4647.89</v>
      </c>
      <c r="E499" s="41">
        <f>4541.138727+0.225904*B499</f>
        <v/>
      </c>
      <c r="F499" s="42">
        <f>D499-E499</f>
        <v/>
      </c>
      <c r="G499" s="41">
        <f>F499^2</f>
        <v/>
      </c>
      <c r="H499" s="40" t="n"/>
      <c r="I499" s="40" t="n"/>
    </row>
    <row r="500" ht="15" customHeight="1" s="28">
      <c r="A500" s="37" t="n">
        <v>487</v>
      </c>
      <c r="B500" s="55" t="n">
        <v>486</v>
      </c>
      <c r="C500" s="55">
        <f>B500^2</f>
        <v/>
      </c>
      <c r="D500" s="38" t="n">
        <v>4645.81</v>
      </c>
      <c r="E500" s="38">
        <f>4541.138727+0.225904*B500</f>
        <v/>
      </c>
      <c r="F500" s="39">
        <f>D500-E500</f>
        <v/>
      </c>
      <c r="G500" s="38">
        <f>F500^2</f>
        <v/>
      </c>
      <c r="H500" s="37" t="n"/>
      <c r="I500" s="37" t="n"/>
    </row>
    <row r="501" ht="15" customHeight="1" s="28">
      <c r="A501" s="40" t="n">
        <v>488</v>
      </c>
      <c r="B501" s="56" t="n">
        <v>487</v>
      </c>
      <c r="C501" s="56">
        <f>B501^2</f>
        <v/>
      </c>
      <c r="D501" s="41" t="n">
        <v>4647.74</v>
      </c>
      <c r="E501" s="41">
        <f>4541.138727+0.225904*B501</f>
        <v/>
      </c>
      <c r="F501" s="42">
        <f>D501-E501</f>
        <v/>
      </c>
      <c r="G501" s="41">
        <f>F501^2</f>
        <v/>
      </c>
      <c r="H501" s="40" t="n"/>
      <c r="I501" s="40" t="n"/>
    </row>
    <row r="502" ht="15" customHeight="1" s="28">
      <c r="A502" s="37" t="n">
        <v>489</v>
      </c>
      <c r="B502" s="55" t="n">
        <v>488</v>
      </c>
      <c r="C502" s="55">
        <f>B502^2</f>
        <v/>
      </c>
      <c r="D502" s="38" t="n">
        <v>4643.84</v>
      </c>
      <c r="E502" s="38">
        <f>4541.138727+0.225904*B502</f>
        <v/>
      </c>
      <c r="F502" s="39">
        <f>D502-E502</f>
        <v/>
      </c>
      <c r="G502" s="38">
        <f>F502^2</f>
        <v/>
      </c>
      <c r="H502" s="37" t="n"/>
      <c r="I502" s="37" t="n"/>
    </row>
    <row r="503" ht="15" customHeight="1" s="28">
      <c r="A503" s="40" t="n">
        <v>490</v>
      </c>
      <c r="B503" s="56" t="n">
        <v>489</v>
      </c>
      <c r="C503" s="56">
        <f>B503^2</f>
        <v/>
      </c>
      <c r="D503" s="41" t="n">
        <v>4647.59</v>
      </c>
      <c r="E503" s="41">
        <f>4541.138727+0.225904*B503</f>
        <v/>
      </c>
      <c r="F503" s="42">
        <f>D503-E503</f>
        <v/>
      </c>
      <c r="G503" s="41">
        <f>F503^2</f>
        <v/>
      </c>
      <c r="H503" s="40" t="n"/>
      <c r="I503" s="40" t="n"/>
    </row>
    <row r="504" ht="15" customHeight="1" s="28">
      <c r="A504" s="37" t="n">
        <v>491</v>
      </c>
      <c r="B504" s="55" t="n">
        <v>490</v>
      </c>
      <c r="C504" s="55">
        <f>B504^2</f>
        <v/>
      </c>
      <c r="D504" s="38" t="n">
        <v>4653.19</v>
      </c>
      <c r="E504" s="38">
        <f>4541.138727+0.225904*B504</f>
        <v/>
      </c>
      <c r="F504" s="39">
        <f>D504-E504</f>
        <v/>
      </c>
      <c r="G504" s="38">
        <f>F504^2</f>
        <v/>
      </c>
      <c r="H504" s="37" t="n"/>
      <c r="I504" s="37" t="n"/>
    </row>
    <row r="505" ht="15" customHeight="1" s="28">
      <c r="A505" s="40" t="n">
        <v>492</v>
      </c>
      <c r="B505" s="56" t="n">
        <v>491</v>
      </c>
      <c r="C505" s="56">
        <f>B505^2</f>
        <v/>
      </c>
      <c r="D505" s="41" t="n">
        <v>4647.47</v>
      </c>
      <c r="E505" s="41">
        <f>4541.138727+0.225904*B505</f>
        <v/>
      </c>
      <c r="F505" s="42">
        <f>D505-E505</f>
        <v/>
      </c>
      <c r="G505" s="41">
        <f>F505^2</f>
        <v/>
      </c>
      <c r="H505" s="40" t="n"/>
      <c r="I505" s="40" t="n"/>
    </row>
    <row r="506" ht="15" customHeight="1" s="28">
      <c r="A506" s="37" t="n">
        <v>493</v>
      </c>
      <c r="B506" s="55" t="n">
        <v>492</v>
      </c>
      <c r="C506" s="55">
        <f>B506^2</f>
        <v/>
      </c>
      <c r="D506" s="38" t="n">
        <v>4648.72</v>
      </c>
      <c r="E506" s="38">
        <f>4541.138727+0.225904*B506</f>
        <v/>
      </c>
      <c r="F506" s="39">
        <f>D506-E506</f>
        <v/>
      </c>
      <c r="G506" s="38">
        <f>F506^2</f>
        <v/>
      </c>
      <c r="H506" s="37" t="n"/>
      <c r="I506" s="37" t="n"/>
    </row>
    <row r="507" ht="15" customHeight="1" s="28">
      <c r="A507" s="40" t="n">
        <v>494</v>
      </c>
      <c r="B507" s="56" t="n">
        <v>493</v>
      </c>
      <c r="C507" s="56">
        <f>B507^2</f>
        <v/>
      </c>
      <c r="D507" s="41" t="n">
        <v>4654.64</v>
      </c>
      <c r="E507" s="41">
        <f>4541.138727+0.225904*B507</f>
        <v/>
      </c>
      <c r="F507" s="42">
        <f>D507-E507</f>
        <v/>
      </c>
      <c r="G507" s="41">
        <f>F507^2</f>
        <v/>
      </c>
      <c r="H507" s="40" t="n"/>
      <c r="I507" s="40" t="n"/>
    </row>
    <row r="508" ht="15" customHeight="1" s="28">
      <c r="A508" s="37" t="n">
        <v>495</v>
      </c>
      <c r="B508" s="55" t="n">
        <v>494</v>
      </c>
      <c r="C508" s="55">
        <f>B508^2</f>
        <v/>
      </c>
      <c r="D508" s="38" t="n">
        <v>4650.4</v>
      </c>
      <c r="E508" s="38">
        <f>4541.138727+0.225904*B508</f>
        <v/>
      </c>
      <c r="F508" s="39">
        <f>D508-E508</f>
        <v/>
      </c>
      <c r="G508" s="38">
        <f>F508^2</f>
        <v/>
      </c>
      <c r="H508" s="37" t="n"/>
      <c r="I508" s="37" t="n"/>
    </row>
    <row r="509" ht="15" customHeight="1" s="28">
      <c r="A509" s="40" t="n">
        <v>496</v>
      </c>
      <c r="B509" s="56" t="n">
        <v>495</v>
      </c>
      <c r="C509" s="56">
        <f>B509^2</f>
        <v/>
      </c>
      <c r="D509" s="41" t="n">
        <v>4650.19</v>
      </c>
      <c r="E509" s="41">
        <f>4541.138727+0.225904*B509</f>
        <v/>
      </c>
      <c r="F509" s="42">
        <f>D509-E509</f>
        <v/>
      </c>
      <c r="G509" s="41">
        <f>F509^2</f>
        <v/>
      </c>
      <c r="H509" s="40" t="n"/>
      <c r="I509" s="40" t="n"/>
    </row>
    <row r="510" ht="15" customHeight="1" s="28">
      <c r="A510" s="37" t="n">
        <v>497</v>
      </c>
      <c r="B510" s="55" t="n">
        <v>496</v>
      </c>
      <c r="C510" s="55">
        <f>B510^2</f>
        <v/>
      </c>
      <c r="D510" s="38" t="n">
        <v>4663.2</v>
      </c>
      <c r="E510" s="38">
        <f>4541.138727+0.225904*B510</f>
        <v/>
      </c>
      <c r="F510" s="39">
        <f>D510-E510</f>
        <v/>
      </c>
      <c r="G510" s="38">
        <f>F510^2</f>
        <v/>
      </c>
      <c r="H510" s="37" t="n"/>
      <c r="I510" s="37" t="n"/>
    </row>
    <row r="511" ht="15" customHeight="1" s="28">
      <c r="A511" s="40" t="n">
        <v>498</v>
      </c>
      <c r="B511" s="56" t="n">
        <v>497</v>
      </c>
      <c r="C511" s="56">
        <f>B511^2</f>
        <v/>
      </c>
      <c r="D511" s="41" t="n">
        <v>4660.55</v>
      </c>
      <c r="E511" s="41">
        <f>4541.138727+0.225904*B511</f>
        <v/>
      </c>
      <c r="F511" s="42">
        <f>D511-E511</f>
        <v/>
      </c>
      <c r="G511" s="41">
        <f>F511^2</f>
        <v/>
      </c>
      <c r="H511" s="40" t="n"/>
      <c r="I511" s="40" t="n"/>
    </row>
    <row r="512" ht="15" customHeight="1" s="28">
      <c r="A512" s="37" t="n">
        <v>499</v>
      </c>
      <c r="B512" s="55" t="n">
        <v>498</v>
      </c>
      <c r="C512" s="55">
        <f>B512^2</f>
        <v/>
      </c>
      <c r="D512" s="38" t="n">
        <v>4666.15</v>
      </c>
      <c r="E512" s="38">
        <f>4541.138727+0.225904*B512</f>
        <v/>
      </c>
      <c r="F512" s="39">
        <f>D512-E512</f>
        <v/>
      </c>
      <c r="G512" s="38">
        <f>F512^2</f>
        <v/>
      </c>
      <c r="H512" s="37" t="n"/>
      <c r="I512" s="37" t="n"/>
    </row>
    <row r="513" ht="15" customHeight="1" s="28">
      <c r="A513" s="40" t="n">
        <v>500</v>
      </c>
      <c r="B513" s="56" t="n">
        <v>499</v>
      </c>
      <c r="C513" s="56">
        <f>B513^2</f>
        <v/>
      </c>
      <c r="D513" s="41" t="n">
        <v>4664.33</v>
      </c>
      <c r="E513" s="41">
        <f>4541.138727+0.225904*B513</f>
        <v/>
      </c>
      <c r="F513" s="42">
        <f>D513-E513</f>
        <v/>
      </c>
      <c r="G513" s="41">
        <f>F513^2</f>
        <v/>
      </c>
      <c r="H513" s="40" t="n"/>
      <c r="I513" s="40" t="n"/>
    </row>
    <row r="514" ht="15" customHeight="1" s="28">
      <c r="A514" s="37" t="n">
        <v>501</v>
      </c>
      <c r="B514" s="55" t="n">
        <v>500</v>
      </c>
      <c r="C514" s="55">
        <f>B514^2</f>
        <v/>
      </c>
      <c r="D514" s="38" t="n">
        <v>4669.38</v>
      </c>
      <c r="E514" s="38">
        <f>4541.138727+0.225904*B514</f>
        <v/>
      </c>
      <c r="F514" s="39">
        <f>D514-E514</f>
        <v/>
      </c>
      <c r="G514" s="38">
        <f>F514^2</f>
        <v/>
      </c>
      <c r="H514" s="37" t="n"/>
      <c r="I514" s="37" t="n"/>
    </row>
    <row r="515" ht="15" customHeight="1" s="28">
      <c r="A515" s="40" t="n">
        <v>502</v>
      </c>
      <c r="B515" s="56" t="n">
        <v>501</v>
      </c>
      <c r="C515" s="56">
        <f>B515^2</f>
        <v/>
      </c>
      <c r="D515" s="41" t="n">
        <v>4658.43</v>
      </c>
      <c r="E515" s="41">
        <f>4541.138727+0.225904*B515</f>
        <v/>
      </c>
      <c r="F515" s="42">
        <f>D515-E515</f>
        <v/>
      </c>
      <c r="G515" s="41">
        <f>F515^2</f>
        <v/>
      </c>
      <c r="H515" s="40" t="n"/>
      <c r="I515" s="40" t="n"/>
    </row>
    <row r="516" ht="15" customHeight="1" s="28">
      <c r="A516" s="37" t="n">
        <v>503</v>
      </c>
      <c r="B516" s="55" t="n">
        <v>502</v>
      </c>
      <c r="C516" s="55">
        <f>B516^2</f>
        <v/>
      </c>
      <c r="D516" s="38" t="n">
        <v>4667.5</v>
      </c>
      <c r="E516" s="38">
        <f>4541.138727+0.225904*B516</f>
        <v/>
      </c>
      <c r="F516" s="39">
        <f>D516-E516</f>
        <v/>
      </c>
      <c r="G516" s="38">
        <f>F516^2</f>
        <v/>
      </c>
      <c r="H516" s="37" t="n"/>
      <c r="I516" s="37" t="n"/>
    </row>
    <row r="517" ht="15" customHeight="1" s="28">
      <c r="A517" s="40" t="n">
        <v>504</v>
      </c>
      <c r="B517" s="56" t="n">
        <v>503</v>
      </c>
      <c r="C517" s="56">
        <f>B517^2</f>
        <v/>
      </c>
      <c r="D517" s="41" t="n">
        <v>4670.18</v>
      </c>
      <c r="E517" s="41">
        <f>4541.138727+0.225904*B517</f>
        <v/>
      </c>
      <c r="F517" s="42">
        <f>D517-E517</f>
        <v/>
      </c>
      <c r="G517" s="41">
        <f>F517^2</f>
        <v/>
      </c>
      <c r="H517" s="40" t="n"/>
      <c r="I517" s="40" t="n"/>
    </row>
    <row r="518" ht="15" customHeight="1" s="28">
      <c r="A518" s="37" t="n">
        <v>505</v>
      </c>
      <c r="B518" s="55" t="n">
        <v>504</v>
      </c>
      <c r="C518" s="55">
        <f>B518^2</f>
        <v/>
      </c>
      <c r="D518" s="38" t="n">
        <v>4681.72</v>
      </c>
      <c r="E518" s="38">
        <f>4541.138727+0.225904*B518</f>
        <v/>
      </c>
      <c r="F518" s="39">
        <f>D518-E518</f>
        <v/>
      </c>
      <c r="G518" s="38">
        <f>F518^2</f>
        <v/>
      </c>
      <c r="H518" s="37" t="n"/>
      <c r="I518" s="37" t="n"/>
    </row>
    <row r="519" ht="15" customHeight="1" s="28">
      <c r="A519" s="40" t="n">
        <v>506</v>
      </c>
      <c r="B519" s="56" t="n">
        <v>505</v>
      </c>
      <c r="C519" s="56">
        <f>B519^2</f>
        <v/>
      </c>
      <c r="D519" s="41" t="n">
        <v>4679.57</v>
      </c>
      <c r="E519" s="41">
        <f>4541.138727+0.225904*B519</f>
        <v/>
      </c>
      <c r="F519" s="42">
        <f>D519-E519</f>
        <v/>
      </c>
      <c r="G519" s="41">
        <f>F519^2</f>
        <v/>
      </c>
      <c r="H519" s="40" t="n"/>
      <c r="I519" s="40" t="n"/>
    </row>
    <row r="520" ht="15" customHeight="1" s="28">
      <c r="A520" s="37" t="n">
        <v>507</v>
      </c>
      <c r="B520" s="55" t="n">
        <v>506</v>
      </c>
      <c r="C520" s="55">
        <f>B520^2</f>
        <v/>
      </c>
      <c r="D520" s="38" t="n">
        <v>4677</v>
      </c>
      <c r="E520" s="38">
        <f>4541.138727+0.225904*B520</f>
        <v/>
      </c>
      <c r="F520" s="39">
        <f>D520-E520</f>
        <v/>
      </c>
      <c r="G520" s="38">
        <f>F520^2</f>
        <v/>
      </c>
      <c r="H520" s="37" t="n"/>
      <c r="I520" s="37" t="n"/>
    </row>
    <row r="521" ht="15" customHeight="1" s="28">
      <c r="A521" s="40" t="n">
        <v>508</v>
      </c>
      <c r="B521" s="56" t="n">
        <v>507</v>
      </c>
      <c r="C521" s="56">
        <f>B521^2</f>
        <v/>
      </c>
      <c r="D521" s="41" t="n">
        <v>4677.27</v>
      </c>
      <c r="E521" s="41">
        <f>4541.138727+0.225904*B521</f>
        <v/>
      </c>
      <c r="F521" s="42">
        <f>D521-E521</f>
        <v/>
      </c>
      <c r="G521" s="41">
        <f>F521^2</f>
        <v/>
      </c>
      <c r="H521" s="40" t="n"/>
      <c r="I521" s="40" t="n"/>
    </row>
    <row r="522" ht="15" customHeight="1" s="28">
      <c r="A522" s="37" t="n">
        <v>509</v>
      </c>
      <c r="B522" s="55" t="n">
        <v>508</v>
      </c>
      <c r="C522" s="55">
        <f>B522^2</f>
        <v/>
      </c>
      <c r="D522" s="38" t="n">
        <v>4700.09</v>
      </c>
      <c r="E522" s="38">
        <f>4541.138727+0.225904*B522</f>
        <v/>
      </c>
      <c r="F522" s="39">
        <f>D522-E522</f>
        <v/>
      </c>
      <c r="G522" s="38">
        <f>F522^2</f>
        <v/>
      </c>
      <c r="H522" s="37" t="n"/>
      <c r="I522" s="37" t="n"/>
    </row>
    <row r="523" ht="15" customHeight="1" s="28">
      <c r="A523" s="40" t="n">
        <v>510</v>
      </c>
      <c r="B523" s="56" t="n">
        <v>509</v>
      </c>
      <c r="C523" s="56">
        <f>B523^2</f>
        <v/>
      </c>
      <c r="D523" s="41" t="n">
        <v>4695.69</v>
      </c>
      <c r="E523" s="41">
        <f>4541.138727+0.225904*B523</f>
        <v/>
      </c>
      <c r="F523" s="42">
        <f>D523-E523</f>
        <v/>
      </c>
      <c r="G523" s="41">
        <f>F523^2</f>
        <v/>
      </c>
      <c r="H523" s="40" t="n"/>
      <c r="I523" s="40" t="n"/>
    </row>
    <row r="524" ht="15" customHeight="1" s="28">
      <c r="A524" s="37" t="n">
        <v>511</v>
      </c>
      <c r="B524" s="55" t="n">
        <v>510</v>
      </c>
      <c r="C524" s="55">
        <f>B524^2</f>
        <v/>
      </c>
      <c r="D524" s="38" t="n">
        <v>4700.12</v>
      </c>
      <c r="E524" s="38">
        <f>4541.138727+0.225904*B524</f>
        <v/>
      </c>
      <c r="F524" s="39">
        <f>D524-E524</f>
        <v/>
      </c>
      <c r="G524" s="38">
        <f>F524^2</f>
        <v/>
      </c>
      <c r="H524" s="37" t="n"/>
      <c r="I524" s="37" t="n"/>
    </row>
    <row r="525" ht="15" customHeight="1" s="28">
      <c r="A525" s="40" t="n">
        <v>512</v>
      </c>
      <c r="B525" s="56" t="n">
        <v>511</v>
      </c>
      <c r="C525" s="56">
        <f>B525^2</f>
        <v/>
      </c>
      <c r="D525" s="41" t="n">
        <v>4696.04</v>
      </c>
      <c r="E525" s="41">
        <f>4541.138727+0.225904*B525</f>
        <v/>
      </c>
      <c r="F525" s="42">
        <f>D525-E525</f>
        <v/>
      </c>
      <c r="G525" s="41">
        <f>F525^2</f>
        <v/>
      </c>
      <c r="H525" s="40" t="n"/>
      <c r="I525" s="40" t="n"/>
    </row>
    <row r="526" ht="15" customHeight="1" s="28">
      <c r="A526" s="37" t="n">
        <v>513</v>
      </c>
      <c r="B526" s="55" t="n">
        <v>512</v>
      </c>
      <c r="C526" s="55">
        <f>B526^2</f>
        <v/>
      </c>
      <c r="D526" s="38" t="n">
        <v>4701.75</v>
      </c>
      <c r="E526" s="38">
        <f>4541.138727+0.225904*B526</f>
        <v/>
      </c>
      <c r="F526" s="39">
        <f>D526-E526</f>
        <v/>
      </c>
      <c r="G526" s="38">
        <f>F526^2</f>
        <v/>
      </c>
      <c r="H526" s="37" t="n"/>
      <c r="I526" s="37" t="n"/>
    </row>
    <row r="527" ht="15" customHeight="1" s="28">
      <c r="A527" s="40" t="n">
        <v>514</v>
      </c>
      <c r="B527" s="56" t="n">
        <v>513</v>
      </c>
      <c r="C527" s="56">
        <f>B527^2</f>
        <v/>
      </c>
      <c r="D527" s="41" t="n">
        <v>4698.2</v>
      </c>
      <c r="E527" s="41">
        <f>4541.138727+0.225904*B527</f>
        <v/>
      </c>
      <c r="F527" s="42">
        <f>D527-E527</f>
        <v/>
      </c>
      <c r="G527" s="41">
        <f>F527^2</f>
        <v/>
      </c>
      <c r="H527" s="40" t="n"/>
      <c r="I527" s="40" t="n"/>
    </row>
    <row r="528" ht="15" customHeight="1" s="28">
      <c r="A528" s="37" t="n">
        <v>515</v>
      </c>
      <c r="B528" s="55" t="n">
        <v>514</v>
      </c>
      <c r="C528" s="55">
        <f>B528^2</f>
        <v/>
      </c>
      <c r="D528" s="38" t="n">
        <v>4704.64</v>
      </c>
      <c r="E528" s="38">
        <f>4541.138727+0.225904*B528</f>
        <v/>
      </c>
      <c r="F528" s="39">
        <f>D528-E528</f>
        <v/>
      </c>
      <c r="G528" s="38">
        <f>F528^2</f>
        <v/>
      </c>
      <c r="H528" s="37" t="n"/>
      <c r="I528" s="37" t="n"/>
    </row>
    <row r="529" ht="15" customHeight="1" s="28">
      <c r="A529" s="40" t="n">
        <v>516</v>
      </c>
      <c r="B529" s="56" t="n">
        <v>515</v>
      </c>
      <c r="C529" s="56">
        <f>B529^2</f>
        <v/>
      </c>
      <c r="D529" s="41" t="n">
        <v>4714.15</v>
      </c>
      <c r="E529" s="41">
        <f>4541.138727+0.225904*B529</f>
        <v/>
      </c>
      <c r="F529" s="42">
        <f>D529-E529</f>
        <v/>
      </c>
      <c r="G529" s="41">
        <f>F529^2</f>
        <v/>
      </c>
      <c r="H529" s="40" t="n"/>
      <c r="I529" s="40" t="n"/>
    </row>
    <row r="530" ht="15" customHeight="1" s="28">
      <c r="A530" s="37" t="n">
        <v>517</v>
      </c>
      <c r="B530" s="55" t="n">
        <v>516</v>
      </c>
      <c r="C530" s="55">
        <f>B530^2</f>
        <v/>
      </c>
      <c r="D530" s="38" t="n">
        <v>4718.25</v>
      </c>
      <c r="E530" s="38">
        <f>4541.138727+0.225904*B530</f>
        <v/>
      </c>
      <c r="F530" s="39">
        <f>D530-E530</f>
        <v/>
      </c>
      <c r="G530" s="38">
        <f>F530^2</f>
        <v/>
      </c>
      <c r="H530" s="37" t="n"/>
      <c r="I530" s="37" t="n"/>
    </row>
    <row r="531" ht="15" customHeight="1" s="28">
      <c r="A531" s="40" t="n">
        <v>518</v>
      </c>
      <c r="B531" s="56" t="n">
        <v>517</v>
      </c>
      <c r="C531" s="56">
        <f>B531^2</f>
        <v/>
      </c>
      <c r="D531" s="41" t="n">
        <v>4711.97</v>
      </c>
      <c r="E531" s="41">
        <f>4541.138727+0.225904*B531</f>
        <v/>
      </c>
      <c r="F531" s="42">
        <f>D531-E531</f>
        <v/>
      </c>
      <c r="G531" s="41">
        <f>F531^2</f>
        <v/>
      </c>
      <c r="H531" s="40" t="n"/>
      <c r="I531" s="40" t="n"/>
    </row>
    <row r="532" ht="15" customHeight="1" s="28">
      <c r="A532" s="37" t="n">
        <v>519</v>
      </c>
      <c r="B532" s="55" t="n">
        <v>518</v>
      </c>
      <c r="C532" s="55">
        <f>B532^2</f>
        <v/>
      </c>
      <c r="D532" s="38" t="n">
        <v>4705.6</v>
      </c>
      <c r="E532" s="38">
        <f>4541.138727+0.225904*B532</f>
        <v/>
      </c>
      <c r="F532" s="39">
        <f>D532-E532</f>
        <v/>
      </c>
      <c r="G532" s="38">
        <f>F532^2</f>
        <v/>
      </c>
      <c r="H532" s="37" t="n"/>
      <c r="I532" s="37" t="n"/>
    </row>
    <row r="533" ht="15" customHeight="1" s="28">
      <c r="A533" s="40" t="n">
        <v>520</v>
      </c>
      <c r="B533" s="56" t="n">
        <v>519</v>
      </c>
      <c r="C533" s="56">
        <f>B533^2</f>
        <v/>
      </c>
      <c r="D533" s="41" t="n">
        <v>4699.65</v>
      </c>
      <c r="E533" s="41">
        <f>4541.138727+0.225904*B533</f>
        <v/>
      </c>
      <c r="F533" s="42">
        <f>D533-E533</f>
        <v/>
      </c>
      <c r="G533" s="41">
        <f>F533^2</f>
        <v/>
      </c>
      <c r="H533" s="40" t="n"/>
      <c r="I533" s="40" t="n"/>
    </row>
    <row r="534" ht="15" customHeight="1" s="28">
      <c r="A534" s="37" t="n">
        <v>521</v>
      </c>
      <c r="B534" s="55" t="n">
        <v>520</v>
      </c>
      <c r="C534" s="55">
        <f>B534^2</f>
        <v/>
      </c>
      <c r="D534" s="38" t="n">
        <v>4692.11</v>
      </c>
      <c r="E534" s="38">
        <f>4541.138727+0.225904*B534</f>
        <v/>
      </c>
      <c r="F534" s="39">
        <f>D534-E534</f>
        <v/>
      </c>
      <c r="G534" s="38">
        <f>F534^2</f>
        <v/>
      </c>
      <c r="H534" s="37" t="n"/>
      <c r="I534" s="37" t="n"/>
    </row>
    <row r="535" ht="15" customHeight="1" s="28">
      <c r="A535" s="40" t="n">
        <v>522</v>
      </c>
      <c r="B535" s="56" t="n">
        <v>521</v>
      </c>
      <c r="C535" s="56">
        <f>B535^2</f>
        <v/>
      </c>
      <c r="D535" s="41" t="n">
        <v>4672.94</v>
      </c>
      <c r="E535" s="41">
        <f>4541.138727+0.225904*B535</f>
        <v/>
      </c>
      <c r="F535" s="42">
        <f>D535-E535</f>
        <v/>
      </c>
      <c r="G535" s="41">
        <f>F535^2</f>
        <v/>
      </c>
      <c r="H535" s="40" t="n"/>
      <c r="I535" s="40" t="n"/>
    </row>
    <row r="536" ht="15" customHeight="1" s="28">
      <c r="A536" s="37" t="n">
        <v>523</v>
      </c>
      <c r="B536" s="55" t="n">
        <v>522</v>
      </c>
      <c r="C536" s="55">
        <f>B536^2</f>
        <v/>
      </c>
      <c r="D536" s="38" t="n">
        <v>4683.36</v>
      </c>
      <c r="E536" s="38">
        <f>4541.138727+0.225904*B536</f>
        <v/>
      </c>
      <c r="F536" s="39">
        <f>D536-E536</f>
        <v/>
      </c>
      <c r="G536" s="38">
        <f>F536^2</f>
        <v/>
      </c>
      <c r="H536" s="37" t="n"/>
      <c r="I536" s="37" t="n"/>
    </row>
    <row r="537" ht="15" customHeight="1" s="28">
      <c r="A537" s="40" t="n">
        <v>524</v>
      </c>
      <c r="B537" s="56" t="n">
        <v>523</v>
      </c>
      <c r="C537" s="56">
        <f>B537^2</f>
        <v/>
      </c>
      <c r="D537" s="41" t="n">
        <v>4682.83</v>
      </c>
      <c r="E537" s="41">
        <f>4541.138727+0.225904*B537</f>
        <v/>
      </c>
      <c r="F537" s="42">
        <f>D537-E537</f>
        <v/>
      </c>
      <c r="G537" s="41">
        <f>F537^2</f>
        <v/>
      </c>
      <c r="H537" s="40" t="n"/>
      <c r="I537" s="40" t="n"/>
    </row>
    <row r="538" ht="15" customHeight="1" s="28">
      <c r="A538" s="37" t="n">
        <v>525</v>
      </c>
      <c r="B538" s="55" t="n">
        <v>524</v>
      </c>
      <c r="C538" s="55">
        <f>B538^2</f>
        <v/>
      </c>
      <c r="D538" s="38" t="n">
        <v>4683.36</v>
      </c>
      <c r="E538" s="38">
        <f>4541.138727+0.225904*B538</f>
        <v/>
      </c>
      <c r="F538" s="39">
        <f>D538-E538</f>
        <v/>
      </c>
      <c r="G538" s="38">
        <f>F538^2</f>
        <v/>
      </c>
      <c r="H538" s="37" t="n"/>
      <c r="I538" s="37" t="n"/>
    </row>
    <row r="539" ht="15" customHeight="1" s="28">
      <c r="A539" s="40" t="n">
        <v>526</v>
      </c>
      <c r="B539" s="56" t="n">
        <v>525</v>
      </c>
      <c r="C539" s="56">
        <f>B539^2</f>
        <v/>
      </c>
      <c r="D539" s="41" t="n">
        <v>4683.63</v>
      </c>
      <c r="E539" s="41">
        <f>4541.138727+0.225904*B539</f>
        <v/>
      </c>
      <c r="F539" s="42">
        <f>D539-E539</f>
        <v/>
      </c>
      <c r="G539" s="41">
        <f>F539^2</f>
        <v/>
      </c>
      <c r="H539" s="40" t="n"/>
      <c r="I539" s="40" t="n"/>
    </row>
    <row r="540" ht="15" customHeight="1" s="28">
      <c r="A540" s="37" t="n">
        <v>527</v>
      </c>
      <c r="B540" s="55" t="n">
        <v>526</v>
      </c>
      <c r="C540" s="55">
        <f>B540^2</f>
        <v/>
      </c>
      <c r="D540" s="38" t="n">
        <v>4685.16</v>
      </c>
      <c r="E540" s="38">
        <f>4541.138727+0.225904*B540</f>
        <v/>
      </c>
      <c r="F540" s="39">
        <f>D540-E540</f>
        <v/>
      </c>
      <c r="G540" s="38">
        <f>F540^2</f>
        <v/>
      </c>
      <c r="H540" s="37" t="n"/>
      <c r="I540" s="37" t="n"/>
    </row>
    <row r="541" ht="15" customHeight="1" s="28">
      <c r="A541" s="40" t="n">
        <v>528</v>
      </c>
      <c r="B541" s="56" t="n">
        <v>527</v>
      </c>
      <c r="C541" s="56">
        <f>B541^2</f>
        <v/>
      </c>
      <c r="D541" s="41" t="n">
        <v>4695.33</v>
      </c>
      <c r="E541" s="41">
        <f>4541.138727+0.225904*B541</f>
        <v/>
      </c>
      <c r="F541" s="42">
        <f>D541-E541</f>
        <v/>
      </c>
      <c r="G541" s="41">
        <f>F541^2</f>
        <v/>
      </c>
      <c r="H541" s="40" t="n"/>
      <c r="I541" s="40" t="n"/>
    </row>
    <row r="542" ht="15" customHeight="1" s="28">
      <c r="A542" s="37" t="n">
        <v>529</v>
      </c>
      <c r="B542" s="55" t="n">
        <v>528</v>
      </c>
      <c r="C542" s="55">
        <f>B542^2</f>
        <v/>
      </c>
      <c r="D542" s="38" t="n">
        <v>4702.21</v>
      </c>
      <c r="E542" s="38">
        <f>4541.138727+0.225904*B542</f>
        <v/>
      </c>
      <c r="F542" s="39">
        <f>D542-E542</f>
        <v/>
      </c>
      <c r="G542" s="38">
        <f>F542^2</f>
        <v/>
      </c>
      <c r="H542" s="37" t="n"/>
      <c r="I542" s="37" t="n"/>
    </row>
    <row r="543" ht="15" customHeight="1" s="28">
      <c r="A543" s="40" t="n">
        <v>530</v>
      </c>
      <c r="B543" s="56" t="n">
        <v>529</v>
      </c>
      <c r="C543" s="56">
        <f>B543^2</f>
        <v/>
      </c>
      <c r="D543" s="41" t="n">
        <v>4711.04</v>
      </c>
      <c r="E543" s="41">
        <f>4541.138727+0.225904*B543</f>
        <v/>
      </c>
      <c r="F543" s="42">
        <f>D543-E543</f>
        <v/>
      </c>
      <c r="G543" s="41">
        <f>F543^2</f>
        <v/>
      </c>
      <c r="H543" s="40" t="n"/>
      <c r="I543" s="40" t="n"/>
    </row>
    <row r="544" ht="15" customHeight="1" s="28">
      <c r="A544" s="37" t="n">
        <v>531</v>
      </c>
      <c r="B544" s="55" t="n">
        <v>530</v>
      </c>
      <c r="C544" s="55">
        <f>B544^2</f>
        <v/>
      </c>
      <c r="D544" s="38" t="n">
        <v>4705.66</v>
      </c>
      <c r="E544" s="38">
        <f>4541.138727+0.225904*B544</f>
        <v/>
      </c>
      <c r="F544" s="39">
        <f>D544-E544</f>
        <v/>
      </c>
      <c r="G544" s="38">
        <f>F544^2</f>
        <v/>
      </c>
      <c r="H544" s="37" t="n"/>
      <c r="I544" s="37" t="n"/>
    </row>
    <row r="545" ht="15" customHeight="1" s="28">
      <c r="A545" s="40" t="n">
        <v>532</v>
      </c>
      <c r="B545" s="56" t="n">
        <v>531</v>
      </c>
      <c r="C545" s="56">
        <f>B545^2</f>
        <v/>
      </c>
      <c r="D545" s="41" t="n">
        <v>4713.4</v>
      </c>
      <c r="E545" s="41">
        <f>4541.138727+0.225904*B545</f>
        <v/>
      </c>
      <c r="F545" s="42">
        <f>D545-E545</f>
        <v/>
      </c>
      <c r="G545" s="41">
        <f>F545^2</f>
        <v/>
      </c>
      <c r="H545" s="40" t="n"/>
      <c r="I545" s="40" t="n"/>
    </row>
    <row r="546" ht="15" customHeight="1" s="28">
      <c r="A546" s="37" t="n">
        <v>533</v>
      </c>
      <c r="B546" s="55" t="n">
        <v>532</v>
      </c>
      <c r="C546" s="55">
        <f>B546^2</f>
        <v/>
      </c>
      <c r="D546" s="38" t="n">
        <v>4703.14</v>
      </c>
      <c r="E546" s="38">
        <f>4541.138727+0.225904*B546</f>
        <v/>
      </c>
      <c r="F546" s="39">
        <f>D546-E546</f>
        <v/>
      </c>
      <c r="G546" s="38">
        <f>F546^2</f>
        <v/>
      </c>
      <c r="H546" s="37" t="n"/>
      <c r="I546" s="37" t="n"/>
    </row>
    <row r="547" ht="15" customHeight="1" s="28">
      <c r="A547" s="40" t="n">
        <v>534</v>
      </c>
      <c r="B547" s="56" t="n">
        <v>533</v>
      </c>
      <c r="C547" s="56">
        <f>B547^2</f>
        <v/>
      </c>
      <c r="D547" s="41" t="n">
        <v>4696.47</v>
      </c>
      <c r="E547" s="41">
        <f>4541.138727+0.225904*B547</f>
        <v/>
      </c>
      <c r="F547" s="42">
        <f>D547-E547</f>
        <v/>
      </c>
      <c r="G547" s="41">
        <f>F547^2</f>
        <v/>
      </c>
      <c r="H547" s="40" t="n"/>
      <c r="I547" s="40" t="n"/>
    </row>
    <row r="548" ht="15" customHeight="1" s="28">
      <c r="A548" s="37" t="n">
        <v>535</v>
      </c>
      <c r="B548" s="55" t="n">
        <v>534</v>
      </c>
      <c r="C548" s="55">
        <f>B548^2</f>
        <v/>
      </c>
      <c r="D548" s="38" t="n">
        <v>4695.45</v>
      </c>
      <c r="E548" s="38">
        <f>4541.138727+0.225904*B548</f>
        <v/>
      </c>
      <c r="F548" s="39">
        <f>D548-E548</f>
        <v/>
      </c>
      <c r="G548" s="38">
        <f>F548^2</f>
        <v/>
      </c>
      <c r="H548" s="37" t="n"/>
      <c r="I548" s="37" t="n"/>
    </row>
    <row r="549" ht="15" customHeight="1" s="28">
      <c r="A549" s="40" t="n">
        <v>536</v>
      </c>
      <c r="B549" s="56" t="n">
        <v>535</v>
      </c>
      <c r="C549" s="56">
        <f>B549^2</f>
        <v/>
      </c>
      <c r="D549" s="41" t="n">
        <v>4692.77</v>
      </c>
      <c r="E549" s="41">
        <f>4541.138727+0.225904*B549</f>
        <v/>
      </c>
      <c r="F549" s="42">
        <f>D549-E549</f>
        <v/>
      </c>
      <c r="G549" s="41">
        <f>F549^2</f>
        <v/>
      </c>
      <c r="H549" s="40" t="n"/>
      <c r="I549" s="40" t="n"/>
    </row>
    <row r="550" ht="15" customHeight="1" s="28">
      <c r="A550" s="37" t="n">
        <v>537</v>
      </c>
      <c r="B550" s="55" t="n">
        <v>536</v>
      </c>
      <c r="C550" s="55">
        <f>B550^2</f>
        <v/>
      </c>
      <c r="D550" s="38" t="n">
        <v>4687.96</v>
      </c>
      <c r="E550" s="38">
        <f>4541.138727+0.225904*B550</f>
        <v/>
      </c>
      <c r="F550" s="39">
        <f>D550-E550</f>
        <v/>
      </c>
      <c r="G550" s="38">
        <f>F550^2</f>
        <v/>
      </c>
      <c r="H550" s="37" t="n"/>
      <c r="I550" s="37" t="n"/>
    </row>
    <row r="551" ht="15" customHeight="1" s="28">
      <c r="A551" s="40" t="n">
        <v>538</v>
      </c>
      <c r="B551" s="56" t="n">
        <v>537</v>
      </c>
      <c r="C551" s="56">
        <f>B551^2</f>
        <v/>
      </c>
      <c r="D551" s="41" t="n">
        <v>4683.69</v>
      </c>
      <c r="E551" s="41">
        <f>4541.138727+0.225904*B551</f>
        <v/>
      </c>
      <c r="F551" s="42">
        <f>D551-E551</f>
        <v/>
      </c>
      <c r="G551" s="41">
        <f>F551^2</f>
        <v/>
      </c>
      <c r="H551" s="40" t="n"/>
      <c r="I551" s="40" t="n"/>
    </row>
    <row r="552" ht="15" customHeight="1" s="28">
      <c r="A552" s="37" t="n">
        <v>539</v>
      </c>
      <c r="B552" s="55" t="n">
        <v>538</v>
      </c>
      <c r="C552" s="55">
        <f>B552^2</f>
        <v/>
      </c>
      <c r="D552" s="38" t="n">
        <v>4688.15</v>
      </c>
      <c r="E552" s="38">
        <f>4541.138727+0.225904*B552</f>
        <v/>
      </c>
      <c r="F552" s="39">
        <f>D552-E552</f>
        <v/>
      </c>
      <c r="G552" s="38">
        <f>F552^2</f>
        <v/>
      </c>
      <c r="H552" s="37" t="n"/>
      <c r="I552" s="37" t="n"/>
    </row>
    <row r="553" ht="15" customHeight="1" s="28">
      <c r="A553" s="40" t="n">
        <v>540</v>
      </c>
      <c r="B553" s="56" t="n">
        <v>539</v>
      </c>
      <c r="C553" s="56">
        <f>B553^2</f>
        <v/>
      </c>
      <c r="D553" s="41" t="n">
        <v>4688.73</v>
      </c>
      <c r="E553" s="41">
        <f>4541.138727+0.225904*B553</f>
        <v/>
      </c>
      <c r="F553" s="42">
        <f>D553-E553</f>
        <v/>
      </c>
      <c r="G553" s="41">
        <f>F553^2</f>
        <v/>
      </c>
      <c r="H553" s="40" t="n"/>
      <c r="I553" s="40" t="n"/>
    </row>
    <row r="554" ht="15" customHeight="1" s="28">
      <c r="A554" s="37" t="n">
        <v>541</v>
      </c>
      <c r="B554" s="55" t="n">
        <v>540</v>
      </c>
      <c r="C554" s="55">
        <f>B554^2</f>
        <v/>
      </c>
      <c r="D554" s="38" t="n">
        <v>4683.1</v>
      </c>
      <c r="E554" s="38">
        <f>4541.138727+0.225904*B554</f>
        <v/>
      </c>
      <c r="F554" s="39">
        <f>D554-E554</f>
        <v/>
      </c>
      <c r="G554" s="38">
        <f>F554^2</f>
        <v/>
      </c>
      <c r="H554" s="37" t="n"/>
      <c r="I554" s="37" t="n"/>
    </row>
    <row r="555" ht="15" customHeight="1" s="28">
      <c r="A555" s="40" t="n">
        <v>542</v>
      </c>
      <c r="B555" s="56" t="n">
        <v>541</v>
      </c>
      <c r="C555" s="56">
        <f>B555^2</f>
        <v/>
      </c>
      <c r="D555" s="41" t="n">
        <v>4685.62</v>
      </c>
      <c r="E555" s="41">
        <f>4541.138727+0.225904*B555</f>
        <v/>
      </c>
      <c r="F555" s="42">
        <f>D555-E555</f>
        <v/>
      </c>
      <c r="G555" s="41">
        <f>F555^2</f>
        <v/>
      </c>
      <c r="H555" s="40" t="n"/>
      <c r="I555" s="40" t="n"/>
    </row>
    <row r="556" ht="15" customHeight="1" s="28">
      <c r="A556" s="37" t="n">
        <v>543</v>
      </c>
      <c r="B556" s="55" t="n">
        <v>542</v>
      </c>
      <c r="C556" s="55">
        <f>B556^2</f>
        <v/>
      </c>
      <c r="D556" s="38" t="n">
        <v>4683.1</v>
      </c>
      <c r="E556" s="38">
        <f>4541.138727+0.225904*B556</f>
        <v/>
      </c>
      <c r="F556" s="39">
        <f>D556-E556</f>
        <v/>
      </c>
      <c r="G556" s="38">
        <f>F556^2</f>
        <v/>
      </c>
      <c r="H556" s="37" t="n"/>
      <c r="I556" s="37" t="n"/>
    </row>
    <row r="557" ht="15" customHeight="1" s="28">
      <c r="A557" s="40" t="n">
        <v>544</v>
      </c>
      <c r="B557" s="56" t="n">
        <v>543</v>
      </c>
      <c r="C557" s="56">
        <f>B557^2</f>
        <v/>
      </c>
      <c r="D557" s="41" t="n">
        <v>4680.64</v>
      </c>
      <c r="E557" s="41">
        <f>4541.138727+0.225904*B557</f>
        <v/>
      </c>
      <c r="F557" s="42">
        <f>D557-E557</f>
        <v/>
      </c>
      <c r="G557" s="41">
        <f>F557^2</f>
        <v/>
      </c>
      <c r="H557" s="40" t="n"/>
      <c r="I557" s="40" t="n"/>
    </row>
    <row r="558" ht="15" customHeight="1" s="28">
      <c r="A558" s="37" t="n">
        <v>545</v>
      </c>
      <c r="B558" s="55" t="n">
        <v>544</v>
      </c>
      <c r="C558" s="55">
        <f>B558^2</f>
        <v/>
      </c>
      <c r="D558" s="38" t="n">
        <v>4684.13</v>
      </c>
      <c r="E558" s="38">
        <f>4541.138727+0.225904*B558</f>
        <v/>
      </c>
      <c r="F558" s="39">
        <f>D558-E558</f>
        <v/>
      </c>
      <c r="G558" s="38">
        <f>F558^2</f>
        <v/>
      </c>
      <c r="H558" s="37" t="n"/>
      <c r="I558" s="37" t="n"/>
    </row>
    <row r="559" ht="15" customHeight="1" s="28">
      <c r="A559" s="40" t="n">
        <v>546</v>
      </c>
      <c r="B559" s="56" t="n">
        <v>545</v>
      </c>
      <c r="C559" s="56">
        <f>B559^2</f>
        <v/>
      </c>
      <c r="D559" s="41" t="n">
        <v>4686.79</v>
      </c>
      <c r="E559" s="41">
        <f>4541.138727+0.225904*B559</f>
        <v/>
      </c>
      <c r="F559" s="42">
        <f>D559-E559</f>
        <v/>
      </c>
      <c r="G559" s="41">
        <f>F559^2</f>
        <v/>
      </c>
      <c r="H559" s="40" t="n"/>
      <c r="I559" s="40" t="n"/>
    </row>
    <row r="560" ht="15" customHeight="1" s="28">
      <c r="A560" s="37" t="n">
        <v>547</v>
      </c>
      <c r="B560" s="55" t="n">
        <v>546</v>
      </c>
      <c r="C560" s="55">
        <f>B560^2</f>
        <v/>
      </c>
      <c r="D560" s="38" t="n">
        <v>4687.85</v>
      </c>
      <c r="E560" s="38">
        <f>4541.138727+0.225904*B560</f>
        <v/>
      </c>
      <c r="F560" s="39">
        <f>D560-E560</f>
        <v/>
      </c>
      <c r="G560" s="38">
        <f>F560^2</f>
        <v/>
      </c>
      <c r="H560" s="37" t="n"/>
      <c r="I560" s="37" t="n"/>
    </row>
    <row r="561" ht="15" customHeight="1" s="28">
      <c r="A561" s="40" t="n">
        <v>548</v>
      </c>
      <c r="B561" s="56" t="n">
        <v>547</v>
      </c>
      <c r="C561" s="56">
        <f>B561^2</f>
        <v/>
      </c>
      <c r="D561" s="41" t="n">
        <v>4686.27</v>
      </c>
      <c r="E561" s="41">
        <f>4541.138727+0.225904*B561</f>
        <v/>
      </c>
      <c r="F561" s="42">
        <f>D561-E561</f>
        <v/>
      </c>
      <c r="G561" s="41">
        <f>F561^2</f>
        <v/>
      </c>
      <c r="H561" s="40" t="n"/>
      <c r="I561" s="40" t="n"/>
    </row>
    <row r="562" ht="15" customHeight="1" s="28">
      <c r="A562" s="37" t="n">
        <v>549</v>
      </c>
      <c r="B562" s="55" t="n">
        <v>548</v>
      </c>
      <c r="C562" s="55">
        <f>B562^2</f>
        <v/>
      </c>
      <c r="D562" s="38" t="n">
        <v>4686.1</v>
      </c>
      <c r="E562" s="38">
        <f>4541.138727+0.225904*B562</f>
        <v/>
      </c>
      <c r="F562" s="39">
        <f>D562-E562</f>
        <v/>
      </c>
      <c r="G562" s="38">
        <f>F562^2</f>
        <v/>
      </c>
      <c r="H562" s="37" t="n"/>
      <c r="I562" s="37" t="n"/>
    </row>
    <row r="563" ht="15" customHeight="1" s="28">
      <c r="A563" s="40" t="n">
        <v>550</v>
      </c>
      <c r="B563" s="56" t="n">
        <v>549</v>
      </c>
      <c r="C563" s="56">
        <f>B563^2</f>
        <v/>
      </c>
      <c r="D563" s="41" t="n">
        <v>4695.28</v>
      </c>
      <c r="E563" s="41">
        <f>4541.138727+0.225904*B563</f>
        <v/>
      </c>
      <c r="F563" s="42">
        <f>D563-E563</f>
        <v/>
      </c>
      <c r="G563" s="41">
        <f>F563^2</f>
        <v/>
      </c>
      <c r="H563" s="40" t="n"/>
      <c r="I563" s="40" t="n"/>
    </row>
    <row r="564" ht="15" customHeight="1" s="28">
      <c r="A564" s="37" t="n">
        <v>551</v>
      </c>
      <c r="B564" s="55" t="n">
        <v>550</v>
      </c>
      <c r="C564" s="55">
        <f>B564^2</f>
        <v/>
      </c>
      <c r="D564" s="38" t="n">
        <v>4698.51</v>
      </c>
      <c r="E564" s="38">
        <f>4541.138727+0.225904*B564</f>
        <v/>
      </c>
      <c r="F564" s="39">
        <f>D564-E564</f>
        <v/>
      </c>
      <c r="G564" s="38">
        <f>F564^2</f>
        <v/>
      </c>
      <c r="H564" s="37" t="n"/>
      <c r="I564" s="37" t="n"/>
    </row>
    <row r="565" ht="15" customHeight="1" s="28">
      <c r="A565" s="40" t="n">
        <v>552</v>
      </c>
      <c r="B565" s="56" t="n">
        <v>551</v>
      </c>
      <c r="C565" s="56">
        <f>B565^2</f>
        <v/>
      </c>
      <c r="D565" s="41" t="n">
        <v>4695.4</v>
      </c>
      <c r="E565" s="41">
        <f>4541.138727+0.225904*B565</f>
        <v/>
      </c>
      <c r="F565" s="42">
        <f>D565-E565</f>
        <v/>
      </c>
      <c r="G565" s="41">
        <f>F565^2</f>
        <v/>
      </c>
      <c r="H565" s="40" t="n"/>
      <c r="I565" s="40" t="n"/>
    </row>
    <row r="566" ht="15" customHeight="1" s="28">
      <c r="A566" s="37" t="n">
        <v>553</v>
      </c>
      <c r="B566" s="55" t="n">
        <v>552</v>
      </c>
      <c r="C566" s="55">
        <f>B566^2</f>
        <v/>
      </c>
      <c r="D566" s="38" t="n">
        <v>4692.6</v>
      </c>
      <c r="E566" s="38">
        <f>4541.138727+0.225904*B566</f>
        <v/>
      </c>
      <c r="F566" s="39">
        <f>D566-E566</f>
        <v/>
      </c>
      <c r="G566" s="38">
        <f>F566^2</f>
        <v/>
      </c>
      <c r="H566" s="37" t="n"/>
      <c r="I566" s="37" t="n"/>
    </row>
    <row r="567" ht="15" customHeight="1" s="28">
      <c r="A567" s="40" t="n">
        <v>554</v>
      </c>
      <c r="B567" s="56" t="n">
        <v>553</v>
      </c>
      <c r="C567" s="56">
        <f>B567^2</f>
        <v/>
      </c>
      <c r="D567" s="41" t="n">
        <v>4698.99</v>
      </c>
      <c r="E567" s="41">
        <f>4541.138727+0.225904*B567</f>
        <v/>
      </c>
      <c r="F567" s="42">
        <f>D567-E567</f>
        <v/>
      </c>
      <c r="G567" s="41">
        <f>F567^2</f>
        <v/>
      </c>
      <c r="H567" s="40" t="n"/>
      <c r="I567" s="40" t="n"/>
    </row>
    <row r="568" ht="15" customHeight="1" s="28">
      <c r="A568" s="37" t="n">
        <v>555</v>
      </c>
      <c r="B568" s="55" t="n">
        <v>554</v>
      </c>
      <c r="C568" s="55">
        <f>B568^2</f>
        <v/>
      </c>
      <c r="D568" s="38" t="n">
        <v>4692.65</v>
      </c>
      <c r="E568" s="38">
        <f>4541.138727+0.225904*B568</f>
        <v/>
      </c>
      <c r="F568" s="39">
        <f>D568-E568</f>
        <v/>
      </c>
      <c r="G568" s="38">
        <f>F568^2</f>
        <v/>
      </c>
      <c r="H568" s="37" t="n"/>
      <c r="I568" s="37" t="n"/>
    </row>
    <row r="569" ht="15" customHeight="1" s="28">
      <c r="A569" s="40" t="n">
        <v>556</v>
      </c>
      <c r="B569" s="56" t="n">
        <v>555</v>
      </c>
      <c r="C569" s="56">
        <f>B569^2</f>
        <v/>
      </c>
      <c r="D569" s="41" t="n">
        <v>4689.09</v>
      </c>
      <c r="E569" s="41">
        <f>4541.138727+0.225904*B569</f>
        <v/>
      </c>
      <c r="F569" s="42">
        <f>D569-E569</f>
        <v/>
      </c>
      <c r="G569" s="41">
        <f>F569^2</f>
        <v/>
      </c>
      <c r="H569" s="40" t="n"/>
      <c r="I569" s="40" t="n"/>
    </row>
    <row r="570" ht="15" customHeight="1" s="28">
      <c r="A570" s="37" t="n">
        <v>557</v>
      </c>
      <c r="B570" s="55" t="n">
        <v>556</v>
      </c>
      <c r="C570" s="55">
        <f>B570^2</f>
        <v/>
      </c>
      <c r="D570" s="38" t="n">
        <v>4690.95</v>
      </c>
      <c r="E570" s="38">
        <f>4541.138727+0.225904*B570</f>
        <v/>
      </c>
      <c r="F570" s="39">
        <f>D570-E570</f>
        <v/>
      </c>
      <c r="G570" s="38">
        <f>F570^2</f>
        <v/>
      </c>
      <c r="H570" s="37" t="n"/>
      <c r="I570" s="37" t="n"/>
    </row>
    <row r="571" ht="15" customHeight="1" s="28">
      <c r="A571" s="40" t="n">
        <v>558</v>
      </c>
      <c r="B571" s="56" t="n">
        <v>557</v>
      </c>
      <c r="C571" s="56">
        <f>B571^2</f>
        <v/>
      </c>
      <c r="D571" s="41" t="n">
        <v>4697.18</v>
      </c>
      <c r="E571" s="41">
        <f>4541.138727+0.225904*B571</f>
        <v/>
      </c>
      <c r="F571" s="42">
        <f>D571-E571</f>
        <v/>
      </c>
      <c r="G571" s="41">
        <f>F571^2</f>
        <v/>
      </c>
      <c r="H571" s="40" t="n"/>
      <c r="I571" s="40" t="n"/>
    </row>
    <row r="572" ht="15" customHeight="1" s="28">
      <c r="A572" s="37" t="n">
        <v>559</v>
      </c>
      <c r="B572" s="55" t="n">
        <v>558</v>
      </c>
      <c r="C572" s="55">
        <f>B572^2</f>
        <v/>
      </c>
      <c r="D572" s="38" t="n">
        <v>4695.42</v>
      </c>
      <c r="E572" s="38">
        <f>4541.138727+0.225904*B572</f>
        <v/>
      </c>
      <c r="F572" s="39">
        <f>D572-E572</f>
        <v/>
      </c>
      <c r="G572" s="38">
        <f>F572^2</f>
        <v/>
      </c>
      <c r="H572" s="37" t="n"/>
      <c r="I572" s="37" t="n"/>
    </row>
    <row r="573" ht="15" customHeight="1" s="28">
      <c r="A573" s="40" t="n">
        <v>560</v>
      </c>
      <c r="B573" s="56" t="n">
        <v>559</v>
      </c>
      <c r="C573" s="56">
        <f>B573^2</f>
        <v/>
      </c>
      <c r="D573" s="41" t="n">
        <v>4698.63</v>
      </c>
      <c r="E573" s="41">
        <f>4541.138727+0.225904*B573</f>
        <v/>
      </c>
      <c r="F573" s="42">
        <f>D573-E573</f>
        <v/>
      </c>
      <c r="G573" s="41">
        <f>F573^2</f>
        <v/>
      </c>
      <c r="H573" s="40" t="n"/>
      <c r="I573" s="40" t="n"/>
    </row>
    <row r="574" ht="15" customHeight="1" s="28">
      <c r="A574" s="37" t="n">
        <v>561</v>
      </c>
      <c r="B574" s="55" t="n">
        <v>560</v>
      </c>
      <c r="C574" s="55">
        <f>B574^2</f>
        <v/>
      </c>
      <c r="D574" s="38" t="n">
        <v>4694.94</v>
      </c>
      <c r="E574" s="38">
        <f>4541.138727+0.225904*B574</f>
        <v/>
      </c>
      <c r="F574" s="39">
        <f>D574-E574</f>
        <v/>
      </c>
      <c r="G574" s="38">
        <f>F574^2</f>
        <v/>
      </c>
      <c r="H574" s="37" t="n"/>
      <c r="I574" s="37" t="n"/>
    </row>
    <row r="575" ht="15" customHeight="1" s="28">
      <c r="A575" s="40" t="n">
        <v>562</v>
      </c>
      <c r="B575" s="56" t="n">
        <v>561</v>
      </c>
      <c r="C575" s="56">
        <f>B575^2</f>
        <v/>
      </c>
      <c r="D575" s="41" t="n">
        <v>4694.41</v>
      </c>
      <c r="E575" s="41">
        <f>4541.138727+0.225904*B575</f>
        <v/>
      </c>
      <c r="F575" s="42">
        <f>D575-E575</f>
        <v/>
      </c>
      <c r="G575" s="41">
        <f>F575^2</f>
        <v/>
      </c>
      <c r="H575" s="40" t="n"/>
      <c r="I575" s="40" t="n"/>
    </row>
    <row r="576" ht="15" customHeight="1" s="28">
      <c r="A576" s="37" t="n">
        <v>563</v>
      </c>
      <c r="B576" s="55" t="n">
        <v>562</v>
      </c>
      <c r="C576" s="55">
        <f>B576^2</f>
        <v/>
      </c>
      <c r="D576" s="38" t="n">
        <v>4693.6</v>
      </c>
      <c r="E576" s="38">
        <f>4541.138727+0.225904*B576</f>
        <v/>
      </c>
      <c r="F576" s="39">
        <f>D576-E576</f>
        <v/>
      </c>
      <c r="G576" s="38">
        <f>F576^2</f>
        <v/>
      </c>
      <c r="H576" s="37" t="n"/>
      <c r="I576" s="37" t="n"/>
    </row>
    <row r="577" ht="15" customHeight="1" s="28">
      <c r="A577" s="40" t="n">
        <v>564</v>
      </c>
      <c r="B577" s="56" t="n">
        <v>563</v>
      </c>
      <c r="C577" s="56">
        <f>B577^2</f>
        <v/>
      </c>
      <c r="D577" s="41" t="n">
        <v>4693.6</v>
      </c>
      <c r="E577" s="41">
        <f>4541.138727+0.225904*B577</f>
        <v/>
      </c>
      <c r="F577" s="42">
        <f>D577-E577</f>
        <v/>
      </c>
      <c r="G577" s="41">
        <f>F577^2</f>
        <v/>
      </c>
      <c r="H577" s="40" t="n"/>
      <c r="I577" s="40" t="n"/>
    </row>
    <row r="578" ht="15" customHeight="1" s="28">
      <c r="A578" s="37" t="n">
        <v>565</v>
      </c>
      <c r="B578" s="55" t="n">
        <v>564</v>
      </c>
      <c r="C578" s="55">
        <f>B578^2</f>
        <v/>
      </c>
      <c r="D578" s="38" t="n">
        <v>4699</v>
      </c>
      <c r="E578" s="38">
        <f>4541.138727+0.225904*B578</f>
        <v/>
      </c>
      <c r="F578" s="39">
        <f>D578-E578</f>
        <v/>
      </c>
      <c r="G578" s="38">
        <f>F578^2</f>
        <v/>
      </c>
      <c r="H578" s="37" t="n"/>
      <c r="I578" s="37" t="n"/>
    </row>
    <row r="579" ht="15" customHeight="1" s="28">
      <c r="A579" s="40" t="n">
        <v>566</v>
      </c>
      <c r="B579" s="56" t="n">
        <v>565</v>
      </c>
      <c r="C579" s="56">
        <f>B579^2</f>
        <v/>
      </c>
      <c r="D579" s="41" t="n">
        <v>4699.88</v>
      </c>
      <c r="E579" s="41">
        <f>4541.138727+0.225904*B579</f>
        <v/>
      </c>
      <c r="F579" s="42">
        <f>D579-E579</f>
        <v/>
      </c>
      <c r="G579" s="41">
        <f>F579^2</f>
        <v/>
      </c>
      <c r="H579" s="40" t="n"/>
      <c r="I579" s="40" t="n"/>
    </row>
    <row r="580" ht="15" customHeight="1" s="28">
      <c r="A580" s="37" t="n">
        <v>567</v>
      </c>
      <c r="B580" s="55" t="n">
        <v>566</v>
      </c>
      <c r="C580" s="55">
        <f>B580^2</f>
        <v/>
      </c>
      <c r="D580" s="38" t="n">
        <v>4692.51</v>
      </c>
      <c r="E580" s="38">
        <f>4541.138727+0.225904*B580</f>
        <v/>
      </c>
      <c r="F580" s="39">
        <f>D580-E580</f>
        <v/>
      </c>
      <c r="G580" s="38">
        <f>F580^2</f>
        <v/>
      </c>
      <c r="H580" s="37" t="n"/>
      <c r="I580" s="37" t="n"/>
    </row>
    <row r="581" ht="15" customHeight="1" s="28">
      <c r="A581" s="40" t="n">
        <v>568</v>
      </c>
      <c r="B581" s="56" t="n">
        <v>567</v>
      </c>
      <c r="C581" s="56">
        <f>B581^2</f>
        <v/>
      </c>
      <c r="D581" s="41" t="n">
        <v>4688.45</v>
      </c>
      <c r="E581" s="41">
        <f>4541.138727+0.225904*B581</f>
        <v/>
      </c>
      <c r="F581" s="42">
        <f>D581-E581</f>
        <v/>
      </c>
      <c r="G581" s="41">
        <f>F581^2</f>
        <v/>
      </c>
      <c r="H581" s="40" t="n"/>
      <c r="I581" s="40" t="n"/>
    </row>
    <row r="582" ht="15" customHeight="1" s="28">
      <c r="A582" s="37" t="n">
        <v>569</v>
      </c>
      <c r="B582" s="55" t="n">
        <v>568</v>
      </c>
      <c r="C582" s="55">
        <f>B582^2</f>
        <v/>
      </c>
      <c r="D582" s="38" t="n">
        <v>4688.57</v>
      </c>
      <c r="E582" s="38">
        <f>4541.138727+0.225904*B582</f>
        <v/>
      </c>
      <c r="F582" s="39">
        <f>D582-E582</f>
        <v/>
      </c>
      <c r="G582" s="38">
        <f>F582^2</f>
        <v/>
      </c>
      <c r="H582" s="37" t="n"/>
      <c r="I582" s="37" t="n"/>
    </row>
    <row r="583" ht="15" customHeight="1" s="28">
      <c r="A583" s="40" t="n">
        <v>570</v>
      </c>
      <c r="B583" s="56" t="n">
        <v>569</v>
      </c>
      <c r="C583" s="56">
        <f>B583^2</f>
        <v/>
      </c>
      <c r="D583" s="41" t="n">
        <v>4709.88</v>
      </c>
      <c r="E583" s="41">
        <f>4541.138727+0.225904*B583</f>
        <v/>
      </c>
      <c r="F583" s="42">
        <f>D583-E583</f>
        <v/>
      </c>
      <c r="G583" s="41">
        <f>F583^2</f>
        <v/>
      </c>
      <c r="H583" s="40" t="n"/>
      <c r="I583" s="40" t="n"/>
    </row>
    <row r="584" ht="15" customHeight="1" s="28">
      <c r="A584" s="37" t="n">
        <v>571</v>
      </c>
      <c r="B584" s="55" t="n">
        <v>570</v>
      </c>
      <c r="C584" s="55">
        <f>B584^2</f>
        <v/>
      </c>
      <c r="D584" s="38" t="n">
        <v>4704.22</v>
      </c>
      <c r="E584" s="38">
        <f>4541.138727+0.225904*B584</f>
        <v/>
      </c>
      <c r="F584" s="39">
        <f>D584-E584</f>
        <v/>
      </c>
      <c r="G584" s="38">
        <f>F584^2</f>
        <v/>
      </c>
      <c r="H584" s="37" t="n"/>
      <c r="I584" s="37" t="n"/>
    </row>
    <row r="585" ht="15" customHeight="1" s="28">
      <c r="A585" s="40" t="n">
        <v>572</v>
      </c>
      <c r="B585" s="56" t="n">
        <v>571</v>
      </c>
      <c r="C585" s="56">
        <f>B585^2</f>
        <v/>
      </c>
      <c r="D585" s="41" t="n">
        <v>4712.93</v>
      </c>
      <c r="E585" s="41">
        <f>4541.138727+0.225904*B585</f>
        <v/>
      </c>
      <c r="F585" s="42">
        <f>D585-E585</f>
        <v/>
      </c>
      <c r="G585" s="41">
        <f>F585^2</f>
        <v/>
      </c>
      <c r="H585" s="40" t="n"/>
      <c r="I585" s="40" t="n"/>
    </row>
    <row r="586" ht="15" customHeight="1" s="28">
      <c r="A586" s="37" t="n">
        <v>573</v>
      </c>
      <c r="B586" s="55" t="n">
        <v>572</v>
      </c>
      <c r="C586" s="55">
        <f>B586^2</f>
        <v/>
      </c>
      <c r="D586" s="38" t="n">
        <v>4714.86</v>
      </c>
      <c r="E586" s="38">
        <f>4541.138727+0.225904*B586</f>
        <v/>
      </c>
      <c r="F586" s="39">
        <f>D586-E586</f>
        <v/>
      </c>
      <c r="G586" s="38">
        <f>F586^2</f>
        <v/>
      </c>
      <c r="H586" s="37" t="n"/>
      <c r="I586" s="37" t="n"/>
    </row>
    <row r="587" ht="15" customHeight="1" s="28">
      <c r="A587" s="40" t="n">
        <v>574</v>
      </c>
      <c r="B587" s="56" t="n">
        <v>573</v>
      </c>
      <c r="C587" s="56">
        <f>B587^2</f>
        <v/>
      </c>
      <c r="D587" s="41" t="n">
        <v>4704.21</v>
      </c>
      <c r="E587" s="41">
        <f>4541.138727+0.225904*B587</f>
        <v/>
      </c>
      <c r="F587" s="42">
        <f>D587-E587</f>
        <v/>
      </c>
      <c r="G587" s="41">
        <f>F587^2</f>
        <v/>
      </c>
      <c r="H587" s="40" t="n"/>
      <c r="I587" s="40" t="n"/>
    </row>
    <row r="588" ht="15" customHeight="1" s="28">
      <c r="A588" s="37" t="n">
        <v>575</v>
      </c>
      <c r="B588" s="55" t="n">
        <v>574</v>
      </c>
      <c r="C588" s="55">
        <f>B588^2</f>
        <v/>
      </c>
      <c r="D588" s="38" t="n">
        <v>4702.84</v>
      </c>
      <c r="E588" s="38">
        <f>4541.138727+0.225904*B588</f>
        <v/>
      </c>
      <c r="F588" s="39">
        <f>D588-E588</f>
        <v/>
      </c>
      <c r="G588" s="38">
        <f>F588^2</f>
        <v/>
      </c>
      <c r="H588" s="37" t="n"/>
      <c r="I588" s="37" t="n"/>
    </row>
    <row r="589" ht="15" customHeight="1" s="28">
      <c r="A589" s="40" t="n">
        <v>576</v>
      </c>
      <c r="B589" s="56" t="n">
        <v>575</v>
      </c>
      <c r="C589" s="56">
        <f>B589^2</f>
        <v/>
      </c>
      <c r="D589" s="41" t="n">
        <v>4704.24</v>
      </c>
      <c r="E589" s="41">
        <f>4541.138727+0.225904*B589</f>
        <v/>
      </c>
      <c r="F589" s="42">
        <f>D589-E589</f>
        <v/>
      </c>
      <c r="G589" s="41">
        <f>F589^2</f>
        <v/>
      </c>
      <c r="H589" s="40" t="n"/>
      <c r="I589" s="40" t="n"/>
    </row>
    <row r="590" ht="15" customHeight="1" s="28">
      <c r="A590" s="37" t="n">
        <v>577</v>
      </c>
      <c r="B590" s="55" t="n">
        <v>576</v>
      </c>
      <c r="C590" s="55">
        <f>B590^2</f>
        <v/>
      </c>
      <c r="D590" s="38" t="n">
        <v>4707.22</v>
      </c>
      <c r="E590" s="38">
        <f>4541.138727+0.225904*B590</f>
        <v/>
      </c>
      <c r="F590" s="39">
        <f>D590-E590</f>
        <v/>
      </c>
      <c r="G590" s="38">
        <f>F590^2</f>
        <v/>
      </c>
      <c r="H590" s="37" t="n"/>
      <c r="I590" s="37" t="n"/>
    </row>
    <row r="591" ht="15" customHeight="1" s="28">
      <c r="A591" s="40" t="n">
        <v>578</v>
      </c>
      <c r="B591" s="56" t="n">
        <v>577</v>
      </c>
      <c r="C591" s="56">
        <f>B591^2</f>
        <v/>
      </c>
      <c r="D591" s="41" t="n">
        <v>4705.93</v>
      </c>
      <c r="E591" s="41">
        <f>4541.138727+0.225904*B591</f>
        <v/>
      </c>
      <c r="F591" s="42">
        <f>D591-E591</f>
        <v/>
      </c>
      <c r="G591" s="41">
        <f>F591^2</f>
        <v/>
      </c>
      <c r="H591" s="40" t="n"/>
      <c r="I591" s="40" t="n"/>
    </row>
    <row r="592" ht="15" customHeight="1" s="28">
      <c r="A592" s="37" t="n">
        <v>579</v>
      </c>
      <c r="B592" s="55" t="n">
        <v>578</v>
      </c>
      <c r="C592" s="55">
        <f>B592^2</f>
        <v/>
      </c>
      <c r="D592" s="38" t="n">
        <v>4704.6</v>
      </c>
      <c r="E592" s="38">
        <f>4541.138727+0.225904*B592</f>
        <v/>
      </c>
      <c r="F592" s="39">
        <f>D592-E592</f>
        <v/>
      </c>
      <c r="G592" s="38">
        <f>F592^2</f>
        <v/>
      </c>
      <c r="H592" s="37" t="n"/>
      <c r="I592" s="37" t="n"/>
    </row>
    <row r="593" ht="15" customHeight="1" s="28">
      <c r="A593" s="40" t="n">
        <v>580</v>
      </c>
      <c r="B593" s="56" t="n">
        <v>579</v>
      </c>
      <c r="C593" s="56">
        <f>B593^2</f>
        <v/>
      </c>
      <c r="D593" s="41" t="n">
        <v>4703.96</v>
      </c>
      <c r="E593" s="41">
        <f>4541.138727+0.225904*B593</f>
        <v/>
      </c>
      <c r="F593" s="42">
        <f>D593-E593</f>
        <v/>
      </c>
      <c r="G593" s="41">
        <f>F593^2</f>
        <v/>
      </c>
      <c r="H593" s="40" t="n"/>
      <c r="I593" s="40" t="n"/>
    </row>
    <row r="594" ht="15" customHeight="1" s="28">
      <c r="A594" s="37" t="n">
        <v>581</v>
      </c>
      <c r="B594" s="55" t="n">
        <v>580</v>
      </c>
      <c r="C594" s="55">
        <f>B594^2</f>
        <v/>
      </c>
      <c r="D594" s="38" t="n">
        <v>4699.11</v>
      </c>
      <c r="E594" s="38">
        <f>4541.138727+0.225904*B594</f>
        <v/>
      </c>
      <c r="F594" s="39">
        <f>D594-E594</f>
        <v/>
      </c>
      <c r="G594" s="38">
        <f>F594^2</f>
        <v/>
      </c>
      <c r="H594" s="37" t="n"/>
      <c r="I594" s="37" t="n"/>
    </row>
    <row r="595" ht="15" customHeight="1" s="28">
      <c r="A595" s="40" t="n">
        <v>582</v>
      </c>
      <c r="B595" s="56" t="n">
        <v>581</v>
      </c>
      <c r="C595" s="56">
        <f>B595^2</f>
        <v/>
      </c>
      <c r="D595" s="41" t="n">
        <v>4696.87</v>
      </c>
      <c r="E595" s="41">
        <f>4541.138727+0.225904*B595</f>
        <v/>
      </c>
      <c r="F595" s="42">
        <f>D595-E595</f>
        <v/>
      </c>
      <c r="G595" s="41">
        <f>F595^2</f>
        <v/>
      </c>
      <c r="H595" s="40" t="n"/>
      <c r="I595" s="40" t="n"/>
    </row>
    <row r="596" ht="15" customHeight="1" s="28">
      <c r="A596" s="37" t="n">
        <v>583</v>
      </c>
      <c r="B596" s="55" t="n">
        <v>582</v>
      </c>
      <c r="C596" s="55">
        <f>B596^2</f>
        <v/>
      </c>
      <c r="D596" s="38" t="n">
        <v>4696.79</v>
      </c>
      <c r="E596" s="38">
        <f>4541.138727+0.225904*B596</f>
        <v/>
      </c>
      <c r="F596" s="39">
        <f>D596-E596</f>
        <v/>
      </c>
      <c r="G596" s="38">
        <f>F596^2</f>
        <v/>
      </c>
      <c r="H596" s="37" t="n"/>
      <c r="I596" s="37" t="n"/>
    </row>
    <row r="597" ht="15" customHeight="1" s="28">
      <c r="A597" s="40" t="n">
        <v>584</v>
      </c>
      <c r="B597" s="56" t="n">
        <v>583</v>
      </c>
      <c r="C597" s="56">
        <f>B597^2</f>
        <v/>
      </c>
      <c r="D597" s="41" t="n">
        <v>4698.15</v>
      </c>
      <c r="E597" s="41">
        <f>4541.138727+0.225904*B597</f>
        <v/>
      </c>
      <c r="F597" s="42">
        <f>D597-E597</f>
        <v/>
      </c>
      <c r="G597" s="41">
        <f>F597^2</f>
        <v/>
      </c>
      <c r="H597" s="40" t="n"/>
      <c r="I597" s="40" t="n"/>
    </row>
    <row r="598" ht="15" customHeight="1" s="28">
      <c r="A598" s="37" t="n">
        <v>585</v>
      </c>
      <c r="B598" s="55" t="n">
        <v>584</v>
      </c>
      <c r="C598" s="55">
        <f>B598^2</f>
        <v/>
      </c>
      <c r="D598" s="38" t="n">
        <v>4696.48</v>
      </c>
      <c r="E598" s="38">
        <f>4541.138727+0.225904*B598</f>
        <v/>
      </c>
      <c r="F598" s="39">
        <f>D598-E598</f>
        <v/>
      </c>
      <c r="G598" s="38">
        <f>F598^2</f>
        <v/>
      </c>
      <c r="H598" s="37" t="n"/>
      <c r="I598" s="37" t="n"/>
    </row>
    <row r="599" ht="15" customHeight="1" s="28">
      <c r="A599" s="40" t="n">
        <v>586</v>
      </c>
      <c r="B599" s="56" t="n">
        <v>585</v>
      </c>
      <c r="C599" s="56">
        <f>B599^2</f>
        <v/>
      </c>
      <c r="D599" s="41" t="n">
        <v>4700.45</v>
      </c>
      <c r="E599" s="41">
        <f>4541.138727+0.225904*B599</f>
        <v/>
      </c>
      <c r="F599" s="42">
        <f>D599-E599</f>
        <v/>
      </c>
      <c r="G599" s="41">
        <f>F599^2</f>
        <v/>
      </c>
      <c r="H599" s="40" t="n"/>
      <c r="I599" s="40" t="n"/>
    </row>
    <row r="600" ht="15" customHeight="1" s="28">
      <c r="A600" s="37" t="n">
        <v>587</v>
      </c>
      <c r="B600" s="55" t="n">
        <v>586</v>
      </c>
      <c r="C600" s="55">
        <f>B600^2</f>
        <v/>
      </c>
      <c r="D600" s="38" t="n">
        <v>4696.05</v>
      </c>
      <c r="E600" s="38">
        <f>4541.138727+0.225904*B600</f>
        <v/>
      </c>
      <c r="F600" s="39">
        <f>D600-E600</f>
        <v/>
      </c>
      <c r="G600" s="38">
        <f>F600^2</f>
        <v/>
      </c>
      <c r="H600" s="37" t="n"/>
      <c r="I600" s="37" t="n"/>
    </row>
    <row r="601" ht="15" customHeight="1" s="28">
      <c r="A601" s="40" t="n">
        <v>588</v>
      </c>
      <c r="B601" s="56" t="n">
        <v>587</v>
      </c>
      <c r="C601" s="56">
        <f>B601^2</f>
        <v/>
      </c>
      <c r="D601" s="41" t="n">
        <v>4703.63</v>
      </c>
      <c r="E601" s="41">
        <f>4541.138727+0.225904*B601</f>
        <v/>
      </c>
      <c r="F601" s="42">
        <f>D601-E601</f>
        <v/>
      </c>
      <c r="G601" s="41">
        <f>F601^2</f>
        <v/>
      </c>
      <c r="H601" s="40" t="n"/>
      <c r="I601" s="40" t="n"/>
    </row>
    <row r="602" ht="15" customHeight="1" s="28">
      <c r="A602" s="37" t="n">
        <v>589</v>
      </c>
      <c r="B602" s="55" t="n">
        <v>588</v>
      </c>
      <c r="C602" s="55">
        <f>B602^2</f>
        <v/>
      </c>
      <c r="D602" s="38" t="n">
        <v>4701.22</v>
      </c>
      <c r="E602" s="38">
        <f>4541.138727+0.225904*B602</f>
        <v/>
      </c>
      <c r="F602" s="39">
        <f>D602-E602</f>
        <v/>
      </c>
      <c r="G602" s="38">
        <f>F602^2</f>
        <v/>
      </c>
      <c r="H602" s="37" t="n"/>
      <c r="I602" s="37" t="n"/>
    </row>
    <row r="603" ht="15" customHeight="1" s="28">
      <c r="A603" s="40" t="n">
        <v>590</v>
      </c>
      <c r="B603" s="56" t="n">
        <v>589</v>
      </c>
      <c r="C603" s="56">
        <f>B603^2</f>
        <v/>
      </c>
      <c r="D603" s="41" t="n">
        <v>4708.23</v>
      </c>
      <c r="E603" s="41">
        <f>4541.138727+0.225904*B603</f>
        <v/>
      </c>
      <c r="F603" s="42">
        <f>D603-E603</f>
        <v/>
      </c>
      <c r="G603" s="41">
        <f>F603^2</f>
        <v/>
      </c>
      <c r="H603" s="40" t="n"/>
      <c r="I603" s="40" t="n"/>
    </row>
    <row r="604" ht="15" customHeight="1" s="28">
      <c r="A604" s="37" t="n">
        <v>591</v>
      </c>
      <c r="B604" s="55" t="n">
        <v>590</v>
      </c>
      <c r="C604" s="55">
        <f>B604^2</f>
        <v/>
      </c>
      <c r="D604" s="38" t="n">
        <v>4717.42</v>
      </c>
      <c r="E604" s="38">
        <f>4541.138727+0.225904*B604</f>
        <v/>
      </c>
      <c r="F604" s="39">
        <f>D604-E604</f>
        <v/>
      </c>
      <c r="G604" s="38">
        <f>F604^2</f>
        <v/>
      </c>
      <c r="H604" s="37" t="n"/>
      <c r="I604" s="37" t="n"/>
    </row>
    <row r="605" ht="15" customHeight="1" s="28">
      <c r="A605" s="40" t="n">
        <v>592</v>
      </c>
      <c r="B605" s="56" t="n">
        <v>591</v>
      </c>
      <c r="C605" s="56">
        <f>B605^2</f>
        <v/>
      </c>
      <c r="D605" s="41" t="n">
        <v>4746.02</v>
      </c>
      <c r="E605" s="41">
        <f>4541.138727+0.225904*B605</f>
        <v/>
      </c>
      <c r="F605" s="42">
        <f>D605-E605</f>
        <v/>
      </c>
      <c r="G605" s="41">
        <f>F605^2</f>
        <v/>
      </c>
      <c r="H605" s="40" t="n"/>
      <c r="I605" s="40" t="n"/>
    </row>
    <row r="606" ht="15" customHeight="1" s="28">
      <c r="A606" s="37" t="n">
        <v>593</v>
      </c>
      <c r="B606" s="55" t="n">
        <v>592</v>
      </c>
      <c r="C606" s="55">
        <f>B606^2</f>
        <v/>
      </c>
      <c r="D606" s="38" t="n">
        <v>4739.12</v>
      </c>
      <c r="E606" s="38">
        <f>4541.138727+0.225904*B606</f>
        <v/>
      </c>
      <c r="F606" s="39">
        <f>D606-E606</f>
        <v/>
      </c>
      <c r="G606" s="38">
        <f>F606^2</f>
        <v/>
      </c>
      <c r="H606" s="37" t="n"/>
      <c r="I606" s="37" t="n"/>
    </row>
    <row r="607" ht="15" customHeight="1" s="28">
      <c r="A607" s="40" t="n">
        <v>594</v>
      </c>
      <c r="B607" s="56" t="n">
        <v>593</v>
      </c>
      <c r="C607" s="56">
        <f>B607^2</f>
        <v/>
      </c>
      <c r="D607" s="41" t="n">
        <v>4749.05</v>
      </c>
      <c r="E607" s="41">
        <f>4541.138727+0.225904*B607</f>
        <v/>
      </c>
      <c r="F607" s="42">
        <f>D607-E607</f>
        <v/>
      </c>
      <c r="G607" s="41">
        <f>F607^2</f>
        <v/>
      </c>
      <c r="H607" s="40" t="n"/>
      <c r="I607" s="40" t="n"/>
    </row>
    <row r="608" ht="15" customHeight="1" s="28">
      <c r="A608" s="37" t="n">
        <v>595</v>
      </c>
      <c r="B608" s="55" t="n">
        <v>594</v>
      </c>
      <c r="C608" s="55">
        <f>B608^2</f>
        <v/>
      </c>
      <c r="D608" s="38" t="n">
        <v>4739.5</v>
      </c>
      <c r="E608" s="38">
        <f>4541.138727+0.225904*B608</f>
        <v/>
      </c>
      <c r="F608" s="39">
        <f>D608-E608</f>
        <v/>
      </c>
      <c r="G608" s="38">
        <f>F608^2</f>
        <v/>
      </c>
      <c r="H608" s="37" t="n"/>
      <c r="I608" s="37" t="n"/>
    </row>
    <row r="609" ht="15" customHeight="1" s="28">
      <c r="A609" s="40" t="n">
        <v>596</v>
      </c>
      <c r="B609" s="56" t="n">
        <v>595</v>
      </c>
      <c r="C609" s="56">
        <f>B609^2</f>
        <v/>
      </c>
      <c r="D609" s="41" t="n">
        <v>4742.88</v>
      </c>
      <c r="E609" s="41">
        <f>4541.138727+0.225904*B609</f>
        <v/>
      </c>
      <c r="F609" s="42">
        <f>D609-E609</f>
        <v/>
      </c>
      <c r="G609" s="41">
        <f>F609^2</f>
        <v/>
      </c>
      <c r="H609" s="40" t="n"/>
      <c r="I609" s="40" t="n"/>
    </row>
    <row r="610" ht="15" customHeight="1" s="28">
      <c r="A610" s="37" t="n">
        <v>597</v>
      </c>
      <c r="B610" s="55" t="n">
        <v>596</v>
      </c>
      <c r="C610" s="55">
        <f>B610^2</f>
        <v/>
      </c>
      <c r="D610" s="38" t="n">
        <v>4743.06</v>
      </c>
      <c r="E610" s="38">
        <f>4541.138727+0.225904*B610</f>
        <v/>
      </c>
      <c r="F610" s="39">
        <f>D610-E610</f>
        <v/>
      </c>
      <c r="G610" s="38">
        <f>F610^2</f>
        <v/>
      </c>
      <c r="H610" s="37" t="n"/>
      <c r="I610" s="37" t="n"/>
    </row>
    <row r="611" ht="15" customHeight="1" s="28">
      <c r="A611" s="40" t="n">
        <v>598</v>
      </c>
      <c r="B611" s="56" t="n">
        <v>597</v>
      </c>
      <c r="C611" s="56">
        <f>B611^2</f>
        <v/>
      </c>
      <c r="D611" s="41" t="n">
        <v>4742.66</v>
      </c>
      <c r="E611" s="41">
        <f>4541.138727+0.225904*B611</f>
        <v/>
      </c>
      <c r="F611" s="42">
        <f>D611-E611</f>
        <v/>
      </c>
      <c r="G611" s="41">
        <f>F611^2</f>
        <v/>
      </c>
      <c r="H611" s="40" t="n"/>
      <c r="I611" s="40" t="n"/>
    </row>
    <row r="612" ht="15" customHeight="1" s="28">
      <c r="A612" s="37" t="n">
        <v>599</v>
      </c>
      <c r="B612" s="55" t="n">
        <v>598</v>
      </c>
      <c r="C612" s="55">
        <f>B612^2</f>
        <v/>
      </c>
      <c r="D612" s="38" t="n">
        <v>4739.74</v>
      </c>
      <c r="E612" s="38">
        <f>4541.138727+0.225904*B612</f>
        <v/>
      </c>
      <c r="F612" s="39">
        <f>D612-E612</f>
        <v/>
      </c>
      <c r="G612" s="38">
        <f>F612^2</f>
        <v/>
      </c>
      <c r="H612" s="37" t="n"/>
      <c r="I612" s="37" t="n"/>
    </row>
    <row r="613" ht="15" customHeight="1" s="28">
      <c r="A613" s="40" t="n">
        <v>600</v>
      </c>
      <c r="B613" s="56" t="n">
        <v>599</v>
      </c>
      <c r="C613" s="56">
        <f>B613^2</f>
        <v/>
      </c>
      <c r="D613" s="41" t="n">
        <v>4735.34</v>
      </c>
      <c r="E613" s="41">
        <f>4541.138727+0.225904*B613</f>
        <v/>
      </c>
      <c r="F613" s="42">
        <f>D613-E613</f>
        <v/>
      </c>
      <c r="G613" s="41">
        <f>F613^2</f>
        <v/>
      </c>
      <c r="H613" s="40" t="n"/>
      <c r="I613" s="40" t="n"/>
    </row>
    <row r="614" ht="15" customHeight="1" s="28">
      <c r="A614" s="37" t="n">
        <v>601</v>
      </c>
      <c r="B614" s="55" t="n">
        <v>600</v>
      </c>
      <c r="C614" s="55">
        <f>B614^2</f>
        <v/>
      </c>
      <c r="D614" s="38" t="n">
        <v>4731.02</v>
      </c>
      <c r="E614" s="38">
        <f>4541.138727+0.225904*B614</f>
        <v/>
      </c>
      <c r="F614" s="39">
        <f>D614-E614</f>
        <v/>
      </c>
      <c r="G614" s="38">
        <f>F614^2</f>
        <v/>
      </c>
      <c r="H614" s="37" t="n"/>
      <c r="I614" s="37" t="n"/>
    </row>
    <row r="615" ht="15" customHeight="1" s="28">
      <c r="A615" s="40" t="n">
        <v>602</v>
      </c>
      <c r="B615" s="56" t="n">
        <v>601</v>
      </c>
      <c r="C615" s="56">
        <f>B615^2</f>
        <v/>
      </c>
      <c r="D615" s="41" t="n">
        <v>4734.22</v>
      </c>
      <c r="E615" s="41">
        <f>4541.138727+0.225904*B615</f>
        <v/>
      </c>
      <c r="F615" s="42">
        <f>D615-E615</f>
        <v/>
      </c>
      <c r="G615" s="41">
        <f>F615^2</f>
        <v/>
      </c>
      <c r="H615" s="40" t="n"/>
      <c r="I615" s="40" t="n"/>
    </row>
    <row r="616" ht="15" customHeight="1" s="28">
      <c r="A616" s="37" t="n">
        <v>603</v>
      </c>
      <c r="B616" s="55" t="n">
        <v>602</v>
      </c>
      <c r="C616" s="55">
        <f>B616^2</f>
        <v/>
      </c>
      <c r="D616" s="38" t="n">
        <v>4735.64</v>
      </c>
      <c r="E616" s="38">
        <f>4541.138727+0.225904*B616</f>
        <v/>
      </c>
      <c r="F616" s="39">
        <f>D616-E616</f>
        <v/>
      </c>
      <c r="G616" s="38">
        <f>F616^2</f>
        <v/>
      </c>
      <c r="H616" s="37" t="n"/>
      <c r="I616" s="37" t="n"/>
    </row>
    <row r="617" ht="15" customHeight="1" s="28">
      <c r="A617" s="40" t="n">
        <v>604</v>
      </c>
      <c r="B617" s="56" t="n">
        <v>603</v>
      </c>
      <c r="C617" s="56">
        <f>B617^2</f>
        <v/>
      </c>
      <c r="D617" s="41" t="n">
        <v>4737.77</v>
      </c>
      <c r="E617" s="41">
        <f>4541.138727+0.225904*B617</f>
        <v/>
      </c>
      <c r="F617" s="42">
        <f>D617-E617</f>
        <v/>
      </c>
      <c r="G617" s="41">
        <f>F617^2</f>
        <v/>
      </c>
      <c r="H617" s="40" t="n"/>
      <c r="I617" s="40" t="n"/>
    </row>
    <row r="618" ht="15" customHeight="1" s="28">
      <c r="A618" s="37" t="n">
        <v>605</v>
      </c>
      <c r="B618" s="55" t="n">
        <v>604</v>
      </c>
      <c r="C618" s="55">
        <f>B618^2</f>
        <v/>
      </c>
      <c r="D618" s="38" t="n">
        <v>4729.06</v>
      </c>
      <c r="E618" s="38">
        <f>4541.138727+0.225904*B618</f>
        <v/>
      </c>
      <c r="F618" s="39">
        <f>D618-E618</f>
        <v/>
      </c>
      <c r="G618" s="38">
        <f>F618^2</f>
        <v/>
      </c>
      <c r="H618" s="37" t="n"/>
      <c r="I618" s="37" t="n"/>
    </row>
    <row r="619" ht="15" customHeight="1" s="28">
      <c r="A619" s="40" t="n">
        <v>606</v>
      </c>
      <c r="B619" s="56" t="n">
        <v>605</v>
      </c>
      <c r="C619" s="56">
        <f>B619^2</f>
        <v/>
      </c>
      <c r="D619" s="41" t="n">
        <v>4734.98</v>
      </c>
      <c r="E619" s="41">
        <f>4541.138727+0.225904*B619</f>
        <v/>
      </c>
      <c r="F619" s="42">
        <f>D619-E619</f>
        <v/>
      </c>
      <c r="G619" s="41">
        <f>F619^2</f>
        <v/>
      </c>
      <c r="H619" s="40" t="n"/>
      <c r="I619" s="40" t="n"/>
    </row>
    <row r="620" ht="15" customHeight="1" s="28">
      <c r="A620" s="37" t="n">
        <v>607</v>
      </c>
      <c r="B620" s="55" t="n">
        <v>606</v>
      </c>
      <c r="C620" s="55">
        <f>B620^2</f>
        <v/>
      </c>
      <c r="D620" s="38" t="n">
        <v>4732.57</v>
      </c>
      <c r="E620" s="38">
        <f>4541.138727+0.225904*B620</f>
        <v/>
      </c>
      <c r="F620" s="39">
        <f>D620-E620</f>
        <v/>
      </c>
      <c r="G620" s="38">
        <f>F620^2</f>
        <v/>
      </c>
      <c r="H620" s="37" t="n"/>
      <c r="I620" s="37" t="n"/>
    </row>
    <row r="621" ht="15" customHeight="1" s="28">
      <c r="A621" s="40" t="n">
        <v>608</v>
      </c>
      <c r="B621" s="56" t="n">
        <v>607</v>
      </c>
      <c r="C621" s="56">
        <f>B621^2</f>
        <v/>
      </c>
      <c r="D621" s="41" t="n">
        <v>4739.17</v>
      </c>
      <c r="E621" s="41">
        <f>4541.138727+0.225904*B621</f>
        <v/>
      </c>
      <c r="F621" s="42">
        <f>D621-E621</f>
        <v/>
      </c>
      <c r="G621" s="41">
        <f>F621^2</f>
        <v/>
      </c>
      <c r="H621" s="40" t="n"/>
      <c r="I621" s="40" t="n"/>
    </row>
    <row r="622" ht="15" customHeight="1" s="28">
      <c r="A622" s="37" t="n">
        <v>609</v>
      </c>
      <c r="B622" s="55" t="n">
        <v>608</v>
      </c>
      <c r="C622" s="55">
        <f>B622^2</f>
        <v/>
      </c>
      <c r="D622" s="38" t="n">
        <v>4735.69</v>
      </c>
      <c r="E622" s="38">
        <f>4541.138727+0.225904*B622</f>
        <v/>
      </c>
      <c r="F622" s="39">
        <f>D622-E622</f>
        <v/>
      </c>
      <c r="G622" s="38">
        <f>F622^2</f>
        <v/>
      </c>
      <c r="H622" s="37" t="n"/>
      <c r="I622" s="37" t="n"/>
    </row>
    <row r="623" ht="15" customHeight="1" s="28">
      <c r="A623" s="40" t="n">
        <v>610</v>
      </c>
      <c r="B623" s="56" t="n">
        <v>609</v>
      </c>
      <c r="C623" s="56">
        <f>B623^2</f>
        <v/>
      </c>
      <c r="D623" s="41" t="n">
        <v>4730.38</v>
      </c>
      <c r="E623" s="41">
        <f>4541.138727+0.225904*B623</f>
        <v/>
      </c>
      <c r="F623" s="42">
        <f>D623-E623</f>
        <v/>
      </c>
      <c r="G623" s="41">
        <f>F623^2</f>
        <v/>
      </c>
      <c r="H623" s="40" t="n"/>
      <c r="I623" s="40" t="n"/>
    </row>
    <row r="624" ht="15" customHeight="1" s="28">
      <c r="A624" s="37" t="n">
        <v>611</v>
      </c>
      <c r="B624" s="55" t="n">
        <v>610</v>
      </c>
      <c r="C624" s="55">
        <f>B624^2</f>
        <v/>
      </c>
      <c r="D624" s="38" t="n">
        <v>4732.68</v>
      </c>
      <c r="E624" s="38">
        <f>4541.138727+0.225904*B624</f>
        <v/>
      </c>
      <c r="F624" s="39">
        <f>D624-E624</f>
        <v/>
      </c>
      <c r="G624" s="38">
        <f>F624^2</f>
        <v/>
      </c>
      <c r="H624" s="37" t="n"/>
      <c r="I624" s="37" t="n"/>
    </row>
    <row r="625" ht="15" customHeight="1" s="28">
      <c r="A625" s="40" t="n">
        <v>612</v>
      </c>
      <c r="B625" s="56" t="n">
        <v>611</v>
      </c>
      <c r="C625" s="56">
        <f>B625^2</f>
        <v/>
      </c>
      <c r="D625" s="41" t="n">
        <v>4736.98</v>
      </c>
      <c r="E625" s="41">
        <f>4541.138727+0.225904*B625</f>
        <v/>
      </c>
      <c r="F625" s="42">
        <f>D625-E625</f>
        <v/>
      </c>
      <c r="G625" s="41">
        <f>F625^2</f>
        <v/>
      </c>
      <c r="H625" s="40" t="n"/>
      <c r="I625" s="40" t="n"/>
    </row>
    <row r="626" ht="15" customHeight="1" s="28">
      <c r="A626" s="37" t="n">
        <v>613</v>
      </c>
      <c r="B626" s="55" t="n">
        <v>612</v>
      </c>
      <c r="C626" s="55">
        <f>B626^2</f>
        <v/>
      </c>
      <c r="D626" s="38" t="n">
        <v>4742.8</v>
      </c>
      <c r="E626" s="38">
        <f>4541.138727+0.225904*B626</f>
        <v/>
      </c>
      <c r="F626" s="39">
        <f>D626-E626</f>
        <v/>
      </c>
      <c r="G626" s="38">
        <f>F626^2</f>
        <v/>
      </c>
      <c r="H626" s="37" t="n"/>
      <c r="I626" s="37" t="n"/>
    </row>
    <row r="627" ht="15" customHeight="1" s="28">
      <c r="A627" s="40" t="n">
        <v>614</v>
      </c>
      <c r="B627" s="56" t="n">
        <v>613</v>
      </c>
      <c r="C627" s="56">
        <f>B627^2</f>
        <v/>
      </c>
      <c r="D627" s="41" t="n">
        <v>4744.19</v>
      </c>
      <c r="E627" s="41">
        <f>4541.138727+0.225904*B627</f>
        <v/>
      </c>
      <c r="F627" s="42">
        <f>D627-E627</f>
        <v/>
      </c>
      <c r="G627" s="41">
        <f>F627^2</f>
        <v/>
      </c>
      <c r="H627" s="40" t="n"/>
      <c r="I627" s="40" t="n"/>
    </row>
    <row r="628" ht="15" customHeight="1" s="28">
      <c r="A628" s="37" t="n">
        <v>615</v>
      </c>
      <c r="B628" s="55" t="n">
        <v>614</v>
      </c>
      <c r="C628" s="55">
        <f>B628^2</f>
        <v/>
      </c>
      <c r="D628" s="38" t="n">
        <v>4738.16</v>
      </c>
      <c r="E628" s="38">
        <f>4541.138727+0.225904*B628</f>
        <v/>
      </c>
      <c r="F628" s="39">
        <f>D628-E628</f>
        <v/>
      </c>
      <c r="G628" s="38">
        <f>F628^2</f>
        <v/>
      </c>
      <c r="H628" s="37" t="n"/>
      <c r="I628" s="37" t="n"/>
    </row>
    <row r="629" ht="15" customHeight="1" s="28">
      <c r="A629" s="40" t="n">
        <v>616</v>
      </c>
      <c r="B629" s="56" t="n">
        <v>615</v>
      </c>
      <c r="C629" s="56">
        <f>B629^2</f>
        <v/>
      </c>
      <c r="D629" s="41" t="n">
        <v>4751.15</v>
      </c>
      <c r="E629" s="41">
        <f>4541.138727+0.225904*B629</f>
        <v/>
      </c>
      <c r="F629" s="42">
        <f>D629-E629</f>
        <v/>
      </c>
      <c r="G629" s="41">
        <f>F629^2</f>
        <v/>
      </c>
      <c r="H629" s="40" t="n"/>
      <c r="I629" s="40" t="n"/>
    </row>
    <row r="630" ht="15" customHeight="1" s="28">
      <c r="A630" s="37" t="n">
        <v>617</v>
      </c>
      <c r="B630" s="55" t="n">
        <v>616</v>
      </c>
      <c r="C630" s="55">
        <f>B630^2</f>
        <v/>
      </c>
      <c r="D630" s="38" t="n">
        <v>4749.99</v>
      </c>
      <c r="E630" s="38">
        <f>4541.138727+0.225904*B630</f>
        <v/>
      </c>
      <c r="F630" s="39">
        <f>D630-E630</f>
        <v/>
      </c>
      <c r="G630" s="38">
        <f>F630^2</f>
        <v/>
      </c>
      <c r="H630" s="37" t="n"/>
      <c r="I630" s="37" t="n"/>
    </row>
    <row r="631" ht="15" customHeight="1" s="28">
      <c r="A631" s="40" t="n">
        <v>618</v>
      </c>
      <c r="B631" s="56" t="n">
        <v>617</v>
      </c>
      <c r="C631" s="56">
        <f>B631^2</f>
        <v/>
      </c>
      <c r="D631" s="41" t="n">
        <v>4733.46</v>
      </c>
      <c r="E631" s="41">
        <f>4541.138727+0.225904*B631</f>
        <v/>
      </c>
      <c r="F631" s="42">
        <f>D631-E631</f>
        <v/>
      </c>
      <c r="G631" s="41">
        <f>F631^2</f>
        <v/>
      </c>
      <c r="H631" s="40" t="n"/>
      <c r="I631" s="40" t="n"/>
    </row>
    <row r="632" ht="15" customHeight="1" s="28">
      <c r="A632" s="37" t="n">
        <v>619</v>
      </c>
      <c r="B632" s="55" t="n">
        <v>618</v>
      </c>
      <c r="C632" s="55">
        <f>B632^2</f>
        <v/>
      </c>
      <c r="D632" s="38" t="n">
        <v>4745.53</v>
      </c>
      <c r="E632" s="38">
        <f>4541.138727+0.225904*B632</f>
        <v/>
      </c>
      <c r="F632" s="39">
        <f>D632-E632</f>
        <v/>
      </c>
      <c r="G632" s="38">
        <f>F632^2</f>
        <v/>
      </c>
      <c r="H632" s="37" t="n"/>
      <c r="I632" s="37" t="n"/>
    </row>
    <row r="633" ht="15" customHeight="1" s="28">
      <c r="A633" s="40" t="n">
        <v>620</v>
      </c>
      <c r="B633" s="56" t="n">
        <v>619</v>
      </c>
      <c r="C633" s="56">
        <f>B633^2</f>
        <v/>
      </c>
      <c r="D633" s="41" t="n">
        <v>4748.49</v>
      </c>
      <c r="E633" s="41">
        <f>4541.138727+0.225904*B633</f>
        <v/>
      </c>
      <c r="F633" s="42">
        <f>D633-E633</f>
        <v/>
      </c>
      <c r="G633" s="41">
        <f>F633^2</f>
        <v/>
      </c>
      <c r="H633" s="40" t="n"/>
      <c r="I633" s="40" t="n"/>
    </row>
    <row r="634" ht="15" customHeight="1" s="28">
      <c r="A634" s="37" t="n">
        <v>621</v>
      </c>
      <c r="B634" s="55" t="n">
        <v>620</v>
      </c>
      <c r="C634" s="55">
        <f>B634^2</f>
        <v/>
      </c>
      <c r="D634" s="38" t="n">
        <v>4746.18</v>
      </c>
      <c r="E634" s="38">
        <f>4541.138727+0.225904*B634</f>
        <v/>
      </c>
      <c r="F634" s="39">
        <f>D634-E634</f>
        <v/>
      </c>
      <c r="G634" s="38">
        <f>F634^2</f>
        <v/>
      </c>
      <c r="H634" s="37" t="n"/>
      <c r="I634" s="37" t="n"/>
    </row>
    <row r="635" ht="15" customHeight="1" s="28">
      <c r="A635" s="40" t="n">
        <v>622</v>
      </c>
      <c r="B635" s="56" t="n">
        <v>621</v>
      </c>
      <c r="C635" s="56">
        <f>B635^2</f>
        <v/>
      </c>
      <c r="D635" s="41" t="n">
        <v>4752.05</v>
      </c>
      <c r="E635" s="41">
        <f>4541.138727+0.225904*B635</f>
        <v/>
      </c>
      <c r="F635" s="42">
        <f>D635-E635</f>
        <v/>
      </c>
      <c r="G635" s="41">
        <f>F635^2</f>
        <v/>
      </c>
      <c r="H635" s="40" t="n"/>
      <c r="I635" s="40" t="n"/>
    </row>
    <row r="636" ht="15" customHeight="1" s="28">
      <c r="A636" s="37" t="n">
        <v>623</v>
      </c>
      <c r="B636" s="55" t="n">
        <v>622</v>
      </c>
      <c r="C636" s="55">
        <f>B636^2</f>
        <v/>
      </c>
      <c r="D636" s="38" t="n">
        <v>4756.66</v>
      </c>
      <c r="E636" s="38">
        <f>4541.138727+0.225904*B636</f>
        <v/>
      </c>
      <c r="F636" s="39">
        <f>D636-E636</f>
        <v/>
      </c>
      <c r="G636" s="38">
        <f>F636^2</f>
        <v/>
      </c>
      <c r="H636" s="37" t="n"/>
      <c r="I636" s="37" t="n"/>
    </row>
    <row r="637" ht="15" customHeight="1" s="28">
      <c r="A637" s="40" t="n">
        <v>624</v>
      </c>
      <c r="B637" s="56" t="n">
        <v>623</v>
      </c>
      <c r="C637" s="56">
        <f>B637^2</f>
        <v/>
      </c>
      <c r="D637" s="41" t="n">
        <v>4751.91</v>
      </c>
      <c r="E637" s="41">
        <f>4541.138727+0.225904*B637</f>
        <v/>
      </c>
      <c r="F637" s="42">
        <f>D637-E637</f>
        <v/>
      </c>
      <c r="G637" s="41">
        <f>F637^2</f>
        <v/>
      </c>
      <c r="H637" s="40" t="n"/>
      <c r="I637" s="40" t="n"/>
    </row>
    <row r="638" ht="15" customHeight="1" s="28">
      <c r="A638" s="37" t="n">
        <v>625</v>
      </c>
      <c r="B638" s="55" t="n">
        <v>624</v>
      </c>
      <c r="C638" s="55">
        <f>B638^2</f>
        <v/>
      </c>
      <c r="D638" s="38" t="n">
        <v>4762.74</v>
      </c>
      <c r="E638" s="38">
        <f>4541.138727+0.225904*B638</f>
        <v/>
      </c>
      <c r="F638" s="39">
        <f>D638-E638</f>
        <v/>
      </c>
      <c r="G638" s="38">
        <f>F638^2</f>
        <v/>
      </c>
      <c r="H638" s="37" t="n"/>
      <c r="I638" s="37" t="n"/>
    </row>
    <row r="639" ht="15" customHeight="1" s="28">
      <c r="A639" s="40" t="n">
        <v>626</v>
      </c>
      <c r="B639" s="56" t="n">
        <v>625</v>
      </c>
      <c r="C639" s="56">
        <f>B639^2</f>
        <v/>
      </c>
      <c r="D639" s="41" t="n">
        <v>4754.77</v>
      </c>
      <c r="E639" s="41">
        <f>4541.138727+0.225904*B639</f>
        <v/>
      </c>
      <c r="F639" s="42">
        <f>D639-E639</f>
        <v/>
      </c>
      <c r="G639" s="41">
        <f>F639^2</f>
        <v/>
      </c>
      <c r="H639" s="40" t="n"/>
      <c r="I639" s="40" t="n"/>
    </row>
    <row r="640" ht="15" customHeight="1" s="28">
      <c r="A640" s="37" t="n">
        <v>627</v>
      </c>
      <c r="B640" s="55" t="n">
        <v>626</v>
      </c>
      <c r="C640" s="55">
        <f>B640^2</f>
        <v/>
      </c>
      <c r="D640" s="38" t="n">
        <v>4740.18</v>
      </c>
      <c r="E640" s="38">
        <f>4541.138727+0.225904*B640</f>
        <v/>
      </c>
      <c r="F640" s="39">
        <f>D640-E640</f>
        <v/>
      </c>
      <c r="G640" s="38">
        <f>F640^2</f>
        <v/>
      </c>
      <c r="H640" s="37" t="n"/>
      <c r="I640" s="37" t="n"/>
    </row>
    <row r="641" ht="15" customHeight="1" s="28">
      <c r="A641" s="40" t="n">
        <v>628</v>
      </c>
      <c r="B641" s="56" t="n">
        <v>627</v>
      </c>
      <c r="C641" s="56">
        <f>B641^2</f>
        <v/>
      </c>
      <c r="D641" s="41" t="n">
        <v>4738.92</v>
      </c>
      <c r="E641" s="41">
        <f>4541.138727+0.225904*B641</f>
        <v/>
      </c>
      <c r="F641" s="42">
        <f>D641-E641</f>
        <v/>
      </c>
      <c r="G641" s="41">
        <f>F641^2</f>
        <v/>
      </c>
      <c r="H641" s="40" t="n"/>
      <c r="I641" s="40" t="n"/>
    </row>
    <row r="642" ht="15" customHeight="1" s="28">
      <c r="A642" s="37" t="n">
        <v>629</v>
      </c>
      <c r="B642" s="55" t="n">
        <v>628</v>
      </c>
      <c r="C642" s="55">
        <f>B642^2</f>
        <v/>
      </c>
      <c r="D642" s="38" t="n">
        <v>4729.17</v>
      </c>
      <c r="E642" s="38">
        <f>4541.138727+0.225904*B642</f>
        <v/>
      </c>
      <c r="F642" s="39">
        <f>D642-E642</f>
        <v/>
      </c>
      <c r="G642" s="38">
        <f>F642^2</f>
        <v/>
      </c>
      <c r="H642" s="37" t="n"/>
      <c r="I642" s="37" t="n"/>
    </row>
    <row r="643" ht="15" customHeight="1" s="28">
      <c r="A643" s="40" t="n">
        <v>630</v>
      </c>
      <c r="B643" s="56" t="n">
        <v>629</v>
      </c>
      <c r="C643" s="56">
        <f>B643^2</f>
        <v/>
      </c>
      <c r="D643" s="41" t="n">
        <v>4714.99</v>
      </c>
      <c r="E643" s="41">
        <f>4541.138727+0.225904*B643</f>
        <v/>
      </c>
      <c r="F643" s="42">
        <f>D643-E643</f>
        <v/>
      </c>
      <c r="G643" s="41">
        <f>F643^2</f>
        <v/>
      </c>
      <c r="H643" s="40" t="n"/>
      <c r="I643" s="40" t="n"/>
    </row>
    <row r="644" ht="15" customHeight="1" s="28">
      <c r="A644" s="37" t="n">
        <v>631</v>
      </c>
      <c r="B644" s="55" t="n">
        <v>630</v>
      </c>
      <c r="C644" s="55">
        <f>B644^2</f>
        <v/>
      </c>
      <c r="D644" s="38" t="n">
        <v>4719.84</v>
      </c>
      <c r="E644" s="38">
        <f>4541.138727+0.225904*B644</f>
        <v/>
      </c>
      <c r="F644" s="39">
        <f>D644-E644</f>
        <v/>
      </c>
      <c r="G644" s="38">
        <f>F644^2</f>
        <v/>
      </c>
      <c r="H644" s="37" t="n"/>
      <c r="I644" s="37" t="n"/>
    </row>
    <row r="645" ht="15" customHeight="1" s="28">
      <c r="A645" s="40" t="n">
        <v>632</v>
      </c>
      <c r="B645" s="56" t="n">
        <v>631</v>
      </c>
      <c r="C645" s="56">
        <f>B645^2</f>
        <v/>
      </c>
      <c r="D645" s="41" t="n">
        <v>4711.23</v>
      </c>
      <c r="E645" s="41">
        <f>4541.138727+0.225904*B645</f>
        <v/>
      </c>
      <c r="F645" s="42">
        <f>D645-E645</f>
        <v/>
      </c>
      <c r="G645" s="41">
        <f>F645^2</f>
        <v/>
      </c>
      <c r="H645" s="40" t="n"/>
      <c r="I645" s="40" t="n"/>
    </row>
    <row r="646" ht="15" customHeight="1" s="28">
      <c r="A646" s="37" t="n">
        <v>633</v>
      </c>
      <c r="B646" s="55" t="n">
        <v>632</v>
      </c>
      <c r="C646" s="55">
        <f>B646^2</f>
        <v/>
      </c>
      <c r="D646" s="38" t="n">
        <v>4715</v>
      </c>
      <c r="E646" s="38">
        <f>4541.138727+0.225904*B646</f>
        <v/>
      </c>
      <c r="F646" s="39">
        <f>D646-E646</f>
        <v/>
      </c>
      <c r="G646" s="38">
        <f>F646^2</f>
        <v/>
      </c>
      <c r="H646" s="37" t="n"/>
      <c r="I646" s="37" t="n"/>
    </row>
    <row r="647" ht="15" customHeight="1" s="28">
      <c r="A647" s="40" t="n">
        <v>634</v>
      </c>
      <c r="B647" s="56" t="n">
        <v>633</v>
      </c>
      <c r="C647" s="56">
        <f>B647^2</f>
        <v/>
      </c>
      <c r="D647" s="41" t="n">
        <v>4714.61</v>
      </c>
      <c r="E647" s="41">
        <f>4541.138727+0.225904*B647</f>
        <v/>
      </c>
      <c r="F647" s="42">
        <f>D647-E647</f>
        <v/>
      </c>
      <c r="G647" s="41">
        <f>F647^2</f>
        <v/>
      </c>
      <c r="H647" s="40" t="n"/>
      <c r="I647" s="40" t="n"/>
    </row>
    <row r="648" ht="15" customHeight="1" s="28">
      <c r="A648" s="37" t="n">
        <v>635</v>
      </c>
      <c r="B648" s="55" t="n">
        <v>634</v>
      </c>
      <c r="C648" s="55">
        <f>B648^2</f>
        <v/>
      </c>
      <c r="D648" s="38" t="n">
        <v>4699.29</v>
      </c>
      <c r="E648" s="38">
        <f>4541.138727+0.225904*B648</f>
        <v/>
      </c>
      <c r="F648" s="39">
        <f>D648-E648</f>
        <v/>
      </c>
      <c r="G648" s="38">
        <f>F648^2</f>
        <v/>
      </c>
      <c r="H648" s="37" t="n"/>
      <c r="I648" s="37" t="n"/>
    </row>
    <row r="649" ht="15" customHeight="1" s="28">
      <c r="A649" s="40" t="n">
        <v>636</v>
      </c>
      <c r="B649" s="56" t="n">
        <v>635</v>
      </c>
      <c r="C649" s="56">
        <f>B649^2</f>
        <v/>
      </c>
      <c r="D649" s="41" t="n">
        <v>4699.72</v>
      </c>
      <c r="E649" s="41">
        <f>4541.138727+0.225904*B649</f>
        <v/>
      </c>
      <c r="F649" s="42">
        <f>D649-E649</f>
        <v/>
      </c>
      <c r="G649" s="41">
        <f>F649^2</f>
        <v/>
      </c>
      <c r="H649" s="40" t="n"/>
      <c r="I649" s="40" t="n"/>
    </row>
    <row r="650" ht="15" customHeight="1" s="28">
      <c r="A650" s="37" t="n">
        <v>637</v>
      </c>
      <c r="B650" s="55" t="n">
        <v>636</v>
      </c>
      <c r="C650" s="55">
        <f>B650^2</f>
        <v/>
      </c>
      <c r="D650" s="38" t="n">
        <v>4711.45</v>
      </c>
      <c r="E650" s="38">
        <f>4541.138727+0.225904*B650</f>
        <v/>
      </c>
      <c r="F650" s="39">
        <f>D650-E650</f>
        <v/>
      </c>
      <c r="G650" s="38">
        <f>F650^2</f>
        <v/>
      </c>
      <c r="H650" s="37" t="n"/>
      <c r="I650" s="37" t="n"/>
    </row>
    <row r="651" ht="15" customHeight="1" s="28">
      <c r="A651" s="40" t="n">
        <v>638</v>
      </c>
      <c r="B651" s="56" t="n">
        <v>637</v>
      </c>
      <c r="C651" s="56">
        <f>B651^2</f>
        <v/>
      </c>
      <c r="D651" s="41" t="n">
        <v>4708.08</v>
      </c>
      <c r="E651" s="41">
        <f>4541.138727+0.225904*B651</f>
        <v/>
      </c>
      <c r="F651" s="42">
        <f>D651-E651</f>
        <v/>
      </c>
      <c r="G651" s="41">
        <f>F651^2</f>
        <v/>
      </c>
      <c r="H651" s="40" t="n"/>
      <c r="I651" s="40" t="n"/>
    </row>
    <row r="652" ht="15" customHeight="1" s="28">
      <c r="A652" s="37" t="n">
        <v>639</v>
      </c>
      <c r="B652" s="55" t="n">
        <v>638</v>
      </c>
      <c r="C652" s="55">
        <f>B652^2</f>
        <v/>
      </c>
      <c r="D652" s="38" t="n">
        <v>4712.9</v>
      </c>
      <c r="E652" s="38">
        <f>4541.138727+0.225904*B652</f>
        <v/>
      </c>
      <c r="F652" s="39">
        <f>D652-E652</f>
        <v/>
      </c>
      <c r="G652" s="38">
        <f>F652^2</f>
        <v/>
      </c>
      <c r="H652" s="37" t="n"/>
      <c r="I652" s="37" t="n"/>
    </row>
    <row r="653" ht="15" customHeight="1" s="28">
      <c r="A653" s="40" t="n">
        <v>640</v>
      </c>
      <c r="B653" s="56" t="n">
        <v>639</v>
      </c>
      <c r="C653" s="56">
        <f>B653^2</f>
        <v/>
      </c>
      <c r="D653" s="41" t="n">
        <v>4705.96</v>
      </c>
      <c r="E653" s="41">
        <f>4541.138727+0.225904*B653</f>
        <v/>
      </c>
      <c r="F653" s="42">
        <f>D653-E653</f>
        <v/>
      </c>
      <c r="G653" s="41">
        <f>F653^2</f>
        <v/>
      </c>
      <c r="H653" s="40" t="n"/>
      <c r="I653" s="40" t="n"/>
    </row>
    <row r="654" ht="15" customHeight="1" s="28">
      <c r="A654" s="37" t="n">
        <v>641</v>
      </c>
      <c r="B654" s="55" t="n">
        <v>640</v>
      </c>
      <c r="C654" s="55">
        <f>B654^2</f>
        <v/>
      </c>
      <c r="D654" s="38" t="n">
        <v>4709.55</v>
      </c>
      <c r="E654" s="38">
        <f>4541.138727+0.225904*B654</f>
        <v/>
      </c>
      <c r="F654" s="39">
        <f>D654-E654</f>
        <v/>
      </c>
      <c r="G654" s="38">
        <f>F654^2</f>
        <v/>
      </c>
      <c r="H654" s="37" t="n"/>
      <c r="I654" s="37" t="n"/>
    </row>
    <row r="655" ht="15" customHeight="1" s="28">
      <c r="A655" s="40" t="n">
        <v>642</v>
      </c>
      <c r="B655" s="56" t="n">
        <v>641</v>
      </c>
      <c r="C655" s="56">
        <f>B655^2</f>
        <v/>
      </c>
      <c r="D655" s="41" t="n">
        <v>4710.04</v>
      </c>
      <c r="E655" s="41">
        <f>4541.138727+0.225904*B655</f>
        <v/>
      </c>
      <c r="F655" s="42">
        <f>D655-E655</f>
        <v/>
      </c>
      <c r="G655" s="41">
        <f>F655^2</f>
        <v/>
      </c>
      <c r="H655" s="40" t="n"/>
      <c r="I655" s="40" t="n"/>
    </row>
    <row r="656" ht="15" customHeight="1" s="28">
      <c r="A656" s="37" t="n">
        <v>643</v>
      </c>
      <c r="B656" s="55" t="n">
        <v>642</v>
      </c>
      <c r="C656" s="55">
        <f>B656^2</f>
        <v/>
      </c>
      <c r="D656" s="38" t="n">
        <v>4705.05</v>
      </c>
      <c r="E656" s="38">
        <f>4541.138727+0.225904*B656</f>
        <v/>
      </c>
      <c r="F656" s="39">
        <f>D656-E656</f>
        <v/>
      </c>
      <c r="G656" s="38">
        <f>F656^2</f>
        <v/>
      </c>
      <c r="H656" s="37" t="n"/>
      <c r="I656" s="37" t="n"/>
    </row>
    <row r="657" ht="15" customHeight="1" s="28">
      <c r="A657" s="40" t="n">
        <v>644</v>
      </c>
      <c r="B657" s="56" t="n">
        <v>643</v>
      </c>
      <c r="C657" s="56">
        <f>B657^2</f>
        <v/>
      </c>
      <c r="D657" s="41" t="n">
        <v>4709.69</v>
      </c>
      <c r="E657" s="41">
        <f>4541.138727+0.225904*B657</f>
        <v/>
      </c>
      <c r="F657" s="42">
        <f>D657-E657</f>
        <v/>
      </c>
      <c r="G657" s="41">
        <f>F657^2</f>
        <v/>
      </c>
      <c r="H657" s="40" t="n"/>
      <c r="I657" s="40" t="n"/>
    </row>
    <row r="658" ht="15" customHeight="1" s="28">
      <c r="A658" s="37" t="n">
        <v>645</v>
      </c>
      <c r="B658" s="55" t="n">
        <v>644</v>
      </c>
      <c r="C658" s="55">
        <f>B658^2</f>
        <v/>
      </c>
      <c r="D658" s="38" t="n">
        <v>4702.9</v>
      </c>
      <c r="E658" s="38">
        <f>4541.138727+0.225904*B658</f>
        <v/>
      </c>
      <c r="F658" s="39">
        <f>D658-E658</f>
        <v/>
      </c>
      <c r="G658" s="38">
        <f>F658^2</f>
        <v/>
      </c>
      <c r="H658" s="37" t="n"/>
      <c r="I658" s="37" t="n"/>
    </row>
    <row r="659" ht="15" customHeight="1" s="28">
      <c r="A659" s="40" t="n">
        <v>646</v>
      </c>
      <c r="B659" s="56" t="n">
        <v>645</v>
      </c>
      <c r="C659" s="56">
        <f>B659^2</f>
        <v/>
      </c>
      <c r="D659" s="41" t="n">
        <v>4711.55</v>
      </c>
      <c r="E659" s="41">
        <f>4541.138727+0.225904*B659</f>
        <v/>
      </c>
      <c r="F659" s="42">
        <f>D659-E659</f>
        <v/>
      </c>
      <c r="G659" s="41">
        <f>F659^2</f>
        <v/>
      </c>
      <c r="H659" s="40" t="n"/>
      <c r="I659" s="40" t="n"/>
    </row>
    <row r="660" ht="15" customHeight="1" s="28">
      <c r="A660" s="37" t="n">
        <v>647</v>
      </c>
      <c r="B660" s="55" t="n">
        <v>646</v>
      </c>
      <c r="C660" s="55">
        <f>B660^2</f>
        <v/>
      </c>
      <c r="D660" s="38" t="n">
        <v>4712.98</v>
      </c>
      <c r="E660" s="38">
        <f>4541.138727+0.225904*B660</f>
        <v/>
      </c>
      <c r="F660" s="39">
        <f>D660-E660</f>
        <v/>
      </c>
      <c r="G660" s="38">
        <f>F660^2</f>
        <v/>
      </c>
      <c r="H660" s="37" t="n"/>
      <c r="I660" s="37" t="n"/>
    </row>
    <row r="661" ht="15" customHeight="1" s="28">
      <c r="A661" s="40" t="n">
        <v>648</v>
      </c>
      <c r="B661" s="56" t="n">
        <v>647</v>
      </c>
      <c r="C661" s="56">
        <f>B661^2</f>
        <v/>
      </c>
      <c r="D661" s="41" t="n">
        <v>4703.9</v>
      </c>
      <c r="E661" s="41">
        <f>4541.138727+0.225904*B661</f>
        <v/>
      </c>
      <c r="F661" s="42">
        <f>D661-E661</f>
        <v/>
      </c>
      <c r="G661" s="41">
        <f>F661^2</f>
        <v/>
      </c>
      <c r="H661" s="40" t="n"/>
      <c r="I661" s="40" t="n"/>
    </row>
    <row r="662" ht="15" customHeight="1" s="28">
      <c r="A662" s="37" t="n">
        <v>649</v>
      </c>
      <c r="B662" s="55" t="n">
        <v>648</v>
      </c>
      <c r="C662" s="55">
        <f>B662^2</f>
        <v/>
      </c>
      <c r="D662" s="38" t="n">
        <v>4687.24</v>
      </c>
      <c r="E662" s="38">
        <f>4541.138727+0.225904*B662</f>
        <v/>
      </c>
      <c r="F662" s="39">
        <f>D662-E662</f>
        <v/>
      </c>
      <c r="G662" s="38">
        <f>F662^2</f>
        <v/>
      </c>
      <c r="H662" s="37" t="n"/>
      <c r="I662" s="37" t="n"/>
    </row>
    <row r="663" ht="15" customHeight="1" s="28">
      <c r="A663" s="40" t="n">
        <v>650</v>
      </c>
      <c r="B663" s="56" t="n">
        <v>649</v>
      </c>
      <c r="C663" s="56">
        <f>B663^2</f>
        <v/>
      </c>
      <c r="D663" s="41" t="n">
        <v>4691.37</v>
      </c>
      <c r="E663" s="41">
        <f>4541.138727+0.225904*B663</f>
        <v/>
      </c>
      <c r="F663" s="42">
        <f>D663-E663</f>
        <v/>
      </c>
      <c r="G663" s="41">
        <f>F663^2</f>
        <v/>
      </c>
      <c r="H663" s="40" t="n"/>
      <c r="I663" s="40" t="n"/>
    </row>
    <row r="664" ht="15" customHeight="1" s="28">
      <c r="A664" s="37" t="n">
        <v>651</v>
      </c>
      <c r="B664" s="55" t="n">
        <v>650</v>
      </c>
      <c r="C664" s="55">
        <f>B664^2</f>
        <v/>
      </c>
      <c r="D664" s="38" t="n">
        <v>4693.91</v>
      </c>
      <c r="E664" s="38">
        <f>4541.138727+0.225904*B664</f>
        <v/>
      </c>
      <c r="F664" s="39">
        <f>D664-E664</f>
        <v/>
      </c>
      <c r="G664" s="38">
        <f>F664^2</f>
        <v/>
      </c>
      <c r="H664" s="37" t="n"/>
      <c r="I664" s="37" t="n"/>
    </row>
    <row r="665" ht="15" customHeight="1" s="28">
      <c r="A665" s="40" t="n">
        <v>652</v>
      </c>
      <c r="B665" s="56" t="n">
        <v>651</v>
      </c>
      <c r="C665" s="56">
        <f>B665^2</f>
        <v/>
      </c>
      <c r="D665" s="41" t="n">
        <v>4687.16</v>
      </c>
      <c r="E665" s="41">
        <f>4541.138727+0.225904*B665</f>
        <v/>
      </c>
      <c r="F665" s="42">
        <f>D665-E665</f>
        <v/>
      </c>
      <c r="G665" s="41">
        <f>F665^2</f>
        <v/>
      </c>
      <c r="H665" s="40" t="n"/>
      <c r="I665" s="40" t="n"/>
    </row>
    <row r="666" ht="15" customHeight="1" s="28">
      <c r="A666" s="37" t="n">
        <v>653</v>
      </c>
      <c r="B666" s="55" t="n">
        <v>652</v>
      </c>
      <c r="C666" s="55">
        <f>B666^2</f>
        <v/>
      </c>
      <c r="D666" s="38" t="n">
        <v>4686.04</v>
      </c>
      <c r="E666" s="38">
        <f>4541.138727+0.225904*B666</f>
        <v/>
      </c>
      <c r="F666" s="39">
        <f>D666-E666</f>
        <v/>
      </c>
      <c r="G666" s="38">
        <f>F666^2</f>
        <v/>
      </c>
      <c r="H666" s="37" t="n"/>
      <c r="I666" s="37" t="n"/>
    </row>
    <row r="667" ht="15" customHeight="1" s="28">
      <c r="A667" s="40" t="n">
        <v>654</v>
      </c>
      <c r="B667" s="56" t="n">
        <v>653</v>
      </c>
      <c r="C667" s="56">
        <f>B667^2</f>
        <v/>
      </c>
      <c r="D667" s="41" t="n">
        <v>4691.8</v>
      </c>
      <c r="E667" s="41">
        <f>4541.138727+0.225904*B667</f>
        <v/>
      </c>
      <c r="F667" s="42">
        <f>D667-E667</f>
        <v/>
      </c>
      <c r="G667" s="41">
        <f>F667^2</f>
        <v/>
      </c>
      <c r="H667" s="40" t="n"/>
      <c r="I667" s="40" t="n"/>
    </row>
    <row r="668" ht="15" customHeight="1" s="28">
      <c r="A668" s="37" t="n">
        <v>655</v>
      </c>
      <c r="B668" s="55" t="n">
        <v>654</v>
      </c>
      <c r="C668" s="55">
        <f>B668^2</f>
        <v/>
      </c>
      <c r="D668" s="38" t="n">
        <v>4696.57</v>
      </c>
      <c r="E668" s="38">
        <f>4541.138727+0.225904*B668</f>
        <v/>
      </c>
      <c r="F668" s="39">
        <f>D668-E668</f>
        <v/>
      </c>
      <c r="G668" s="38">
        <f>F668^2</f>
        <v/>
      </c>
      <c r="H668" s="37" t="n"/>
      <c r="I668" s="37" t="n"/>
    </row>
    <row r="669" ht="15" customHeight="1" s="28">
      <c r="A669" s="40" t="n">
        <v>656</v>
      </c>
      <c r="B669" s="56" t="n">
        <v>655</v>
      </c>
      <c r="C669" s="56">
        <f>B669^2</f>
        <v/>
      </c>
      <c r="D669" s="41" t="n">
        <v>4697.81</v>
      </c>
      <c r="E669" s="41">
        <f>4541.138727+0.225904*B669</f>
        <v/>
      </c>
      <c r="F669" s="42">
        <f>D669-E669</f>
        <v/>
      </c>
      <c r="G669" s="41">
        <f>F669^2</f>
        <v/>
      </c>
      <c r="H669" s="40" t="n"/>
      <c r="I669" s="40" t="n"/>
    </row>
    <row r="670" ht="15" customHeight="1" s="28">
      <c r="A670" s="37" t="n">
        <v>657</v>
      </c>
      <c r="B670" s="55" t="n">
        <v>656</v>
      </c>
      <c r="C670" s="55">
        <f>B670^2</f>
        <v/>
      </c>
      <c r="D670" s="38" t="n">
        <v>4704.54</v>
      </c>
      <c r="E670" s="38">
        <f>4541.138727+0.225904*B670</f>
        <v/>
      </c>
      <c r="F670" s="39">
        <f>D670-E670</f>
        <v/>
      </c>
      <c r="G670" s="38">
        <f>F670^2</f>
        <v/>
      </c>
      <c r="H670" s="37" t="n"/>
      <c r="I670" s="37" t="n"/>
    </row>
    <row r="671" ht="15" customHeight="1" s="28">
      <c r="A671" s="40" t="n">
        <v>658</v>
      </c>
      <c r="B671" s="56" t="n">
        <v>657</v>
      </c>
      <c r="C671" s="56">
        <f>B671^2</f>
        <v/>
      </c>
      <c r="D671" s="41" t="n">
        <v>4702.79</v>
      </c>
      <c r="E671" s="41">
        <f>4541.138727+0.225904*B671</f>
        <v/>
      </c>
      <c r="F671" s="42">
        <f>D671-E671</f>
        <v/>
      </c>
      <c r="G671" s="41">
        <f>F671^2</f>
        <v/>
      </c>
      <c r="H671" s="40" t="n"/>
      <c r="I671" s="40" t="n"/>
    </row>
    <row r="672" ht="15" customHeight="1" s="28">
      <c r="A672" s="37" t="n">
        <v>659</v>
      </c>
      <c r="B672" s="55" t="n">
        <v>658</v>
      </c>
      <c r="C672" s="55">
        <f>B672^2</f>
        <v/>
      </c>
      <c r="D672" s="38" t="n">
        <v>4697.35</v>
      </c>
      <c r="E672" s="38">
        <f>4541.138727+0.225904*B672</f>
        <v/>
      </c>
      <c r="F672" s="39">
        <f>D672-E672</f>
        <v/>
      </c>
      <c r="G672" s="38">
        <f>F672^2</f>
        <v/>
      </c>
      <c r="H672" s="37" t="n"/>
      <c r="I672" s="37" t="n"/>
    </row>
    <row r="673" ht="15" customHeight="1" s="28">
      <c r="A673" s="40" t="n">
        <v>660</v>
      </c>
      <c r="B673" s="56" t="n">
        <v>659</v>
      </c>
      <c r="C673" s="56">
        <f>B673^2</f>
        <v/>
      </c>
      <c r="D673" s="41" t="n">
        <v>4705.16</v>
      </c>
      <c r="E673" s="41">
        <f>4541.138727+0.225904*B673</f>
        <v/>
      </c>
      <c r="F673" s="42">
        <f>D673-E673</f>
        <v/>
      </c>
      <c r="G673" s="41">
        <f>F673^2</f>
        <v/>
      </c>
      <c r="H673" s="40" t="n"/>
      <c r="I673" s="40" t="n"/>
    </row>
    <row r="674" ht="15" customHeight="1" s="28">
      <c r="A674" s="37" t="n">
        <v>661</v>
      </c>
      <c r="B674" s="55" t="n">
        <v>660</v>
      </c>
      <c r="C674" s="55">
        <f>B674^2</f>
        <v/>
      </c>
      <c r="D674" s="38" t="n">
        <v>4701.44</v>
      </c>
      <c r="E674" s="38">
        <f>4541.138727+0.225904*B674</f>
        <v/>
      </c>
      <c r="F674" s="39">
        <f>D674-E674</f>
        <v/>
      </c>
      <c r="G674" s="38">
        <f>F674^2</f>
        <v/>
      </c>
      <c r="H674" s="37" t="n"/>
      <c r="I674" s="37" t="n"/>
    </row>
    <row r="675" ht="15" customHeight="1" s="28">
      <c r="A675" s="40" t="n">
        <v>662</v>
      </c>
      <c r="B675" s="56" t="n">
        <v>661</v>
      </c>
      <c r="C675" s="56">
        <f>B675^2</f>
        <v/>
      </c>
      <c r="D675" s="41" t="n">
        <v>4714.05</v>
      </c>
      <c r="E675" s="41">
        <f>4541.138727+0.225904*B675</f>
        <v/>
      </c>
      <c r="F675" s="42">
        <f>D675-E675</f>
        <v/>
      </c>
      <c r="G675" s="41">
        <f>F675^2</f>
        <v/>
      </c>
      <c r="H675" s="40" t="n"/>
      <c r="I675" s="40" t="n"/>
    </row>
    <row r="676" ht="15" customHeight="1" s="28">
      <c r="A676" s="37" t="n">
        <v>663</v>
      </c>
      <c r="B676" s="55" t="n">
        <v>662</v>
      </c>
      <c r="C676" s="55">
        <f>B676^2</f>
        <v/>
      </c>
      <c r="D676" s="38" t="n">
        <v>4712.82</v>
      </c>
      <c r="E676" s="38">
        <f>4541.138727+0.225904*B676</f>
        <v/>
      </c>
      <c r="F676" s="39">
        <f>D676-E676</f>
        <v/>
      </c>
      <c r="G676" s="38">
        <f>F676^2</f>
        <v/>
      </c>
      <c r="H676" s="37" t="n"/>
      <c r="I676" s="37" t="n"/>
    </row>
    <row r="677" ht="15" customHeight="1" s="28">
      <c r="A677" s="40" t="n">
        <v>664</v>
      </c>
      <c r="B677" s="56" t="n">
        <v>663</v>
      </c>
      <c r="C677" s="56">
        <f>B677^2</f>
        <v/>
      </c>
      <c r="D677" s="41" t="n">
        <v>4711.08</v>
      </c>
      <c r="E677" s="41">
        <f>4541.138727+0.225904*B677</f>
        <v/>
      </c>
      <c r="F677" s="42">
        <f>D677-E677</f>
        <v/>
      </c>
      <c r="G677" s="41">
        <f>F677^2</f>
        <v/>
      </c>
      <c r="H677" s="40" t="n"/>
      <c r="I677" s="40" t="n"/>
    </row>
    <row r="678" ht="15" customHeight="1" s="28">
      <c r="A678" s="37" t="n">
        <v>665</v>
      </c>
      <c r="B678" s="55" t="n">
        <v>664</v>
      </c>
      <c r="C678" s="55">
        <f>B678^2</f>
        <v/>
      </c>
      <c r="D678" s="38" t="n">
        <v>4722.98</v>
      </c>
      <c r="E678" s="38">
        <f>4541.138727+0.225904*B678</f>
        <v/>
      </c>
      <c r="F678" s="39">
        <f>D678-E678</f>
        <v/>
      </c>
      <c r="G678" s="38">
        <f>F678^2</f>
        <v/>
      </c>
      <c r="H678" s="37" t="n"/>
      <c r="I678" s="37" t="n"/>
    </row>
    <row r="679" ht="15" customHeight="1" s="28">
      <c r="A679" s="40" t="n">
        <v>666</v>
      </c>
      <c r="B679" s="56" t="n">
        <v>665</v>
      </c>
      <c r="C679" s="56">
        <f>B679^2</f>
        <v/>
      </c>
      <c r="D679" s="41" t="n">
        <v>4723.99</v>
      </c>
      <c r="E679" s="41">
        <f>4541.138727+0.225904*B679</f>
        <v/>
      </c>
      <c r="F679" s="42">
        <f>D679-E679</f>
        <v/>
      </c>
      <c r="G679" s="41">
        <f>F679^2</f>
        <v/>
      </c>
      <c r="H679" s="40" t="n"/>
      <c r="I679" s="40" t="n"/>
    </row>
    <row r="680" ht="15" customHeight="1" s="28">
      <c r="A680" s="37" t="n">
        <v>667</v>
      </c>
      <c r="B680" s="55" t="n">
        <v>666</v>
      </c>
      <c r="C680" s="55">
        <f>B680^2</f>
        <v/>
      </c>
      <c r="D680" s="38" t="n">
        <v>4721.39</v>
      </c>
      <c r="E680" s="38">
        <f>4541.138727+0.225904*B680</f>
        <v/>
      </c>
      <c r="F680" s="39">
        <f>D680-E680</f>
        <v/>
      </c>
      <c r="G680" s="38">
        <f>F680^2</f>
        <v/>
      </c>
      <c r="H680" s="37" t="n"/>
      <c r="I680" s="37" t="n"/>
    </row>
    <row r="681" ht="15" customHeight="1" s="28">
      <c r="A681" s="40" t="n">
        <v>668</v>
      </c>
      <c r="B681" s="56" t="n">
        <v>667</v>
      </c>
      <c r="C681" s="56">
        <f>B681^2</f>
        <v/>
      </c>
      <c r="D681" s="41" t="n">
        <v>4710.27</v>
      </c>
      <c r="E681" s="41">
        <f>4541.138727+0.225904*B681</f>
        <v/>
      </c>
      <c r="F681" s="42">
        <f>D681-E681</f>
        <v/>
      </c>
      <c r="G681" s="41">
        <f>F681^2</f>
        <v/>
      </c>
      <c r="H681" s="40" t="n"/>
      <c r="I681" s="40" t="n"/>
    </row>
    <row r="682" ht="15" customHeight="1" s="28">
      <c r="A682" s="37" t="n">
        <v>669</v>
      </c>
      <c r="B682" s="55" t="n">
        <v>668</v>
      </c>
      <c r="C682" s="55">
        <f>B682^2</f>
        <v/>
      </c>
      <c r="D682" s="38" t="n">
        <v>4713.68</v>
      </c>
      <c r="E682" s="38">
        <f>4541.138727+0.225904*B682</f>
        <v/>
      </c>
      <c r="F682" s="39">
        <f>D682-E682</f>
        <v/>
      </c>
      <c r="G682" s="38">
        <f>F682^2</f>
        <v/>
      </c>
      <c r="H682" s="37" t="n"/>
      <c r="I682" s="37" t="n"/>
    </row>
    <row r="683" ht="15" customHeight="1" s="28">
      <c r="A683" s="40" t="n">
        <v>670</v>
      </c>
      <c r="B683" s="56" t="n">
        <v>669</v>
      </c>
      <c r="C683" s="56">
        <f>B683^2</f>
        <v/>
      </c>
      <c r="D683" s="41" t="n">
        <v>4720.15</v>
      </c>
      <c r="E683" s="41">
        <f>4541.138727+0.225904*B683</f>
        <v/>
      </c>
      <c r="F683" s="42">
        <f>D683-E683</f>
        <v/>
      </c>
      <c r="G683" s="41">
        <f>F683^2</f>
        <v/>
      </c>
      <c r="H683" s="40" t="n"/>
      <c r="I683" s="40" t="n"/>
    </row>
    <row r="684" ht="15" customHeight="1" s="28">
      <c r="A684" s="37" t="n">
        <v>671</v>
      </c>
      <c r="B684" s="55" t="n">
        <v>670</v>
      </c>
      <c r="C684" s="55">
        <f>B684^2</f>
        <v/>
      </c>
      <c r="D684" s="38" t="n">
        <v>4720.44</v>
      </c>
      <c r="E684" s="38">
        <f>4541.138727+0.225904*B684</f>
        <v/>
      </c>
      <c r="F684" s="39">
        <f>D684-E684</f>
        <v/>
      </c>
      <c r="G684" s="38">
        <f>F684^2</f>
        <v/>
      </c>
      <c r="H684" s="37" t="n"/>
      <c r="I684" s="37" t="n"/>
    </row>
    <row r="685" ht="15" customHeight="1" s="28">
      <c r="A685" s="40" t="n">
        <v>672</v>
      </c>
      <c r="B685" s="56" t="n">
        <v>671</v>
      </c>
      <c r="C685" s="56">
        <f>B685^2</f>
        <v/>
      </c>
      <c r="D685" s="41" t="n">
        <v>4724.99</v>
      </c>
      <c r="E685" s="41">
        <f>4541.138727+0.225904*B685</f>
        <v/>
      </c>
      <c r="F685" s="42">
        <f>D685-E685</f>
        <v/>
      </c>
      <c r="G685" s="41">
        <f>F685^2</f>
        <v/>
      </c>
      <c r="H685" s="40" t="n"/>
      <c r="I685" s="40" t="n"/>
    </row>
    <row r="686" ht="15" customHeight="1" s="28">
      <c r="A686" s="37" t="n">
        <v>673</v>
      </c>
      <c r="B686" s="55" t="n">
        <v>672</v>
      </c>
      <c r="C686" s="55">
        <f>B686^2</f>
        <v/>
      </c>
      <c r="D686" s="38" t="n">
        <v>4719.62</v>
      </c>
      <c r="E686" s="38">
        <f>4541.138727+0.225904*B686</f>
        <v/>
      </c>
      <c r="F686" s="39">
        <f>D686-E686</f>
        <v/>
      </c>
      <c r="G686" s="38">
        <f>F686^2</f>
        <v/>
      </c>
      <c r="H686" s="37" t="n"/>
      <c r="I686" s="37" t="n"/>
    </row>
    <row r="687" ht="15" customHeight="1" s="28">
      <c r="A687" s="40" t="n">
        <v>674</v>
      </c>
      <c r="B687" s="56" t="n">
        <v>673</v>
      </c>
      <c r="C687" s="56">
        <f>B687^2</f>
        <v/>
      </c>
      <c r="D687" s="41" t="n">
        <v>4715.08</v>
      </c>
      <c r="E687" s="41">
        <f>4541.138727+0.225904*B687</f>
        <v/>
      </c>
      <c r="F687" s="42">
        <f>D687-E687</f>
        <v/>
      </c>
      <c r="G687" s="41">
        <f>F687^2</f>
        <v/>
      </c>
      <c r="H687" s="40" t="n"/>
      <c r="I687" s="40" t="n"/>
    </row>
    <row r="688" ht="15" customHeight="1" s="28">
      <c r="A688" s="37" t="n">
        <v>675</v>
      </c>
      <c r="B688" s="55" t="n">
        <v>674</v>
      </c>
      <c r="C688" s="55">
        <f>B688^2</f>
        <v/>
      </c>
      <c r="D688" s="38" t="n">
        <v>4717.4</v>
      </c>
      <c r="E688" s="38">
        <f>4541.138727+0.225904*B688</f>
        <v/>
      </c>
      <c r="F688" s="39">
        <f>D688-E688</f>
        <v/>
      </c>
      <c r="G688" s="38">
        <f>F688^2</f>
        <v/>
      </c>
      <c r="H688" s="37" t="n"/>
      <c r="I688" s="37" t="n"/>
    </row>
    <row r="689" ht="15" customHeight="1" s="28">
      <c r="A689" s="40" t="n">
        <v>676</v>
      </c>
      <c r="B689" s="56" t="n">
        <v>675</v>
      </c>
      <c r="C689" s="56">
        <f>B689^2</f>
        <v/>
      </c>
      <c r="D689" s="41" t="n">
        <v>4712.14</v>
      </c>
      <c r="E689" s="41">
        <f>4541.138727+0.225904*B689</f>
        <v/>
      </c>
      <c r="F689" s="42">
        <f>D689-E689</f>
        <v/>
      </c>
      <c r="G689" s="41">
        <f>F689^2</f>
        <v/>
      </c>
      <c r="H689" s="40" t="n"/>
      <c r="I689" s="40" t="n"/>
    </row>
    <row r="690" ht="15" customHeight="1" s="28">
      <c r="A690" s="37" t="n">
        <v>677</v>
      </c>
      <c r="B690" s="55" t="n">
        <v>676</v>
      </c>
      <c r="C690" s="55">
        <f>B690^2</f>
        <v/>
      </c>
      <c r="D690" s="38" t="n">
        <v>4711.09</v>
      </c>
      <c r="E690" s="38">
        <f>4541.138727+0.225904*B690</f>
        <v/>
      </c>
      <c r="F690" s="39">
        <f>D690-E690</f>
        <v/>
      </c>
      <c r="G690" s="38">
        <f>F690^2</f>
        <v/>
      </c>
      <c r="H690" s="37" t="n"/>
      <c r="I690" s="37" t="n"/>
    </row>
    <row r="691" ht="15" customHeight="1" s="28">
      <c r="A691" s="40" t="n">
        <v>678</v>
      </c>
      <c r="B691" s="56" t="n">
        <v>677</v>
      </c>
      <c r="C691" s="56">
        <f>B691^2</f>
        <v/>
      </c>
      <c r="D691" s="41" t="n">
        <v>4712.09</v>
      </c>
      <c r="E691" s="41">
        <f>4541.138727+0.225904*B691</f>
        <v/>
      </c>
      <c r="F691" s="42">
        <f>D691-E691</f>
        <v/>
      </c>
      <c r="G691" s="41">
        <f>F691^2</f>
        <v/>
      </c>
      <c r="H691" s="40" t="n"/>
      <c r="I691" s="40" t="n"/>
    </row>
    <row r="692" ht="15" customHeight="1" s="28">
      <c r="A692" s="37" t="n">
        <v>679</v>
      </c>
      <c r="B692" s="55" t="n">
        <v>678</v>
      </c>
      <c r="C692" s="55">
        <f>B692^2</f>
        <v/>
      </c>
      <c r="D692" s="38" t="n">
        <v>4719.37</v>
      </c>
      <c r="E692" s="38">
        <f>4541.138727+0.225904*B692</f>
        <v/>
      </c>
      <c r="F692" s="39">
        <f>D692-E692</f>
        <v/>
      </c>
      <c r="G692" s="38">
        <f>F692^2</f>
        <v/>
      </c>
      <c r="H692" s="37" t="n"/>
      <c r="I692" s="37" t="n"/>
    </row>
    <row r="693" ht="15" customHeight="1" s="28">
      <c r="A693" s="40" t="n">
        <v>680</v>
      </c>
      <c r="B693" s="56" t="n">
        <v>679</v>
      </c>
      <c r="C693" s="56">
        <f>B693^2</f>
        <v/>
      </c>
      <c r="D693" s="41" t="n">
        <v>4724.62</v>
      </c>
      <c r="E693" s="41">
        <f>4541.138727+0.225904*B693</f>
        <v/>
      </c>
      <c r="F693" s="42">
        <f>D693-E693</f>
        <v/>
      </c>
      <c r="G693" s="41">
        <f>F693^2</f>
        <v/>
      </c>
      <c r="H693" s="40" t="n"/>
      <c r="I693" s="40" t="n"/>
    </row>
    <row r="694" ht="15" customHeight="1" s="28">
      <c r="A694" s="37" t="n">
        <v>681</v>
      </c>
      <c r="B694" s="55" t="n">
        <v>680</v>
      </c>
      <c r="C694" s="55">
        <f>B694^2</f>
        <v/>
      </c>
      <c r="D694" s="38" t="n">
        <v>4727.43</v>
      </c>
      <c r="E694" s="38">
        <f>4541.138727+0.225904*B694</f>
        <v/>
      </c>
      <c r="F694" s="39">
        <f>D694-E694</f>
        <v/>
      </c>
      <c r="G694" s="38">
        <f>F694^2</f>
        <v/>
      </c>
      <c r="H694" s="37" t="n"/>
      <c r="I694" s="37" t="n"/>
    </row>
    <row r="695" ht="15" customHeight="1" s="28">
      <c r="A695" s="40" t="n">
        <v>682</v>
      </c>
      <c r="B695" s="56" t="n">
        <v>681</v>
      </c>
      <c r="C695" s="56">
        <f>B695^2</f>
        <v/>
      </c>
      <c r="D695" s="41" t="n">
        <v>4723.03</v>
      </c>
      <c r="E695" s="41">
        <f>4541.138727+0.225904*B695</f>
        <v/>
      </c>
      <c r="F695" s="42">
        <f>D695-E695</f>
        <v/>
      </c>
      <c r="G695" s="41">
        <f>F695^2</f>
        <v/>
      </c>
      <c r="H695" s="40" t="n"/>
      <c r="I695" s="40" t="n"/>
    </row>
    <row r="696" ht="15" customHeight="1" s="28">
      <c r="A696" s="37" t="n">
        <v>683</v>
      </c>
      <c r="B696" s="55" t="n">
        <v>682</v>
      </c>
      <c r="C696" s="55">
        <f>B696^2</f>
        <v/>
      </c>
      <c r="D696" s="38" t="n">
        <v>4733.47</v>
      </c>
      <c r="E696" s="38">
        <f>4541.138727+0.225904*B696</f>
        <v/>
      </c>
      <c r="F696" s="39">
        <f>D696-E696</f>
        <v/>
      </c>
      <c r="G696" s="38">
        <f>F696^2</f>
        <v/>
      </c>
      <c r="H696" s="37" t="n"/>
      <c r="I696" s="37" t="n"/>
    </row>
    <row r="697" ht="15" customHeight="1" s="28">
      <c r="A697" s="40" t="n">
        <v>684</v>
      </c>
      <c r="B697" s="56" t="n">
        <v>683</v>
      </c>
      <c r="C697" s="56">
        <f>B697^2</f>
        <v/>
      </c>
      <c r="D697" s="41" t="n">
        <v>4728.52</v>
      </c>
      <c r="E697" s="41">
        <f>4541.138727+0.225904*B697</f>
        <v/>
      </c>
      <c r="F697" s="42">
        <f>D697-E697</f>
        <v/>
      </c>
      <c r="G697" s="41">
        <f>F697^2</f>
        <v/>
      </c>
      <c r="H697" s="40" t="n"/>
      <c r="I697" s="40" t="n"/>
    </row>
    <row r="698" ht="15" customHeight="1" s="28">
      <c r="A698" s="37" t="n">
        <v>685</v>
      </c>
      <c r="B698" s="55" t="n">
        <v>684</v>
      </c>
      <c r="C698" s="55">
        <f>B698^2</f>
        <v/>
      </c>
      <c r="D698" s="38" t="n">
        <v>4725.67</v>
      </c>
      <c r="E698" s="38">
        <f>4541.138727+0.225904*B698</f>
        <v/>
      </c>
      <c r="F698" s="39">
        <f>D698-E698</f>
        <v/>
      </c>
      <c r="G698" s="38">
        <f>F698^2</f>
        <v/>
      </c>
      <c r="H698" s="37" t="n"/>
      <c r="I698" s="37" t="n"/>
    </row>
    <row r="699" ht="15" customHeight="1" s="28">
      <c r="A699" s="40" t="n">
        <v>686</v>
      </c>
      <c r="B699" s="56" t="n">
        <v>685</v>
      </c>
      <c r="C699" s="56">
        <f>B699^2</f>
        <v/>
      </c>
      <c r="D699" s="41" t="n">
        <v>4715.31</v>
      </c>
      <c r="E699" s="41">
        <f>4541.138727+0.225904*B699</f>
        <v/>
      </c>
      <c r="F699" s="42">
        <f>D699-E699</f>
        <v/>
      </c>
      <c r="G699" s="41">
        <f>F699^2</f>
        <v/>
      </c>
      <c r="H699" s="40" t="n"/>
      <c r="I699" s="40" t="n"/>
    </row>
    <row r="700" ht="15" customHeight="1" s="28">
      <c r="A700" s="37" t="n">
        <v>687</v>
      </c>
      <c r="B700" s="55" t="n">
        <v>686</v>
      </c>
      <c r="C700" s="55">
        <f>B700^2</f>
        <v/>
      </c>
      <c r="D700" s="38" t="n">
        <v>4706.67</v>
      </c>
      <c r="E700" s="38">
        <f>4541.138727+0.225904*B700</f>
        <v/>
      </c>
      <c r="F700" s="39">
        <f>D700-E700</f>
        <v/>
      </c>
      <c r="G700" s="38">
        <f>F700^2</f>
        <v/>
      </c>
      <c r="H700" s="37" t="n"/>
      <c r="I700" s="37" t="n"/>
    </row>
    <row r="701" ht="15" customHeight="1" s="28">
      <c r="A701" s="40" t="n">
        <v>688</v>
      </c>
      <c r="B701" s="56" t="n">
        <v>687</v>
      </c>
      <c r="C701" s="56">
        <f>B701^2</f>
        <v/>
      </c>
      <c r="D701" s="41" t="n">
        <v>4708.14</v>
      </c>
      <c r="E701" s="41">
        <f>4541.138727+0.225904*B701</f>
        <v/>
      </c>
      <c r="F701" s="42">
        <f>D701-E701</f>
        <v/>
      </c>
      <c r="G701" s="41">
        <f>F701^2</f>
        <v/>
      </c>
      <c r="H701" s="40" t="n"/>
      <c r="I701" s="40" t="n"/>
    </row>
    <row r="702" ht="15" customHeight="1" s="28">
      <c r="A702" s="37" t="n">
        <v>689</v>
      </c>
      <c r="B702" s="55" t="n">
        <v>688</v>
      </c>
      <c r="C702" s="55">
        <f>B702^2</f>
        <v/>
      </c>
      <c r="D702" s="38" t="n">
        <v>4707.87</v>
      </c>
      <c r="E702" s="38">
        <f>4541.138727+0.225904*B702</f>
        <v/>
      </c>
      <c r="F702" s="39">
        <f>D702-E702</f>
        <v/>
      </c>
      <c r="G702" s="38">
        <f>F702^2</f>
        <v/>
      </c>
      <c r="H702" s="37" t="n"/>
      <c r="I702" s="37" t="n"/>
    </row>
    <row r="703" ht="15" customHeight="1" s="28">
      <c r="A703" s="40" t="n">
        <v>690</v>
      </c>
      <c r="B703" s="56" t="n">
        <v>689</v>
      </c>
      <c r="C703" s="56">
        <f>B703^2</f>
        <v/>
      </c>
      <c r="D703" s="41" t="n">
        <v>4711.45</v>
      </c>
      <c r="E703" s="41">
        <f>4541.138727+0.225904*B703</f>
        <v/>
      </c>
      <c r="F703" s="42">
        <f>D703-E703</f>
        <v/>
      </c>
      <c r="G703" s="41">
        <f>F703^2</f>
        <v/>
      </c>
      <c r="H703" s="40" t="n"/>
      <c r="I703" s="40" t="n"/>
    </row>
    <row r="704" ht="15" customHeight="1" s="28">
      <c r="A704" s="37" t="n">
        <v>691</v>
      </c>
      <c r="B704" s="55" t="n">
        <v>690</v>
      </c>
      <c r="C704" s="55">
        <f>B704^2</f>
        <v/>
      </c>
      <c r="D704" s="38" t="n">
        <v>4716.82</v>
      </c>
      <c r="E704" s="38">
        <f>4541.138727+0.225904*B704</f>
        <v/>
      </c>
      <c r="F704" s="39">
        <f>D704-E704</f>
        <v/>
      </c>
      <c r="G704" s="38">
        <f>F704^2</f>
        <v/>
      </c>
      <c r="H704" s="37" t="n"/>
      <c r="I704" s="37" t="n"/>
    </row>
    <row r="705" ht="15" customHeight="1" s="28">
      <c r="A705" s="40" t="n">
        <v>692</v>
      </c>
      <c r="B705" s="56" t="n">
        <v>691</v>
      </c>
      <c r="C705" s="56">
        <f>B705^2</f>
        <v/>
      </c>
      <c r="D705" s="41" t="n">
        <v>4716.85</v>
      </c>
      <c r="E705" s="41">
        <f>4541.138727+0.225904*B705</f>
        <v/>
      </c>
      <c r="F705" s="42">
        <f>D705-E705</f>
        <v/>
      </c>
      <c r="G705" s="41">
        <f>F705^2</f>
        <v/>
      </c>
      <c r="H705" s="40" t="n"/>
      <c r="I705" s="40" t="n"/>
    </row>
    <row r="706" ht="15" customHeight="1" s="28">
      <c r="A706" s="37" t="n">
        <v>693</v>
      </c>
      <c r="B706" s="55" t="n">
        <v>692</v>
      </c>
      <c r="C706" s="55">
        <f>B706^2</f>
        <v/>
      </c>
      <c r="D706" s="38" t="n">
        <v>4715.7</v>
      </c>
      <c r="E706" s="38">
        <f>4541.138727+0.225904*B706</f>
        <v/>
      </c>
      <c r="F706" s="39">
        <f>D706-E706</f>
        <v/>
      </c>
      <c r="G706" s="38">
        <f>F706^2</f>
        <v/>
      </c>
      <c r="H706" s="37" t="n"/>
      <c r="I706" s="37" t="n"/>
    </row>
    <row r="707" ht="15" customHeight="1" s="28">
      <c r="A707" s="40" t="n">
        <v>694</v>
      </c>
      <c r="B707" s="56" t="n">
        <v>693</v>
      </c>
      <c r="C707" s="56">
        <f>B707^2</f>
        <v/>
      </c>
      <c r="D707" s="41" t="n">
        <v>4718.38</v>
      </c>
      <c r="E707" s="41">
        <f>4541.138727+0.225904*B707</f>
        <v/>
      </c>
      <c r="F707" s="42">
        <f>D707-E707</f>
        <v/>
      </c>
      <c r="G707" s="41">
        <f>F707^2</f>
        <v/>
      </c>
      <c r="H707" s="40" t="n"/>
      <c r="I707" s="40" t="n"/>
    </row>
    <row r="708" ht="15" customHeight="1" s="28">
      <c r="A708" s="37" t="n">
        <v>695</v>
      </c>
      <c r="B708" s="55" t="n">
        <v>694</v>
      </c>
      <c r="C708" s="55">
        <f>B708^2</f>
        <v/>
      </c>
      <c r="D708" s="38" t="n">
        <v>4717.81</v>
      </c>
      <c r="E708" s="38">
        <f>4541.138727+0.225904*B708</f>
        <v/>
      </c>
      <c r="F708" s="39">
        <f>D708-E708</f>
        <v/>
      </c>
      <c r="G708" s="38">
        <f>F708^2</f>
        <v/>
      </c>
      <c r="H708" s="37" t="n"/>
      <c r="I708" s="37" t="n"/>
    </row>
    <row r="709" ht="15" customHeight="1" s="28">
      <c r="A709" s="40" t="n">
        <v>696</v>
      </c>
      <c r="B709" s="56" t="n">
        <v>695</v>
      </c>
      <c r="C709" s="56">
        <f>B709^2</f>
        <v/>
      </c>
      <c r="D709" s="41" t="n">
        <v>4713.35</v>
      </c>
      <c r="E709" s="41">
        <f>4541.138727+0.225904*B709</f>
        <v/>
      </c>
      <c r="F709" s="42">
        <f>D709-E709</f>
        <v/>
      </c>
      <c r="G709" s="41">
        <f>F709^2</f>
        <v/>
      </c>
      <c r="H709" s="40" t="n"/>
      <c r="I709" s="40" t="n"/>
    </row>
    <row r="710" ht="15" customHeight="1" s="28">
      <c r="A710" s="37" t="n">
        <v>697</v>
      </c>
      <c r="B710" s="55" t="n">
        <v>696</v>
      </c>
      <c r="C710" s="55">
        <f>B710^2</f>
        <v/>
      </c>
      <c r="D710" s="38" t="n">
        <v>4711.79</v>
      </c>
      <c r="E710" s="38">
        <f>4541.138727+0.225904*B710</f>
        <v/>
      </c>
      <c r="F710" s="39">
        <f>D710-E710</f>
        <v/>
      </c>
      <c r="G710" s="38">
        <f>F710^2</f>
        <v/>
      </c>
      <c r="H710" s="37" t="n"/>
      <c r="I710" s="37" t="n"/>
    </row>
    <row r="711" ht="15" customHeight="1" s="28">
      <c r="A711" s="40" t="n">
        <v>698</v>
      </c>
      <c r="B711" s="56" t="n">
        <v>697</v>
      </c>
      <c r="C711" s="56">
        <f>B711^2</f>
        <v/>
      </c>
      <c r="D711" s="41" t="n">
        <v>4718.94</v>
      </c>
      <c r="E711" s="41">
        <f>4541.138727+0.225904*B711</f>
        <v/>
      </c>
      <c r="F711" s="42">
        <f>D711-E711</f>
        <v/>
      </c>
      <c r="G711" s="41">
        <f>F711^2</f>
        <v/>
      </c>
      <c r="H711" s="40" t="n"/>
      <c r="I711" s="40" t="n"/>
    </row>
    <row r="712" ht="15" customHeight="1" s="28">
      <c r="A712" s="37" t="n">
        <v>699</v>
      </c>
      <c r="B712" s="55" t="n">
        <v>698</v>
      </c>
      <c r="C712" s="55">
        <f>B712^2</f>
        <v/>
      </c>
      <c r="D712" s="38" t="n">
        <v>4720.38</v>
      </c>
      <c r="E712" s="38">
        <f>4541.138727+0.225904*B712</f>
        <v/>
      </c>
      <c r="F712" s="39">
        <f>D712-E712</f>
        <v/>
      </c>
      <c r="G712" s="38">
        <f>F712^2</f>
        <v/>
      </c>
      <c r="H712" s="37" t="n"/>
      <c r="I712" s="37" t="n"/>
    </row>
    <row r="713" ht="15" customHeight="1" s="28">
      <c r="A713" s="40" t="n">
        <v>700</v>
      </c>
      <c r="B713" s="56" t="n">
        <v>699</v>
      </c>
      <c r="C713" s="56">
        <f>B713^2</f>
        <v/>
      </c>
      <c r="D713" s="41" t="n">
        <v>4724.48</v>
      </c>
      <c r="E713" s="41">
        <f>4541.138727+0.225904*B713</f>
        <v/>
      </c>
      <c r="F713" s="42">
        <f>D713-E713</f>
        <v/>
      </c>
      <c r="G713" s="41">
        <f>F713^2</f>
        <v/>
      </c>
      <c r="H713" s="40" t="n"/>
      <c r="I713" s="40" t="n"/>
    </row>
    <row r="714" ht="15" customHeight="1" s="28">
      <c r="A714" s="37" t="n">
        <v>701</v>
      </c>
      <c r="B714" s="55" t="n">
        <v>700</v>
      </c>
      <c r="C714" s="55">
        <f>B714^2</f>
        <v/>
      </c>
      <c r="D714" s="38" t="n">
        <v>4719.94</v>
      </c>
      <c r="E714" s="38">
        <f>4541.138727+0.225904*B714</f>
        <v/>
      </c>
      <c r="F714" s="39">
        <f>D714-E714</f>
        <v/>
      </c>
      <c r="G714" s="38">
        <f>F714^2</f>
        <v/>
      </c>
      <c r="H714" s="37" t="n"/>
      <c r="I714" s="37" t="n"/>
    </row>
    <row r="715" ht="15" customHeight="1" s="28">
      <c r="A715" s="40" t="n">
        <v>702</v>
      </c>
      <c r="B715" s="56" t="n">
        <v>701</v>
      </c>
      <c r="C715" s="56">
        <f>B715^2</f>
        <v/>
      </c>
      <c r="D715" s="41" t="n">
        <v>4722.05</v>
      </c>
      <c r="E715" s="41">
        <f>4541.138727+0.225904*B715</f>
        <v/>
      </c>
      <c r="F715" s="42">
        <f>D715-E715</f>
        <v/>
      </c>
      <c r="G715" s="41">
        <f>F715^2</f>
        <v/>
      </c>
      <c r="H715" s="40" t="n"/>
      <c r="I715" s="40" t="n"/>
    </row>
    <row r="716" ht="15" customHeight="1" s="28">
      <c r="A716" s="37" t="n">
        <v>703</v>
      </c>
      <c r="B716" s="55" t="n">
        <v>702</v>
      </c>
      <c r="C716" s="55">
        <f>B716^2</f>
        <v/>
      </c>
      <c r="D716" s="38" t="n">
        <v>4724.08</v>
      </c>
      <c r="E716" s="38">
        <f>4541.138727+0.225904*B716</f>
        <v/>
      </c>
      <c r="F716" s="39">
        <f>D716-E716</f>
        <v/>
      </c>
      <c r="G716" s="38">
        <f>F716^2</f>
        <v/>
      </c>
      <c r="H716" s="37" t="n"/>
      <c r="I716" s="37" t="n"/>
    </row>
    <row r="717" ht="15" customHeight="1" s="28">
      <c r="A717" s="40" t="n">
        <v>704</v>
      </c>
      <c r="B717" s="56" t="n">
        <v>703</v>
      </c>
      <c r="C717" s="56">
        <f>B717^2</f>
        <v/>
      </c>
      <c r="D717" s="41" t="n">
        <v>4721.18</v>
      </c>
      <c r="E717" s="41">
        <f>4541.138727+0.225904*B717</f>
        <v/>
      </c>
      <c r="F717" s="42">
        <f>D717-E717</f>
        <v/>
      </c>
      <c r="G717" s="41">
        <f>F717^2</f>
        <v/>
      </c>
      <c r="H717" s="40" t="n"/>
      <c r="I717" s="40" t="n"/>
    </row>
    <row r="718" ht="15" customHeight="1" s="28">
      <c r="A718" s="37" t="n">
        <v>705</v>
      </c>
      <c r="B718" s="55" t="n">
        <v>704</v>
      </c>
      <c r="C718" s="55">
        <f>B718^2</f>
        <v/>
      </c>
      <c r="D718" s="38" t="n">
        <v>4717.8</v>
      </c>
      <c r="E718" s="38">
        <f>4541.138727+0.225904*B718</f>
        <v/>
      </c>
      <c r="F718" s="39">
        <f>D718-E718</f>
        <v/>
      </c>
      <c r="G718" s="38">
        <f>F718^2</f>
        <v/>
      </c>
      <c r="H718" s="37" t="n"/>
      <c r="I718" s="37" t="n"/>
    </row>
    <row r="719" ht="15" customHeight="1" s="28">
      <c r="A719" s="40" t="n">
        <v>706</v>
      </c>
      <c r="B719" s="56" t="n">
        <v>705</v>
      </c>
      <c r="C719" s="56">
        <f>B719^2</f>
        <v/>
      </c>
      <c r="D719" s="41" t="n">
        <v>4704.7</v>
      </c>
      <c r="E719" s="41">
        <f>4541.138727+0.225904*B719</f>
        <v/>
      </c>
      <c r="F719" s="42">
        <f>D719-E719</f>
        <v/>
      </c>
      <c r="G719" s="41">
        <f>F719^2</f>
        <v/>
      </c>
      <c r="H719" s="40" t="n"/>
      <c r="I719" s="40" t="n"/>
    </row>
    <row r="720" ht="15" customHeight="1" s="28">
      <c r="A720" s="37" t="n">
        <v>707</v>
      </c>
      <c r="B720" s="55" t="n">
        <v>706</v>
      </c>
      <c r="C720" s="55">
        <f>B720^2</f>
        <v/>
      </c>
      <c r="D720" s="38" t="n">
        <v>4710.4</v>
      </c>
      <c r="E720" s="38">
        <f>4541.138727+0.225904*B720</f>
        <v/>
      </c>
      <c r="F720" s="39">
        <f>D720-E720</f>
        <v/>
      </c>
      <c r="G720" s="38">
        <f>F720^2</f>
        <v/>
      </c>
      <c r="H720" s="37" t="n"/>
      <c r="I720" s="37" t="n"/>
    </row>
    <row r="721" ht="15" customHeight="1" s="28">
      <c r="A721" s="40" t="n">
        <v>708</v>
      </c>
      <c r="B721" s="56" t="n">
        <v>707</v>
      </c>
      <c r="C721" s="56">
        <f>B721^2</f>
        <v/>
      </c>
      <c r="D721" s="41" t="n">
        <v>4723.84</v>
      </c>
      <c r="E721" s="41">
        <f>4541.138727+0.225904*B721</f>
        <v/>
      </c>
      <c r="F721" s="42">
        <f>D721-E721</f>
        <v/>
      </c>
      <c r="G721" s="41">
        <f>F721^2</f>
        <v/>
      </c>
      <c r="H721" s="40" t="n"/>
      <c r="I721" s="40" t="n"/>
    </row>
    <row r="722" ht="15" customHeight="1" s="28">
      <c r="A722" s="37" t="n">
        <v>709</v>
      </c>
      <c r="B722" s="55" t="n">
        <v>708</v>
      </c>
      <c r="C722" s="55">
        <f>B722^2</f>
        <v/>
      </c>
      <c r="D722" s="38" t="n">
        <v>4724.41</v>
      </c>
      <c r="E722" s="38">
        <f>4541.138727+0.225904*B722</f>
        <v/>
      </c>
      <c r="F722" s="39">
        <f>D722-E722</f>
        <v/>
      </c>
      <c r="G722" s="38">
        <f>F722^2</f>
        <v/>
      </c>
      <c r="H722" s="37" t="n"/>
      <c r="I722" s="37" t="n"/>
    </row>
    <row r="723" ht="15" customHeight="1" s="28">
      <c r="A723" s="40" t="n">
        <v>710</v>
      </c>
      <c r="B723" s="56" t="n">
        <v>709</v>
      </c>
      <c r="C723" s="56">
        <f>B723^2</f>
        <v/>
      </c>
      <c r="D723" s="41" t="n">
        <v>4720.41</v>
      </c>
      <c r="E723" s="41">
        <f>4541.138727+0.225904*B723</f>
        <v/>
      </c>
      <c r="F723" s="42">
        <f>D723-E723</f>
        <v/>
      </c>
      <c r="G723" s="41">
        <f>F723^2</f>
        <v/>
      </c>
      <c r="H723" s="40" t="n"/>
      <c r="I723" s="40" t="n"/>
    </row>
    <row r="724" ht="15" customHeight="1" s="28">
      <c r="A724" s="37" t="n">
        <v>711</v>
      </c>
      <c r="B724" s="55" t="n">
        <v>710</v>
      </c>
      <c r="C724" s="55">
        <f>B724^2</f>
        <v/>
      </c>
      <c r="D724" s="38" t="n">
        <v>4727.11</v>
      </c>
      <c r="E724" s="38">
        <f>4541.138727+0.225904*B724</f>
        <v/>
      </c>
      <c r="F724" s="39">
        <f>D724-E724</f>
        <v/>
      </c>
      <c r="G724" s="38">
        <f>F724^2</f>
        <v/>
      </c>
      <c r="H724" s="37" t="n"/>
      <c r="I724" s="37" t="n"/>
    </row>
    <row r="725" ht="15" customHeight="1" s="28">
      <c r="A725" s="40" t="n">
        <v>712</v>
      </c>
      <c r="B725" s="56" t="n">
        <v>711</v>
      </c>
      <c r="C725" s="56">
        <f>B725^2</f>
        <v/>
      </c>
      <c r="D725" s="41" t="n">
        <v>4738.02</v>
      </c>
      <c r="E725" s="41">
        <f>4541.138727+0.225904*B725</f>
        <v/>
      </c>
      <c r="F725" s="42">
        <f>D725-E725</f>
        <v/>
      </c>
      <c r="G725" s="41">
        <f>F725^2</f>
        <v/>
      </c>
      <c r="H725" s="40" t="n"/>
      <c r="I725" s="40" t="n"/>
    </row>
    <row r="726" ht="15" customHeight="1" s="28">
      <c r="A726" s="37" t="n">
        <v>713</v>
      </c>
      <c r="B726" s="55" t="n">
        <v>712</v>
      </c>
      <c r="C726" s="55">
        <f>B726^2</f>
        <v/>
      </c>
      <c r="D726" s="38" t="n">
        <v>4747.9</v>
      </c>
      <c r="E726" s="38">
        <f>4541.138727+0.225904*B726</f>
        <v/>
      </c>
      <c r="F726" s="39">
        <f>D726-E726</f>
        <v/>
      </c>
      <c r="G726" s="38">
        <f>F726^2</f>
        <v/>
      </c>
      <c r="H726" s="37" t="n"/>
      <c r="I726" s="37" t="n"/>
    </row>
    <row r="727" ht="15" customHeight="1" s="28">
      <c r="A727" s="40" t="n">
        <v>714</v>
      </c>
      <c r="B727" s="56" t="n">
        <v>713</v>
      </c>
      <c r="C727" s="56">
        <f>B727^2</f>
        <v/>
      </c>
      <c r="D727" s="41" t="n">
        <v>4731.78</v>
      </c>
      <c r="E727" s="41">
        <f>4541.138727+0.225904*B727</f>
        <v/>
      </c>
      <c r="F727" s="42">
        <f>D727-E727</f>
        <v/>
      </c>
      <c r="G727" s="41">
        <f>F727^2</f>
        <v/>
      </c>
      <c r="H727" s="40" t="n"/>
      <c r="I727" s="40" t="n"/>
    </row>
    <row r="728" ht="15" customHeight="1" s="28">
      <c r="A728" s="37" t="n">
        <v>715</v>
      </c>
      <c r="B728" s="55" t="n">
        <v>714</v>
      </c>
      <c r="C728" s="55">
        <f>B728^2</f>
        <v/>
      </c>
      <c r="D728" s="38" t="n">
        <v>4719.14</v>
      </c>
      <c r="E728" s="38">
        <f>4541.138727+0.225904*B728</f>
        <v/>
      </c>
      <c r="F728" s="39">
        <f>D728-E728</f>
        <v/>
      </c>
      <c r="G728" s="38">
        <f>F728^2</f>
        <v/>
      </c>
      <c r="H728" s="37" t="n"/>
      <c r="I728" s="37" t="n"/>
    </row>
    <row r="729" ht="15" customHeight="1" s="28">
      <c r="A729" s="40" t="n">
        <v>716</v>
      </c>
      <c r="B729" s="56" t="n">
        <v>715</v>
      </c>
      <c r="C729" s="56">
        <f>B729^2</f>
        <v/>
      </c>
      <c r="D729" s="41" t="n">
        <v>4722.71</v>
      </c>
      <c r="E729" s="41">
        <f>4541.138727+0.225904*B729</f>
        <v/>
      </c>
      <c r="F729" s="42">
        <f>D729-E729</f>
        <v/>
      </c>
      <c r="G729" s="41">
        <f>F729^2</f>
        <v/>
      </c>
      <c r="H729" s="40" t="n"/>
      <c r="I729" s="40" t="n"/>
    </row>
    <row r="730" ht="15" customHeight="1" s="28">
      <c r="A730" s="37" t="n">
        <v>717</v>
      </c>
      <c r="B730" s="55" t="n">
        <v>716</v>
      </c>
      <c r="C730" s="55">
        <f>B730^2</f>
        <v/>
      </c>
      <c r="D730" s="38" t="n">
        <v>4716.02</v>
      </c>
      <c r="E730" s="38">
        <f>4541.138727+0.225904*B730</f>
        <v/>
      </c>
      <c r="F730" s="39">
        <f>D730-E730</f>
        <v/>
      </c>
      <c r="G730" s="38">
        <f>F730^2</f>
        <v/>
      </c>
      <c r="H730" s="37" t="n"/>
      <c r="I730" s="37" t="n"/>
    </row>
    <row r="731" ht="15" customHeight="1" s="28">
      <c r="A731" s="40" t="n">
        <v>718</v>
      </c>
      <c r="B731" s="56" t="n">
        <v>717</v>
      </c>
      <c r="C731" s="56">
        <f>B731^2</f>
        <v/>
      </c>
      <c r="D731" s="41" t="n">
        <v>4707.62</v>
      </c>
      <c r="E731" s="41">
        <f>4541.138727+0.225904*B731</f>
        <v/>
      </c>
      <c r="F731" s="42">
        <f>D731-E731</f>
        <v/>
      </c>
      <c r="G731" s="41">
        <f>F731^2</f>
        <v/>
      </c>
      <c r="H731" s="40" t="n"/>
      <c r="I731" s="40" t="n"/>
    </row>
    <row r="732" ht="15" customHeight="1" s="28">
      <c r="A732" s="37" t="n">
        <v>719</v>
      </c>
      <c r="B732" s="55" t="n">
        <v>718</v>
      </c>
      <c r="C732" s="55">
        <f>B732^2</f>
        <v/>
      </c>
      <c r="D732" s="38" t="n">
        <v>4713.43</v>
      </c>
      <c r="E732" s="38">
        <f>4541.138727+0.225904*B732</f>
        <v/>
      </c>
      <c r="F732" s="39">
        <f>D732-E732</f>
        <v/>
      </c>
      <c r="G732" s="38">
        <f>F732^2</f>
        <v/>
      </c>
      <c r="H732" s="37" t="n"/>
      <c r="I732" s="37" t="n"/>
    </row>
    <row r="733" ht="15" customHeight="1" s="28">
      <c r="A733" s="40" t="n">
        <v>720</v>
      </c>
      <c r="B733" s="56" t="n">
        <v>719</v>
      </c>
      <c r="C733" s="56">
        <f>B733^2</f>
        <v/>
      </c>
      <c r="D733" s="41" t="n">
        <v>4705.96</v>
      </c>
      <c r="E733" s="41">
        <f>4541.138727+0.225904*B733</f>
        <v/>
      </c>
      <c r="F733" s="42">
        <f>D733-E733</f>
        <v/>
      </c>
      <c r="G733" s="41">
        <f>F733^2</f>
        <v/>
      </c>
      <c r="H733" s="40" t="n"/>
      <c r="I733" s="40" t="n"/>
    </row>
    <row r="734" ht="15" customHeight="1" s="28">
      <c r="A734" s="37" t="n">
        <v>721</v>
      </c>
      <c r="B734" s="55" t="n">
        <v>720</v>
      </c>
      <c r="C734" s="55">
        <f>B734^2</f>
        <v/>
      </c>
      <c r="D734" s="38" t="n">
        <v>4707.13</v>
      </c>
      <c r="E734" s="38">
        <f>4541.138727+0.225904*B734</f>
        <v/>
      </c>
      <c r="F734" s="39">
        <f>D734-E734</f>
        <v/>
      </c>
      <c r="G734" s="38">
        <f>F734^2</f>
        <v/>
      </c>
      <c r="H734" s="37" t="n"/>
      <c r="I734" s="37" t="n"/>
    </row>
    <row r="735" ht="15" customHeight="1" s="28">
      <c r="A735" s="40" t="n">
        <v>722</v>
      </c>
      <c r="B735" s="56" t="n">
        <v>721</v>
      </c>
      <c r="C735" s="56">
        <f>B735^2</f>
        <v/>
      </c>
      <c r="D735" s="41" t="n">
        <v>4711.49</v>
      </c>
      <c r="E735" s="41">
        <f>4541.138727+0.225904*B735</f>
        <v/>
      </c>
      <c r="F735" s="42">
        <f>D735-E735</f>
        <v/>
      </c>
      <c r="G735" s="41">
        <f>F735^2</f>
        <v/>
      </c>
      <c r="H735" s="40" t="n"/>
      <c r="I735" s="40" t="n"/>
    </row>
    <row r="736" ht="15" customHeight="1" s="28">
      <c r="A736" s="37" t="n">
        <v>723</v>
      </c>
      <c r="B736" s="55" t="n">
        <v>722</v>
      </c>
      <c r="C736" s="55">
        <f>B736^2</f>
        <v/>
      </c>
      <c r="D736" s="38" t="n">
        <v>4717.67</v>
      </c>
      <c r="E736" s="38">
        <f>4541.138727+0.225904*B736</f>
        <v/>
      </c>
      <c r="F736" s="39">
        <f>D736-E736</f>
        <v/>
      </c>
      <c r="G736" s="38">
        <f>F736^2</f>
        <v/>
      </c>
      <c r="H736" s="37" t="n"/>
      <c r="I736" s="37" t="n"/>
    </row>
    <row r="737" ht="15" customHeight="1" s="28">
      <c r="A737" s="40" t="n">
        <v>724</v>
      </c>
      <c r="B737" s="56" t="n">
        <v>723</v>
      </c>
      <c r="C737" s="56">
        <f>B737^2</f>
        <v/>
      </c>
      <c r="D737" s="41" t="n">
        <v>4713.4</v>
      </c>
      <c r="E737" s="41">
        <f>4541.138727+0.225904*B737</f>
        <v/>
      </c>
      <c r="F737" s="42">
        <f>D737-E737</f>
        <v/>
      </c>
      <c r="G737" s="41">
        <f>F737^2</f>
        <v/>
      </c>
      <c r="H737" s="40" t="n"/>
      <c r="I737" s="40" t="n"/>
    </row>
    <row r="738" ht="15" customHeight="1" s="28">
      <c r="A738" s="37" t="n">
        <v>725</v>
      </c>
      <c r="B738" s="55" t="n">
        <v>724</v>
      </c>
      <c r="C738" s="55">
        <f>B738^2</f>
        <v/>
      </c>
      <c r="D738" s="38" t="n">
        <v>4712.52</v>
      </c>
      <c r="E738" s="38">
        <f>4541.138727+0.225904*B738</f>
        <v/>
      </c>
      <c r="F738" s="39">
        <f>D738-E738</f>
        <v/>
      </c>
      <c r="G738" s="38">
        <f>F738^2</f>
        <v/>
      </c>
      <c r="H738" s="37" t="n"/>
      <c r="I738" s="37" t="n"/>
    </row>
    <row r="739" ht="15" customHeight="1" s="28">
      <c r="A739" s="40" t="n">
        <v>726</v>
      </c>
      <c r="B739" s="56" t="n">
        <v>725</v>
      </c>
      <c r="C739" s="56">
        <f>B739^2</f>
        <v/>
      </c>
      <c r="D739" s="41" t="n">
        <v>4715.4</v>
      </c>
      <c r="E739" s="41">
        <f>4541.138727+0.225904*B739</f>
        <v/>
      </c>
      <c r="F739" s="42">
        <f>D739-E739</f>
        <v/>
      </c>
      <c r="G739" s="41">
        <f>F739^2</f>
        <v/>
      </c>
      <c r="H739" s="40" t="n"/>
      <c r="I739" s="40" t="n"/>
    </row>
    <row r="740" ht="15" customHeight="1" s="28">
      <c r="A740" s="37" t="n">
        <v>727</v>
      </c>
      <c r="B740" s="55" t="n">
        <v>726</v>
      </c>
      <c r="C740" s="55">
        <f>B740^2</f>
        <v/>
      </c>
      <c r="D740" s="38" t="n">
        <v>4720.64</v>
      </c>
      <c r="E740" s="38">
        <f>4541.138727+0.225904*B740</f>
        <v/>
      </c>
      <c r="F740" s="39">
        <f>D740-E740</f>
        <v/>
      </c>
      <c r="G740" s="38">
        <f>F740^2</f>
        <v/>
      </c>
      <c r="H740" s="37" t="n"/>
      <c r="I740" s="37" t="n"/>
    </row>
    <row r="741" ht="15" customHeight="1" s="28">
      <c r="A741" s="40" t="n">
        <v>728</v>
      </c>
      <c r="B741" s="56" t="n">
        <v>727</v>
      </c>
      <c r="C741" s="56">
        <f>B741^2</f>
        <v/>
      </c>
      <c r="D741" s="41" t="n">
        <v>4720.74</v>
      </c>
      <c r="E741" s="41">
        <f>4541.138727+0.225904*B741</f>
        <v/>
      </c>
      <c r="F741" s="42">
        <f>D741-E741</f>
        <v/>
      </c>
      <c r="G741" s="41">
        <f>F741^2</f>
        <v/>
      </c>
      <c r="H741" s="40" t="n"/>
      <c r="I741" s="40" t="n"/>
    </row>
    <row r="742" ht="15" customHeight="1" s="28">
      <c r="A742" s="37" t="n">
        <v>729</v>
      </c>
      <c r="B742" s="55" t="n">
        <v>728</v>
      </c>
      <c r="C742" s="55">
        <f>B742^2</f>
        <v/>
      </c>
      <c r="D742" s="38" t="n">
        <v>4720.99</v>
      </c>
      <c r="E742" s="38">
        <f>4541.138727+0.225904*B742</f>
        <v/>
      </c>
      <c r="F742" s="39">
        <f>D742-E742</f>
        <v/>
      </c>
      <c r="G742" s="38">
        <f>F742^2</f>
        <v/>
      </c>
      <c r="H742" s="37" t="n"/>
      <c r="I742" s="37" t="n"/>
    </row>
    <row r="743" ht="15" customHeight="1" s="28">
      <c r="A743" s="40" t="n">
        <v>730</v>
      </c>
      <c r="B743" s="56" t="n">
        <v>729</v>
      </c>
      <c r="C743" s="56">
        <f>B743^2</f>
        <v/>
      </c>
      <c r="D743" s="41" t="n">
        <v>4727.48</v>
      </c>
      <c r="E743" s="41">
        <f>4541.138727+0.225904*B743</f>
        <v/>
      </c>
      <c r="F743" s="42">
        <f>D743-E743</f>
        <v/>
      </c>
      <c r="G743" s="41">
        <f>F743^2</f>
        <v/>
      </c>
      <c r="H743" s="40" t="n"/>
      <c r="I743" s="40" t="n"/>
    </row>
    <row r="744" ht="15" customHeight="1" s="28">
      <c r="A744" s="37" t="n">
        <v>731</v>
      </c>
      <c r="B744" s="55" t="n">
        <v>730</v>
      </c>
      <c r="C744" s="55">
        <f>B744^2</f>
        <v/>
      </c>
      <c r="D744" s="38" t="n">
        <v>4725.66</v>
      </c>
      <c r="E744" s="38">
        <f>4541.138727+0.225904*B744</f>
        <v/>
      </c>
      <c r="F744" s="39">
        <f>D744-E744</f>
        <v/>
      </c>
      <c r="G744" s="38">
        <f>F744^2</f>
        <v/>
      </c>
      <c r="H744" s="37" t="n"/>
      <c r="I744" s="37" t="n"/>
    </row>
    <row r="745" ht="15" customHeight="1" s="28">
      <c r="A745" s="40" t="n">
        <v>732</v>
      </c>
      <c r="B745" s="56" t="n">
        <v>731</v>
      </c>
      <c r="C745" s="56">
        <f>B745^2</f>
        <v/>
      </c>
      <c r="D745" s="41" t="n">
        <v>4724.59</v>
      </c>
      <c r="E745" s="41">
        <f>4541.138727+0.225904*B745</f>
        <v/>
      </c>
      <c r="F745" s="42">
        <f>D745-E745</f>
        <v/>
      </c>
      <c r="G745" s="41">
        <f>F745^2</f>
        <v/>
      </c>
      <c r="H745" s="40" t="n"/>
      <c r="I745" s="40" t="n"/>
    </row>
    <row r="746" ht="15" customHeight="1" s="28">
      <c r="A746" s="37" t="n">
        <v>733</v>
      </c>
      <c r="B746" s="55" t="n">
        <v>732</v>
      </c>
      <c r="C746" s="55">
        <f>B746^2</f>
        <v/>
      </c>
      <c r="D746" s="38" t="n">
        <v>4721.83</v>
      </c>
      <c r="E746" s="38">
        <f>4541.138727+0.225904*B746</f>
        <v/>
      </c>
      <c r="F746" s="39">
        <f>D746-E746</f>
        <v/>
      </c>
      <c r="G746" s="38">
        <f>F746^2</f>
        <v/>
      </c>
      <c r="H746" s="37" t="n"/>
      <c r="I746" s="37" t="n"/>
    </row>
    <row r="747" ht="15" customHeight="1" s="28">
      <c r="A747" s="40" t="n">
        <v>734</v>
      </c>
      <c r="B747" s="56" t="n">
        <v>733</v>
      </c>
      <c r="C747" s="56">
        <f>B747^2</f>
        <v/>
      </c>
      <c r="D747" s="41" t="n">
        <v>4723.57</v>
      </c>
      <c r="E747" s="41">
        <f>4541.138727+0.225904*B747</f>
        <v/>
      </c>
      <c r="F747" s="42">
        <f>D747-E747</f>
        <v/>
      </c>
      <c r="G747" s="41">
        <f>F747^2</f>
        <v/>
      </c>
      <c r="H747" s="40" t="n"/>
      <c r="I747" s="40" t="n"/>
    </row>
    <row r="748" ht="15" customHeight="1" s="28">
      <c r="A748" s="37" t="n">
        <v>735</v>
      </c>
      <c r="B748" s="55" t="n">
        <v>734</v>
      </c>
      <c r="C748" s="55">
        <f>B748^2</f>
        <v/>
      </c>
      <c r="D748" s="38" t="n">
        <v>4723.71</v>
      </c>
      <c r="E748" s="38">
        <f>4541.138727+0.225904*B748</f>
        <v/>
      </c>
      <c r="F748" s="39">
        <f>D748-E748</f>
        <v/>
      </c>
      <c r="G748" s="38">
        <f>F748^2</f>
        <v/>
      </c>
      <c r="H748" s="37" t="n"/>
      <c r="I748" s="37" t="n"/>
    </row>
    <row r="749" ht="15" customHeight="1" s="28">
      <c r="A749" s="40" t="n">
        <v>736</v>
      </c>
      <c r="B749" s="56" t="n">
        <v>735</v>
      </c>
      <c r="C749" s="56">
        <f>B749^2</f>
        <v/>
      </c>
      <c r="D749" s="41" t="n">
        <v>4725.3</v>
      </c>
      <c r="E749" s="41">
        <f>4541.138727+0.225904*B749</f>
        <v/>
      </c>
      <c r="F749" s="42">
        <f>D749-E749</f>
        <v/>
      </c>
      <c r="G749" s="41">
        <f>F749^2</f>
        <v/>
      </c>
      <c r="H749" s="40" t="n"/>
      <c r="I749" s="40" t="n"/>
    </row>
    <row r="750" ht="15" customHeight="1" s="28">
      <c r="A750" s="37" t="n">
        <v>737</v>
      </c>
      <c r="B750" s="55" t="n">
        <v>736</v>
      </c>
      <c r="C750" s="55">
        <f>B750^2</f>
        <v/>
      </c>
      <c r="D750" s="38" t="n">
        <v>4724.02</v>
      </c>
      <c r="E750" s="38">
        <f>4541.138727+0.225904*B750</f>
        <v/>
      </c>
      <c r="F750" s="39">
        <f>D750-E750</f>
        <v/>
      </c>
      <c r="G750" s="38">
        <f>F750^2</f>
        <v/>
      </c>
      <c r="H750" s="37" t="n"/>
      <c r="I750" s="37" t="n"/>
    </row>
    <row r="751" ht="15" customHeight="1" s="28">
      <c r="A751" s="40" t="n">
        <v>738</v>
      </c>
      <c r="B751" s="56" t="n">
        <v>737</v>
      </c>
      <c r="C751" s="56">
        <f>B751^2</f>
        <v/>
      </c>
      <c r="D751" s="41" t="n">
        <v>4718.85</v>
      </c>
      <c r="E751" s="41">
        <f>4541.138727+0.225904*B751</f>
        <v/>
      </c>
      <c r="F751" s="42">
        <f>D751-E751</f>
        <v/>
      </c>
      <c r="G751" s="41">
        <f>F751^2</f>
        <v/>
      </c>
      <c r="H751" s="40" t="n"/>
      <c r="I751" s="40" t="n"/>
    </row>
    <row r="752" ht="15" customHeight="1" s="28">
      <c r="A752" s="37" t="n">
        <v>739</v>
      </c>
      <c r="B752" s="55" t="n">
        <v>738</v>
      </c>
      <c r="C752" s="55">
        <f>B752^2</f>
        <v/>
      </c>
      <c r="D752" s="38" t="n">
        <v>4717.38</v>
      </c>
      <c r="E752" s="38">
        <f>4541.138727+0.225904*B752</f>
        <v/>
      </c>
      <c r="F752" s="39">
        <f>D752-E752</f>
        <v/>
      </c>
      <c r="G752" s="38">
        <f>F752^2</f>
        <v/>
      </c>
      <c r="H752" s="37" t="n"/>
      <c r="I752" s="37" t="n"/>
    </row>
    <row r="753" ht="15" customHeight="1" s="28">
      <c r="A753" s="40" t="n">
        <v>740</v>
      </c>
      <c r="B753" s="56" t="n">
        <v>739</v>
      </c>
      <c r="C753" s="56">
        <f>B753^2</f>
        <v/>
      </c>
      <c r="D753" s="41" t="n">
        <v>4716.4</v>
      </c>
      <c r="E753" s="41">
        <f>4541.138727+0.225904*B753</f>
        <v/>
      </c>
      <c r="F753" s="42">
        <f>D753-E753</f>
        <v/>
      </c>
      <c r="G753" s="41">
        <f>F753^2</f>
        <v/>
      </c>
      <c r="H753" s="40" t="n"/>
      <c r="I753" s="40" t="n"/>
    </row>
    <row r="754" ht="15" customHeight="1" s="28">
      <c r="A754" s="37" t="n">
        <v>741</v>
      </c>
      <c r="B754" s="55" t="n">
        <v>740</v>
      </c>
      <c r="C754" s="55">
        <f>B754^2</f>
        <v/>
      </c>
      <c r="D754" s="38" t="n">
        <v>4715.36</v>
      </c>
      <c r="E754" s="38">
        <f>4541.138727+0.225904*B754</f>
        <v/>
      </c>
      <c r="F754" s="39">
        <f>D754-E754</f>
        <v/>
      </c>
      <c r="G754" s="38">
        <f>F754^2</f>
        <v/>
      </c>
      <c r="H754" s="37" t="n"/>
      <c r="I754" s="37" t="n"/>
    </row>
    <row r="756" ht="18" customHeight="1" s="28">
      <c r="A756" s="33" t="inlineStr">
        <is>
          <t>STEP 2 — Auxiliary OLS via LINEST:  eᵢ² = γ₀ + γ₁·X + γ₂·X²   (two-column predictor range B:C passed to LINEST)</t>
        </is>
      </c>
    </row>
    <row r="757" ht="21.75" customHeight="1" s="28">
      <c r="A757" s="51" t="inlineStr">
        <is>
          <t>LINEST with 2 predictors: slopes listed RIGHT→LEFT in Row 1  →  col1=γ₂(X²), col2=γ₁(X), col3=γ₀(intercept).  R²_aux is always at INDEX(LINEST(…),3,1) regardless of number of predictors.</t>
        </is>
      </c>
    </row>
    <row r="758" ht="15" customHeight="1" s="28">
      <c r="A758" s="44" t="inlineStr">
        <is>
          <t>γ₂  — slope of X²  in aux. reg.  [INDEX(LINEST(…),1,1)]</t>
        </is>
      </c>
      <c r="B758" s="35" t="n"/>
      <c r="C758" s="35" t="n"/>
      <c r="D758" s="35" t="n"/>
      <c r="E758" s="35" t="n"/>
      <c r="F758" s="47">
        <f>INDEX(LINEST(G14:G754,B14:C754,TRUE(),TRUE()),1,1)</f>
        <v/>
      </c>
      <c r="G758" s="35" t="n"/>
      <c r="H758" s="35" t="n"/>
      <c r="I758" s="35" t="n"/>
    </row>
    <row r="759" ht="15" customHeight="1" s="28">
      <c r="A759" s="44" t="inlineStr">
        <is>
          <t>γ₁  — slope of X   in aux. reg.  [INDEX(LINEST(…),1,2)]</t>
        </is>
      </c>
      <c r="B759" s="35" t="n"/>
      <c r="C759" s="35" t="n"/>
      <c r="D759" s="35" t="n"/>
      <c r="E759" s="35" t="n"/>
      <c r="F759" s="47">
        <f>INDEX(LINEST(G14:G754,B14:C754,TRUE(),TRUE()),1,2)</f>
        <v/>
      </c>
      <c r="G759" s="35" t="n"/>
      <c r="H759" s="35" t="n"/>
      <c r="I759" s="35" t="n"/>
    </row>
    <row r="760" ht="15" customHeight="1" s="28">
      <c r="A760" s="44" t="inlineStr">
        <is>
          <t>γ₀  — intercept    of aux. reg.  [INDEX(LINEST(…),1,3)]</t>
        </is>
      </c>
      <c r="B760" s="35" t="n"/>
      <c r="C760" s="35" t="n"/>
      <c r="D760" s="35" t="n"/>
      <c r="E760" s="35" t="n"/>
      <c r="F760" s="47">
        <f>INDEX(LINEST(G14:G754,B14:C754,TRUE(),TRUE()),1,3)</f>
        <v/>
      </c>
      <c r="G760" s="35" t="n"/>
      <c r="H760" s="35" t="n"/>
      <c r="I760" s="35" t="n"/>
    </row>
    <row r="761" ht="15" customHeight="1" s="28">
      <c r="A761" s="44" t="inlineStr">
        <is>
          <t>R²_aux  =  INDEX(LINEST(eᵢ², {X,X²}, TRUE, TRUE), 3, 1)</t>
        </is>
      </c>
      <c r="B761" s="35" t="n"/>
      <c r="C761" s="35" t="n"/>
      <c r="D761" s="35" t="n"/>
      <c r="E761" s="35" t="n"/>
      <c r="F761" s="47">
        <f>INDEX(LINEST(G14:G754,B14:C754,TRUE(),TRUE()),3,1)</f>
        <v/>
      </c>
      <c r="G761" s="35" t="n"/>
      <c r="H761" s="35" t="n"/>
      <c r="I761" s="35" t="n"/>
    </row>
    <row r="762" ht="15" customHeight="1" s="28">
      <c r="A762" s="44" t="inlineStr">
        <is>
          <t>SE of auxiliary regression  [INDEX(LINEST(…),3,2)]</t>
        </is>
      </c>
      <c r="B762" s="35" t="n"/>
      <c r="C762" s="35" t="n"/>
      <c r="D762" s="35" t="n"/>
      <c r="E762" s="35" t="n"/>
      <c r="F762" s="49">
        <f>INDEX(LINEST(G14:G754,B14:C754,TRUE(),TRUE()),3,2)</f>
        <v/>
      </c>
      <c r="G762" s="35" t="n"/>
      <c r="H762" s="35" t="n"/>
      <c r="I762" s="35" t="n"/>
    </row>
    <row r="763" ht="15" customHeight="1" s="28">
      <c r="A763" s="44" t="inlineStr">
        <is>
          <t>F-statistic  [INDEX(LINEST(…),4,1)]</t>
        </is>
      </c>
      <c r="B763" s="35" t="n"/>
      <c r="C763" s="35" t="n"/>
      <c r="D763" s="35" t="n"/>
      <c r="E763" s="35" t="n"/>
      <c r="F763" s="52">
        <f>INDEX(LINEST(G14:G754,B14:C754,TRUE(),TRUE()),4,1)</f>
        <v/>
      </c>
      <c r="G763" s="35" t="n"/>
      <c r="H763" s="35" t="n"/>
      <c r="I763" s="35" t="n"/>
    </row>
    <row r="764" ht="15" customHeight="1" s="28">
      <c r="A764" s="44" t="inlineStr">
        <is>
          <t>df residual  [INDEX(LINEST(…),4,2)]</t>
        </is>
      </c>
      <c r="B764" s="35" t="n"/>
      <c r="C764" s="35" t="n"/>
      <c r="D764" s="35" t="n"/>
      <c r="E764" s="35" t="n"/>
      <c r="F764" s="45">
        <f>INDEX(LINEST(G14:G754,B14:C754,TRUE(),TRUE()),4,2)</f>
        <v/>
      </c>
      <c r="G764" s="35" t="n"/>
      <c r="H764" s="35" t="n"/>
      <c r="I764" s="35" t="n"/>
    </row>
    <row r="766" ht="18" customHeight="1" s="28">
      <c r="A766" s="33" t="inlineStr">
        <is>
          <t>STEP 3 — LM Test Statistic  =  n · R²_aux   ~  χ²(2)</t>
        </is>
      </c>
    </row>
    <row r="767" ht="15" customHeight="1" s="28">
      <c r="A767" s="44" t="inlineStr">
        <is>
          <t>n  (sample size)</t>
        </is>
      </c>
      <c r="B767" s="35" t="n"/>
      <c r="C767" s="35" t="n"/>
      <c r="D767" s="35" t="n"/>
      <c r="E767" s="35" t="n"/>
      <c r="F767" s="45" t="n">
        <v>741</v>
      </c>
      <c r="G767" s="35" t="n"/>
      <c r="H767" s="35" t="n"/>
      <c r="I767" s="35" t="n"/>
    </row>
    <row r="768" ht="15" customHeight="1" s="28">
      <c r="A768" s="44" t="inlineStr">
        <is>
          <t>k  (predictors in aux. reg.  = X + X²)</t>
        </is>
      </c>
      <c r="B768" s="35" t="n"/>
      <c r="C768" s="35" t="n"/>
      <c r="D768" s="35" t="n"/>
      <c r="E768" s="35" t="n"/>
      <c r="F768" s="45" t="n">
        <v>2</v>
      </c>
      <c r="G768" s="35" t="n"/>
      <c r="H768" s="35" t="n"/>
      <c r="I768" s="35" t="n"/>
    </row>
    <row r="769" ht="15" customHeight="1" s="28">
      <c r="A769" s="44" t="inlineStr">
        <is>
          <t>R²_aux  (from LINEST Step 2)</t>
        </is>
      </c>
      <c r="B769" s="35" t="n"/>
      <c r="C769" s="35" t="n"/>
      <c r="D769" s="35" t="n"/>
      <c r="E769" s="35" t="n"/>
      <c r="F769" s="47">
        <f>F761</f>
        <v/>
      </c>
      <c r="G769" s="35" t="n"/>
      <c r="H769" s="35" t="n"/>
      <c r="I769" s="35" t="n"/>
    </row>
    <row r="770" ht="15" customHeight="1" s="28">
      <c r="A770" s="44" t="inlineStr">
        <is>
          <t>LM  =  n · R²_aux</t>
        </is>
      </c>
      <c r="B770" s="35" t="n"/>
      <c r="C770" s="35" t="n"/>
      <c r="D770" s="35" t="n"/>
      <c r="E770" s="35" t="n"/>
      <c r="F770" s="47">
        <f>F767*F769</f>
        <v/>
      </c>
      <c r="G770" s="35" t="n"/>
      <c r="H770" s="35" t="n"/>
      <c r="I770" s="35" t="n"/>
    </row>
    <row r="771" ht="15" customHeight="1" s="28">
      <c r="A771" s="44" t="inlineStr">
        <is>
          <t>p-value  =  CHISQ.DIST.RT(LM, k)</t>
        </is>
      </c>
      <c r="B771" s="35" t="n"/>
      <c r="C771" s="35" t="n"/>
      <c r="D771" s="35" t="n"/>
      <c r="E771" s="35" t="n"/>
      <c r="F771" s="53">
        <f>CHIDIST(F770,F768)</f>
        <v/>
      </c>
      <c r="G771" s="35" t="n"/>
      <c r="H771" s="35" t="n"/>
      <c r="I771" s="35" t="n"/>
    </row>
    <row r="772" ht="15" customHeight="1" s="28">
      <c r="A772" s="44" t="inlineStr">
        <is>
          <t>Reference LM  (statsmodels)</t>
        </is>
      </c>
      <c r="B772" s="35" t="n"/>
      <c r="C772" s="35" t="n"/>
      <c r="D772" s="35" t="n"/>
      <c r="E772" s="35" t="n"/>
      <c r="F772" s="47" t="n">
        <v>127.51295</v>
      </c>
      <c r="G772" s="35" t="n"/>
      <c r="H772" s="35" t="n"/>
      <c r="I772" s="35" t="n"/>
    </row>
    <row r="773" ht="15" customHeight="1" s="28">
      <c r="A773" s="44" t="inlineStr">
        <is>
          <t>Reference p-value  (statsmodels)</t>
        </is>
      </c>
      <c r="B773" s="35" t="n"/>
      <c r="C773" s="35" t="n"/>
      <c r="D773" s="35" t="n"/>
      <c r="E773" s="35" t="n"/>
      <c r="F773" s="57" t="n">
        <v>0</v>
      </c>
      <c r="G773" s="35" t="n"/>
      <c r="H773" s="35" t="n"/>
      <c r="I773" s="35" t="n"/>
    </row>
    <row r="774" ht="15" customHeight="1" s="28">
      <c r="A774" s="44" t="inlineStr">
        <is>
          <t>α  (significance level)</t>
        </is>
      </c>
      <c r="B774" s="35" t="n"/>
      <c r="C774" s="35" t="n"/>
      <c r="D774" s="35" t="n"/>
      <c r="E774" s="35" t="n"/>
      <c r="F774" s="49" t="n">
        <v>0.05</v>
      </c>
      <c r="G774" s="35" t="n"/>
      <c r="H774" s="35" t="n"/>
      <c r="I774" s="35" t="n"/>
    </row>
    <row r="775" ht="21.75" customHeight="1" s="28">
      <c r="A775" s="50" t="inlineStr">
        <is>
          <t>DECISION:  p-value ≈ 2.05e-28 &lt; α (0.05)  ⟹  REJECT H₀  →  Significant HETEROSCEDASTICITY detected  [LM ≈ 127.51 | Residual variance changes with bar_index — consider Robust Standard Errors or WLS]</t>
        </is>
      </c>
    </row>
  </sheetData>
  <mergeCells count="46">
    <mergeCell ref="A769:E769"/>
    <mergeCell ref="F764:I764"/>
    <mergeCell ref="B7:I7"/>
    <mergeCell ref="A760:E760"/>
    <mergeCell ref="F761:I761"/>
    <mergeCell ref="B3:I3"/>
    <mergeCell ref="F770:I770"/>
    <mergeCell ref="A12:I12"/>
    <mergeCell ref="F769:I769"/>
    <mergeCell ref="F760:I760"/>
    <mergeCell ref="A762:E762"/>
    <mergeCell ref="A775:I775"/>
    <mergeCell ref="B2:I2"/>
    <mergeCell ref="F771:I771"/>
    <mergeCell ref="F762:I762"/>
    <mergeCell ref="B8:I8"/>
    <mergeCell ref="A758:E758"/>
    <mergeCell ref="A773:E773"/>
    <mergeCell ref="A767:E767"/>
    <mergeCell ref="A763:E763"/>
    <mergeCell ref="A772:E772"/>
    <mergeCell ref="F758:I758"/>
    <mergeCell ref="F767:I767"/>
    <mergeCell ref="B10:I10"/>
    <mergeCell ref="F759:I759"/>
    <mergeCell ref="H13:I13"/>
    <mergeCell ref="A768:E768"/>
    <mergeCell ref="F773:I773"/>
    <mergeCell ref="A759:E759"/>
    <mergeCell ref="B9:I9"/>
    <mergeCell ref="A766:I766"/>
    <mergeCell ref="F772:I772"/>
    <mergeCell ref="A771:E771"/>
    <mergeCell ref="A757:I757"/>
    <mergeCell ref="F763:I763"/>
    <mergeCell ref="B6:I6"/>
    <mergeCell ref="A756:I756"/>
    <mergeCell ref="F768:I768"/>
    <mergeCell ref="A1:I1"/>
    <mergeCell ref="A770:E770"/>
    <mergeCell ref="A774:E774"/>
    <mergeCell ref="B5:I5"/>
    <mergeCell ref="A761:E761"/>
    <mergeCell ref="F774:I774"/>
    <mergeCell ref="A764:E764"/>
    <mergeCell ref="B4:I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7" customWidth="1" style="28" min="1" max="1"/>
    <col width="20" customWidth="1" style="28" min="2" max="2"/>
    <col width="22" customWidth="1" style="28" min="3" max="3"/>
    <col width="22" customWidth="1" style="28" min="4" max="4"/>
    <col width="22" customWidth="1" style="28" min="5" max="5"/>
    <col width="20" customWidth="1" style="28" min="6" max="6"/>
    <col width="6" customWidth="1" style="28" min="7" max="7"/>
    <col width="6" customWidth="1" style="28" min="8" max="8"/>
  </cols>
  <sheetData>
    <row r="1" ht="26" customHeight="1" s="28">
      <c r="A1" s="58" t="inlineStr">
        <is>
          <t>SHAPIRO-WILK NORMALITY TEST  |  MODEL A  |  n = 65  |  Residual = close − Base_FL</t>
        </is>
      </c>
    </row>
    <row r="2" ht="16" customHeight="1" s="28">
      <c r="A2" s="59" t="inlineStr">
        <is>
          <t>H₀:</t>
        </is>
      </c>
      <c r="B2" s="60" t="inlineStr">
        <is>
          <t>Residuals are normally distributed   |   H₁: Residuals are NOT normally distributed</t>
        </is>
      </c>
    </row>
    <row r="3" ht="16" customHeight="1" s="28">
      <c r="A3" s="59" t="inlineStr">
        <is>
          <t>PURPOSE:</t>
        </is>
      </c>
      <c r="B3" s="60" t="inlineStr">
        <is>
          <t>Tests normality using weighted correlation of ordered residuals against expected normal order statistics.  Most powerful test for n &lt; 2,000.</t>
        </is>
      </c>
    </row>
    <row r="4" ht="16" customHeight="1" s="28">
      <c r="A4" s="59" t="inlineStr">
        <is>
          <t>RESIDUAL:</t>
        </is>
      </c>
      <c r="B4" s="60" t="inlineStr">
        <is>
          <t>eᵢ  =  closeᵢ  −  Base_FLᵢ     [Base_FL = regression baseline computed by EDT-Centroid indicator in MQL5, NOT an Excel OLS fit]</t>
        </is>
      </c>
    </row>
    <row r="5" ht="16" customHeight="1" s="28">
      <c r="A5" s="59" t="inlineStr">
        <is>
          <t>FORMULA:</t>
        </is>
      </c>
      <c r="B5" s="60" t="inlineStr">
        <is>
          <t>W  =  [ Σᵢ aᵢ · (x_(n+1−i) − x_(i)) ]²  /  Σ(xᵢ − x̄)²</t>
        </is>
      </c>
    </row>
    <row r="6" ht="16" customHeight="1" s="28">
      <c r="A6" s="59" t="inlineStr"/>
      <c r="B6" s="60" t="inlineStr">
        <is>
          <t>x_(1) ≤ … ≤ x_(n) = SORTED residuals   |   aᵢ = Shapiro-Wilk coefficients from expected order statistics of N(0,1)</t>
        </is>
      </c>
    </row>
    <row r="7" ht="16" customHeight="1" s="28">
      <c r="A7" s="59" t="inlineStr">
        <is>
          <t>DECISION:</t>
        </is>
      </c>
      <c r="B7" s="60" t="inlineStr">
        <is>
          <t>Reject H₀ if  p-value &lt; α = 0.05</t>
        </is>
      </c>
    </row>
    <row r="9" ht="18" customHeight="1" s="28">
      <c r="A9" s="61" t="inlineStr">
        <is>
          <t>STEP 1 — Residuals:  eᵢ = closeᵢ − Base_FLᵢ   (crossing bars only)</t>
        </is>
      </c>
    </row>
    <row r="10" ht="32" customHeight="1" s="28">
      <c r="A10" s="62" t="inlineStr">
        <is>
          <t>i</t>
        </is>
      </c>
      <c r="B10" s="62" t="inlineStr">
        <is>
          <t>Bar Index</t>
        </is>
      </c>
      <c r="C10" s="62" t="inlineStr">
        <is>
          <t>Close Price</t>
        </is>
      </c>
      <c r="D10" s="62" t="inlineStr">
        <is>
          <t>Base_FL  (MQL5)</t>
        </is>
      </c>
      <c r="E10" s="62" t="inlineStr">
        <is>
          <t>Residual  eᵢ</t>
        </is>
      </c>
      <c r="F10" s="62" t="inlineStr"/>
      <c r="G10" s="63" t="n"/>
      <c r="H10" s="64" t="n"/>
    </row>
    <row r="11">
      <c r="A11" s="65" t="n">
        <v>1</v>
      </c>
      <c r="B11" s="65" t="n">
        <v>0</v>
      </c>
      <c r="C11" s="66" t="n">
        <v>4595.7</v>
      </c>
      <c r="D11" s="66" t="n">
        <v>4548.56437</v>
      </c>
      <c r="E11" s="67">
        <f>C11-D11</f>
        <v/>
      </c>
      <c r="F11" s="65" t="inlineStr"/>
      <c r="G11" s="65" t="inlineStr"/>
      <c r="H11" s="65" t="inlineStr"/>
    </row>
    <row r="12">
      <c r="A12" s="68" t="n">
        <v>2</v>
      </c>
      <c r="B12" s="68" t="n">
        <v>1</v>
      </c>
      <c r="C12" s="69" t="n">
        <v>4590.84</v>
      </c>
      <c r="D12" s="69" t="n">
        <v>4550.38638</v>
      </c>
      <c r="E12" s="70">
        <f>C12-D12</f>
        <v/>
      </c>
      <c r="F12" s="68" t="inlineStr"/>
      <c r="G12" s="68" t="inlineStr"/>
      <c r="H12" s="68" t="inlineStr"/>
    </row>
    <row r="13">
      <c r="A13" s="65" t="n">
        <v>3</v>
      </c>
      <c r="B13" s="65" t="n">
        <v>2</v>
      </c>
      <c r="C13" s="66" t="n">
        <v>4603.88</v>
      </c>
      <c r="D13" s="66" t="n">
        <v>4551.60106</v>
      </c>
      <c r="E13" s="67">
        <f>C13-D13</f>
        <v/>
      </c>
      <c r="F13" s="65" t="inlineStr"/>
      <c r="G13" s="65" t="inlineStr"/>
      <c r="H13" s="65" t="inlineStr"/>
    </row>
    <row r="14">
      <c r="A14" s="68" t="n">
        <v>4</v>
      </c>
      <c r="B14" s="68" t="n">
        <v>3</v>
      </c>
      <c r="C14" s="69" t="n">
        <v>4600.87</v>
      </c>
      <c r="D14" s="69" t="n">
        <v>4552.81573</v>
      </c>
      <c r="E14" s="70">
        <f>C14-D14</f>
        <v/>
      </c>
      <c r="F14" s="68" t="inlineStr"/>
      <c r="G14" s="68" t="inlineStr"/>
      <c r="H14" s="68" t="inlineStr"/>
    </row>
    <row r="15">
      <c r="A15" s="65" t="n">
        <v>5</v>
      </c>
      <c r="B15" s="65" t="n">
        <v>4</v>
      </c>
      <c r="C15" s="66" t="n">
        <v>4601.15</v>
      </c>
      <c r="D15" s="66" t="n">
        <v>4555.24508</v>
      </c>
      <c r="E15" s="67">
        <f>C15-D15</f>
        <v/>
      </c>
      <c r="F15" s="65" t="inlineStr"/>
      <c r="G15" s="65" t="inlineStr"/>
      <c r="H15" s="65" t="inlineStr"/>
    </row>
    <row r="16">
      <c r="A16" s="68" t="n">
        <v>6</v>
      </c>
      <c r="B16" s="68" t="n">
        <v>5</v>
      </c>
      <c r="C16" s="69" t="n">
        <v>4571.78</v>
      </c>
      <c r="D16" s="69" t="n">
        <v>4559.49644</v>
      </c>
      <c r="E16" s="70">
        <f>C16-D16</f>
        <v/>
      </c>
      <c r="F16" s="68" t="inlineStr"/>
      <c r="G16" s="68" t="inlineStr"/>
      <c r="H16" s="68" t="inlineStr"/>
    </row>
    <row r="17">
      <c r="A17" s="65" t="n">
        <v>7</v>
      </c>
      <c r="B17" s="65" t="n">
        <v>6</v>
      </c>
      <c r="C17" s="66" t="n">
        <v>4561.87</v>
      </c>
      <c r="D17" s="66" t="n">
        <v>4560.71111</v>
      </c>
      <c r="E17" s="67">
        <f>C17-D17</f>
        <v/>
      </c>
      <c r="F17" s="65" t="inlineStr"/>
      <c r="G17" s="65" t="inlineStr"/>
      <c r="H17" s="65" t="inlineStr"/>
    </row>
    <row r="18">
      <c r="A18" s="68" t="n">
        <v>8</v>
      </c>
      <c r="B18" s="68" t="n">
        <v>7</v>
      </c>
      <c r="C18" s="69" t="n">
        <v>4538.69</v>
      </c>
      <c r="D18" s="69" t="n">
        <v>4562.93802</v>
      </c>
      <c r="E18" s="70">
        <f>C18-D18</f>
        <v/>
      </c>
      <c r="F18" s="68" t="inlineStr"/>
      <c r="G18" s="68" t="inlineStr"/>
      <c r="H18" s="68" t="inlineStr"/>
    </row>
    <row r="19">
      <c r="A19" s="65" t="n">
        <v>9</v>
      </c>
      <c r="B19" s="65" t="n">
        <v>8</v>
      </c>
      <c r="C19" s="66" t="n">
        <v>4545.36</v>
      </c>
      <c r="D19" s="66" t="n">
        <v>4564.76003</v>
      </c>
      <c r="E19" s="67">
        <f>C19-D19</f>
        <v/>
      </c>
      <c r="F19" s="65" t="inlineStr"/>
      <c r="G19" s="65" t="inlineStr"/>
      <c r="H19" s="65" t="inlineStr"/>
    </row>
    <row r="20">
      <c r="A20" s="68" t="n">
        <v>10</v>
      </c>
      <c r="B20" s="68" t="n">
        <v>9</v>
      </c>
      <c r="C20" s="69" t="n">
        <v>4538.19</v>
      </c>
      <c r="D20" s="69" t="n">
        <v>4566.37959</v>
      </c>
      <c r="E20" s="70">
        <f>C20-D20</f>
        <v/>
      </c>
      <c r="F20" s="68" t="inlineStr"/>
      <c r="G20" s="68" t="inlineStr"/>
      <c r="H20" s="68" t="inlineStr"/>
    </row>
    <row r="21">
      <c r="A21" s="65" t="n">
        <v>11</v>
      </c>
      <c r="B21" s="65" t="n">
        <v>10</v>
      </c>
      <c r="C21" s="66" t="n">
        <v>4573.13</v>
      </c>
      <c r="D21" s="66" t="n">
        <v>4571.64318</v>
      </c>
      <c r="E21" s="67">
        <f>C21-D21</f>
        <v/>
      </c>
      <c r="F21" s="65" t="inlineStr"/>
      <c r="G21" s="65" t="inlineStr"/>
      <c r="H21" s="65" t="inlineStr"/>
    </row>
    <row r="22">
      <c r="A22" s="68" t="n">
        <v>12</v>
      </c>
      <c r="B22" s="68" t="n">
        <v>11</v>
      </c>
      <c r="C22" s="69" t="n">
        <v>4553.22</v>
      </c>
      <c r="D22" s="69" t="n">
        <v>4573.87008</v>
      </c>
      <c r="E22" s="70">
        <f>C22-D22</f>
        <v/>
      </c>
      <c r="F22" s="68" t="inlineStr"/>
      <c r="G22" s="68" t="inlineStr"/>
      <c r="H22" s="68" t="inlineStr"/>
    </row>
    <row r="23">
      <c r="A23" s="65" t="n">
        <v>13</v>
      </c>
      <c r="B23" s="65" t="n">
        <v>12</v>
      </c>
      <c r="C23" s="66" t="n">
        <v>4629.82</v>
      </c>
      <c r="D23" s="66" t="n">
        <v>4579.13367</v>
      </c>
      <c r="E23" s="67">
        <f>C23-D23</f>
        <v/>
      </c>
      <c r="F23" s="65" t="inlineStr"/>
      <c r="G23" s="65" t="inlineStr"/>
      <c r="H23" s="65" t="inlineStr"/>
    </row>
    <row r="24">
      <c r="A24" s="68" t="n">
        <v>14</v>
      </c>
      <c r="B24" s="68" t="n">
        <v>13</v>
      </c>
      <c r="C24" s="69" t="n">
        <v>4615.95</v>
      </c>
      <c r="D24" s="69" t="n">
        <v>4583.58748</v>
      </c>
      <c r="E24" s="70">
        <f>C24-D24</f>
        <v/>
      </c>
      <c r="F24" s="68" t="inlineStr"/>
      <c r="G24" s="68" t="inlineStr"/>
      <c r="H24" s="68" t="inlineStr"/>
    </row>
    <row r="25">
      <c r="A25" s="65" t="n">
        <v>15</v>
      </c>
      <c r="B25" s="65" t="n">
        <v>14</v>
      </c>
      <c r="C25" s="66" t="n">
        <v>4624.33</v>
      </c>
      <c r="D25" s="66" t="n">
        <v>4585.20704</v>
      </c>
      <c r="E25" s="67">
        <f>C25-D25</f>
        <v/>
      </c>
      <c r="F25" s="65" t="inlineStr"/>
      <c r="G25" s="65" t="inlineStr"/>
      <c r="H25" s="65" t="inlineStr"/>
    </row>
    <row r="26">
      <c r="A26" s="68" t="n">
        <v>16</v>
      </c>
      <c r="B26" s="68" t="n">
        <v>15</v>
      </c>
      <c r="C26" s="69" t="n">
        <v>4616.72</v>
      </c>
      <c r="D26" s="69" t="n">
        <v>4586.21927</v>
      </c>
      <c r="E26" s="70">
        <f>C26-D26</f>
        <v/>
      </c>
      <c r="F26" s="68" t="inlineStr"/>
      <c r="G26" s="68" t="inlineStr"/>
      <c r="H26" s="68" t="inlineStr"/>
    </row>
    <row r="27">
      <c r="A27" s="65" t="n">
        <v>17</v>
      </c>
      <c r="B27" s="65" t="n">
        <v>16</v>
      </c>
      <c r="C27" s="66" t="n">
        <v>4630.75</v>
      </c>
      <c r="D27" s="66" t="n">
        <v>4587.83884</v>
      </c>
      <c r="E27" s="67">
        <f>C27-D27</f>
        <v/>
      </c>
      <c r="F27" s="65" t="inlineStr"/>
      <c r="G27" s="65" t="inlineStr"/>
      <c r="H27" s="65" t="inlineStr"/>
    </row>
    <row r="28">
      <c r="A28" s="68" t="n">
        <v>18</v>
      </c>
      <c r="B28" s="68" t="n">
        <v>17</v>
      </c>
      <c r="C28" s="69" t="n">
        <v>4620.2</v>
      </c>
      <c r="D28" s="69" t="n">
        <v>4589.66085</v>
      </c>
      <c r="E28" s="70">
        <f>C28-D28</f>
        <v/>
      </c>
      <c r="F28" s="68" t="inlineStr"/>
      <c r="G28" s="68" t="inlineStr"/>
      <c r="H28" s="68" t="inlineStr"/>
    </row>
    <row r="29">
      <c r="A29" s="65" t="n">
        <v>19</v>
      </c>
      <c r="B29" s="65" t="n">
        <v>18</v>
      </c>
      <c r="C29" s="66" t="n">
        <v>4626.13</v>
      </c>
      <c r="D29" s="66" t="n">
        <v>4591.07797</v>
      </c>
      <c r="E29" s="67">
        <f>C29-D29</f>
        <v/>
      </c>
      <c r="F29" s="65" t="inlineStr"/>
      <c r="G29" s="65" t="inlineStr"/>
      <c r="H29" s="65" t="inlineStr"/>
    </row>
    <row r="30">
      <c r="A30" s="68" t="n">
        <v>20</v>
      </c>
      <c r="B30" s="68" t="n">
        <v>19</v>
      </c>
      <c r="C30" s="69" t="n">
        <v>4566.78</v>
      </c>
      <c r="D30" s="69" t="n">
        <v>4596.544</v>
      </c>
      <c r="E30" s="70">
        <f>C30-D30</f>
        <v/>
      </c>
      <c r="F30" s="68" t="inlineStr"/>
      <c r="G30" s="68" t="inlineStr"/>
      <c r="H30" s="68" t="inlineStr"/>
    </row>
    <row r="31">
      <c r="A31" s="65" t="n">
        <v>21</v>
      </c>
      <c r="B31" s="65" t="n">
        <v>20</v>
      </c>
      <c r="C31" s="66" t="n">
        <v>4642.75</v>
      </c>
      <c r="D31" s="66" t="n">
        <v>4601.4027</v>
      </c>
      <c r="E31" s="67">
        <f>C31-D31</f>
        <v/>
      </c>
      <c r="F31" s="65" t="inlineStr"/>
      <c r="G31" s="65" t="inlineStr"/>
      <c r="H31" s="65" t="inlineStr"/>
    </row>
    <row r="32">
      <c r="A32" s="68" t="n">
        <v>22</v>
      </c>
      <c r="B32" s="68" t="n">
        <v>21</v>
      </c>
      <c r="C32" s="69" t="n">
        <v>4613.77</v>
      </c>
      <c r="D32" s="69" t="n">
        <v>4605.04672</v>
      </c>
      <c r="E32" s="70">
        <f>C32-D32</f>
        <v/>
      </c>
      <c r="F32" s="68" t="inlineStr"/>
      <c r="G32" s="68" t="inlineStr"/>
      <c r="H32" s="68" t="inlineStr"/>
    </row>
    <row r="33">
      <c r="A33" s="65" t="n">
        <v>23</v>
      </c>
      <c r="B33" s="65" t="n">
        <v>22</v>
      </c>
      <c r="C33" s="66" t="n">
        <v>4615.08</v>
      </c>
      <c r="D33" s="66" t="n">
        <v>4606.26139</v>
      </c>
      <c r="E33" s="67">
        <f>C33-D33</f>
        <v/>
      </c>
      <c r="F33" s="65" t="inlineStr"/>
      <c r="G33" s="65" t="inlineStr"/>
      <c r="H33" s="65" t="inlineStr"/>
    </row>
    <row r="34">
      <c r="A34" s="68" t="n">
        <v>24</v>
      </c>
      <c r="B34" s="68" t="n">
        <v>23</v>
      </c>
      <c r="C34" s="69" t="n">
        <v>4593.09</v>
      </c>
      <c r="D34" s="69" t="n">
        <v>4608.89319</v>
      </c>
      <c r="E34" s="70">
        <f>C34-D34</f>
        <v/>
      </c>
      <c r="F34" s="68" t="inlineStr"/>
      <c r="G34" s="68" t="inlineStr"/>
      <c r="H34" s="68" t="inlineStr"/>
    </row>
    <row r="35">
      <c r="A35" s="65" t="n">
        <v>25</v>
      </c>
      <c r="B35" s="65" t="n">
        <v>24</v>
      </c>
      <c r="C35" s="66" t="n">
        <v>4608.12</v>
      </c>
      <c r="D35" s="66" t="n">
        <v>4610.51275</v>
      </c>
      <c r="E35" s="67">
        <f>C35-D35</f>
        <v/>
      </c>
      <c r="F35" s="65" t="inlineStr"/>
      <c r="G35" s="65" t="inlineStr"/>
      <c r="H35" s="65" t="inlineStr"/>
    </row>
    <row r="36">
      <c r="A36" s="68" t="n">
        <v>26</v>
      </c>
      <c r="B36" s="68" t="n">
        <v>25</v>
      </c>
      <c r="C36" s="69" t="n">
        <v>4562.26</v>
      </c>
      <c r="D36" s="69" t="n">
        <v>4616.18123</v>
      </c>
      <c r="E36" s="70">
        <f>C36-D36</f>
        <v/>
      </c>
      <c r="F36" s="68" t="inlineStr"/>
      <c r="G36" s="68" t="inlineStr"/>
      <c r="H36" s="68" t="inlineStr"/>
    </row>
    <row r="37">
      <c r="A37" s="65" t="n">
        <v>27</v>
      </c>
      <c r="B37" s="65" t="n">
        <v>26</v>
      </c>
      <c r="C37" s="66" t="n">
        <v>4571.2</v>
      </c>
      <c r="D37" s="66" t="n">
        <v>4618.61058</v>
      </c>
      <c r="E37" s="67">
        <f>C37-D37</f>
        <v/>
      </c>
      <c r="F37" s="65" t="inlineStr"/>
      <c r="G37" s="65" t="inlineStr"/>
      <c r="H37" s="65" t="inlineStr"/>
    </row>
    <row r="38">
      <c r="A38" s="68" t="n">
        <v>28</v>
      </c>
      <c r="B38" s="68" t="n">
        <v>27</v>
      </c>
      <c r="C38" s="69" t="n">
        <v>4522.39</v>
      </c>
      <c r="D38" s="69" t="n">
        <v>4620.83748</v>
      </c>
      <c r="E38" s="70">
        <f>C38-D38</f>
        <v/>
      </c>
      <c r="F38" s="68" t="inlineStr"/>
      <c r="G38" s="68" t="inlineStr"/>
      <c r="H38" s="68" t="inlineStr"/>
    </row>
    <row r="39">
      <c r="A39" s="65" t="n">
        <v>29</v>
      </c>
      <c r="B39" s="65" t="n">
        <v>28</v>
      </c>
      <c r="C39" s="66" t="n">
        <v>4511.95</v>
      </c>
      <c r="D39" s="66" t="n">
        <v>4621.84971</v>
      </c>
      <c r="E39" s="67">
        <f>C39-D39</f>
        <v/>
      </c>
      <c r="F39" s="65" t="inlineStr"/>
      <c r="G39" s="65" t="inlineStr"/>
      <c r="H39" s="65" t="inlineStr"/>
    </row>
    <row r="40">
      <c r="A40" s="68" t="n">
        <v>30</v>
      </c>
      <c r="B40" s="68" t="n">
        <v>29</v>
      </c>
      <c r="C40" s="69" t="n">
        <v>4517.46</v>
      </c>
      <c r="D40" s="69" t="n">
        <v>4623.06439</v>
      </c>
      <c r="E40" s="70">
        <f>C40-D40</f>
        <v/>
      </c>
      <c r="F40" s="68" t="inlineStr"/>
      <c r="G40" s="68" t="inlineStr"/>
      <c r="H40" s="68" t="inlineStr"/>
    </row>
    <row r="41">
      <c r="A41" s="65" t="n">
        <v>31</v>
      </c>
      <c r="B41" s="65" t="n">
        <v>30</v>
      </c>
      <c r="C41" s="66" t="n">
        <v>4519.02</v>
      </c>
      <c r="D41" s="66" t="n">
        <v>4624.48151</v>
      </c>
      <c r="E41" s="67">
        <f>C41-D41</f>
        <v/>
      </c>
      <c r="F41" s="65" t="inlineStr"/>
      <c r="G41" s="65" t="inlineStr"/>
      <c r="H41" s="65" t="inlineStr"/>
    </row>
    <row r="42">
      <c r="A42" s="68" t="n">
        <v>32</v>
      </c>
      <c r="B42" s="68" t="n">
        <v>31</v>
      </c>
      <c r="C42" s="69" t="n">
        <v>4518.52</v>
      </c>
      <c r="D42" s="69" t="n">
        <v>4625.29129</v>
      </c>
      <c r="E42" s="70">
        <f>C42-D42</f>
        <v/>
      </c>
      <c r="F42" s="68" t="inlineStr"/>
      <c r="G42" s="68" t="inlineStr"/>
      <c r="H42" s="68" t="inlineStr"/>
    </row>
    <row r="43">
      <c r="A43" s="65" t="n">
        <v>33</v>
      </c>
      <c r="B43" s="65" t="n">
        <v>32</v>
      </c>
      <c r="C43" s="66" t="n">
        <v>4539.17</v>
      </c>
      <c r="D43" s="66" t="n">
        <v>4627.92308</v>
      </c>
      <c r="E43" s="67">
        <f>C43-D43</f>
        <v/>
      </c>
      <c r="F43" s="65" t="inlineStr"/>
      <c r="G43" s="65" t="inlineStr"/>
      <c r="H43" s="65" t="inlineStr"/>
    </row>
    <row r="44">
      <c r="A44" s="68" t="n">
        <v>34</v>
      </c>
      <c r="B44" s="68" t="n">
        <v>33</v>
      </c>
      <c r="C44" s="69" t="n">
        <v>4531.71</v>
      </c>
      <c r="D44" s="69" t="n">
        <v>4629.3402</v>
      </c>
      <c r="E44" s="70">
        <f>C44-D44</f>
        <v/>
      </c>
      <c r="F44" s="68" t="inlineStr"/>
      <c r="G44" s="68" t="inlineStr"/>
      <c r="H44" s="68" t="inlineStr"/>
    </row>
    <row r="45">
      <c r="A45" s="65" t="n">
        <v>35</v>
      </c>
      <c r="B45" s="65" t="n">
        <v>34</v>
      </c>
      <c r="C45" s="66" t="n">
        <v>4555.5</v>
      </c>
      <c r="D45" s="66" t="n">
        <v>4633.38912</v>
      </c>
      <c r="E45" s="67">
        <f>C45-D45</f>
        <v/>
      </c>
      <c r="F45" s="65" t="inlineStr"/>
      <c r="G45" s="65" t="inlineStr"/>
      <c r="H45" s="65" t="inlineStr"/>
    </row>
    <row r="46">
      <c r="A46" s="68" t="n">
        <v>36</v>
      </c>
      <c r="B46" s="68" t="n">
        <v>35</v>
      </c>
      <c r="C46" s="69" t="n">
        <v>4543.73</v>
      </c>
      <c r="D46" s="69" t="n">
        <v>4634.40135</v>
      </c>
      <c r="E46" s="70">
        <f>C46-D46</f>
        <v/>
      </c>
      <c r="F46" s="68" t="inlineStr"/>
      <c r="G46" s="68" t="inlineStr"/>
      <c r="H46" s="68" t="inlineStr"/>
    </row>
    <row r="47">
      <c r="A47" s="65" t="n">
        <v>37</v>
      </c>
      <c r="B47" s="65" t="n">
        <v>36</v>
      </c>
      <c r="C47" s="66" t="n">
        <v>4580.89</v>
      </c>
      <c r="D47" s="66" t="n">
        <v>4637.84292</v>
      </c>
      <c r="E47" s="67">
        <f>C47-D47</f>
        <v/>
      </c>
      <c r="F47" s="65" t="inlineStr"/>
      <c r="G47" s="65" t="inlineStr"/>
      <c r="H47" s="65" t="inlineStr"/>
    </row>
    <row r="48">
      <c r="A48" s="68" t="n">
        <v>38</v>
      </c>
      <c r="B48" s="68" t="n">
        <v>37</v>
      </c>
      <c r="C48" s="69" t="n">
        <v>4560.43</v>
      </c>
      <c r="D48" s="69" t="n">
        <v>4639.86738</v>
      </c>
      <c r="E48" s="70">
        <f>C48-D48</f>
        <v/>
      </c>
      <c r="F48" s="68" t="inlineStr"/>
      <c r="G48" s="68" t="inlineStr"/>
      <c r="H48" s="68" t="inlineStr"/>
    </row>
    <row r="49">
      <c r="A49" s="65" t="n">
        <v>39</v>
      </c>
      <c r="B49" s="65" t="n">
        <v>38</v>
      </c>
      <c r="C49" s="66" t="n">
        <v>4561.04</v>
      </c>
      <c r="D49" s="66" t="n">
        <v>4640.87961</v>
      </c>
      <c r="E49" s="67">
        <f>C49-D49</f>
        <v/>
      </c>
      <c r="F49" s="65" t="inlineStr"/>
      <c r="G49" s="65" t="inlineStr"/>
      <c r="H49" s="65" t="inlineStr"/>
    </row>
    <row r="50">
      <c r="A50" s="68" t="n">
        <v>40</v>
      </c>
      <c r="B50" s="68" t="n">
        <v>39</v>
      </c>
      <c r="C50" s="69" t="n">
        <v>4550.67</v>
      </c>
      <c r="D50" s="69" t="n">
        <v>4642.70162</v>
      </c>
      <c r="E50" s="70">
        <f>C50-D50</f>
        <v/>
      </c>
      <c r="F50" s="68" t="inlineStr"/>
      <c r="G50" s="68" t="inlineStr"/>
      <c r="H50" s="68" t="inlineStr"/>
    </row>
    <row r="51">
      <c r="A51" s="65" t="n">
        <v>41</v>
      </c>
      <c r="B51" s="65" t="n">
        <v>40</v>
      </c>
      <c r="C51" s="66" t="n">
        <v>4711.97</v>
      </c>
      <c r="D51" s="66" t="n">
        <v>4653.2288</v>
      </c>
      <c r="E51" s="67">
        <f>C51-D51</f>
        <v/>
      </c>
      <c r="F51" s="65" t="inlineStr"/>
      <c r="G51" s="65" t="inlineStr"/>
      <c r="H51" s="65" t="inlineStr"/>
    </row>
    <row r="52">
      <c r="A52" s="68" t="n">
        <v>42</v>
      </c>
      <c r="B52" s="68" t="n">
        <v>41</v>
      </c>
      <c r="C52" s="69" t="n">
        <v>4683.63</v>
      </c>
      <c r="D52" s="69" t="n">
        <v>4654.84836</v>
      </c>
      <c r="E52" s="70">
        <f>C52-D52</f>
        <v/>
      </c>
      <c r="F52" s="68" t="inlineStr"/>
      <c r="G52" s="68" t="inlineStr"/>
      <c r="H52" s="68" t="inlineStr"/>
    </row>
    <row r="53">
      <c r="A53" s="65" t="n">
        <v>43</v>
      </c>
      <c r="B53" s="65" t="n">
        <v>42</v>
      </c>
      <c r="C53" s="66" t="n">
        <v>4703.14</v>
      </c>
      <c r="D53" s="66" t="n">
        <v>4656.26548</v>
      </c>
      <c r="E53" s="67">
        <f>C53-D53</f>
        <v/>
      </c>
      <c r="F53" s="65" t="inlineStr"/>
      <c r="G53" s="65" t="inlineStr"/>
      <c r="H53" s="65" t="inlineStr"/>
    </row>
    <row r="54">
      <c r="A54" s="68" t="n">
        <v>44</v>
      </c>
      <c r="B54" s="68" t="n">
        <v>43</v>
      </c>
      <c r="C54" s="69" t="n">
        <v>4680.64</v>
      </c>
      <c r="D54" s="69" t="n">
        <v>4658.49238</v>
      </c>
      <c r="E54" s="70">
        <f>C54-D54</f>
        <v/>
      </c>
      <c r="F54" s="68" t="inlineStr"/>
      <c r="G54" s="68" t="inlineStr"/>
      <c r="H54" s="68" t="inlineStr"/>
    </row>
    <row r="55">
      <c r="A55" s="65" t="n">
        <v>45</v>
      </c>
      <c r="B55" s="65" t="n">
        <v>44</v>
      </c>
      <c r="C55" s="66" t="n">
        <v>4689.09</v>
      </c>
      <c r="D55" s="66" t="n">
        <v>4660.92173</v>
      </c>
      <c r="E55" s="67">
        <f>C55-D55</f>
        <v/>
      </c>
      <c r="F55" s="65" t="inlineStr"/>
      <c r="G55" s="65" t="inlineStr"/>
      <c r="H55" s="65" t="inlineStr"/>
    </row>
    <row r="56">
      <c r="A56" s="68" t="n">
        <v>46</v>
      </c>
      <c r="B56" s="68" t="n">
        <v>45</v>
      </c>
      <c r="C56" s="69" t="n">
        <v>4690.95</v>
      </c>
      <c r="D56" s="69" t="n">
        <v>4661.12418</v>
      </c>
      <c r="E56" s="70">
        <f>C56-D56</f>
        <v/>
      </c>
      <c r="F56" s="68" t="inlineStr"/>
      <c r="G56" s="68" t="inlineStr"/>
      <c r="H56" s="68" t="inlineStr"/>
    </row>
    <row r="57">
      <c r="A57" s="65" t="n">
        <v>47</v>
      </c>
      <c r="B57" s="65" t="n">
        <v>46</v>
      </c>
      <c r="C57" s="66" t="n">
        <v>4693.6</v>
      </c>
      <c r="D57" s="66" t="n">
        <v>4662.33885</v>
      </c>
      <c r="E57" s="67">
        <f>C57-D57</f>
        <v/>
      </c>
      <c r="F57" s="65" t="inlineStr"/>
      <c r="G57" s="65" t="inlineStr"/>
      <c r="H57" s="65" t="inlineStr"/>
    </row>
    <row r="58">
      <c r="A58" s="68" t="n">
        <v>48</v>
      </c>
      <c r="B58" s="68" t="n">
        <v>47</v>
      </c>
      <c r="C58" s="69" t="n">
        <v>4692.51</v>
      </c>
      <c r="D58" s="69" t="n">
        <v>4663.14863</v>
      </c>
      <c r="E58" s="70">
        <f>C58-D58</f>
        <v/>
      </c>
      <c r="F58" s="68" t="inlineStr"/>
      <c r="G58" s="68" t="inlineStr"/>
      <c r="H58" s="68" t="inlineStr"/>
    </row>
    <row r="59">
      <c r="A59" s="65" t="n">
        <v>49</v>
      </c>
      <c r="B59" s="65" t="n">
        <v>48</v>
      </c>
      <c r="C59" s="66" t="n">
        <v>4704.24</v>
      </c>
      <c r="D59" s="66" t="n">
        <v>4664.97065</v>
      </c>
      <c r="E59" s="67">
        <f>C59-D59</f>
        <v/>
      </c>
      <c r="F59" s="65" t="inlineStr"/>
      <c r="G59" s="65" t="inlineStr"/>
      <c r="H59" s="65" t="inlineStr"/>
    </row>
    <row r="60">
      <c r="A60" s="68" t="n">
        <v>50</v>
      </c>
      <c r="B60" s="68" t="n">
        <v>49</v>
      </c>
      <c r="C60" s="69" t="n">
        <v>4696.05</v>
      </c>
      <c r="D60" s="69" t="n">
        <v>4667.19755</v>
      </c>
      <c r="E60" s="70">
        <f>C60-D60</f>
        <v/>
      </c>
      <c r="F60" s="68" t="inlineStr"/>
      <c r="G60" s="68" t="inlineStr"/>
      <c r="H60" s="68" t="inlineStr"/>
    </row>
    <row r="61">
      <c r="A61" s="65" t="n">
        <v>51</v>
      </c>
      <c r="B61" s="65" t="n">
        <v>50</v>
      </c>
      <c r="C61" s="66" t="n">
        <v>4742.66</v>
      </c>
      <c r="D61" s="66" t="n">
        <v>4669.42445</v>
      </c>
      <c r="E61" s="67">
        <f>C61-D61</f>
        <v/>
      </c>
      <c r="F61" s="65" t="inlineStr"/>
      <c r="G61" s="65" t="inlineStr"/>
      <c r="H61" s="65" t="inlineStr"/>
    </row>
    <row r="62">
      <c r="A62" s="68" t="n">
        <v>52</v>
      </c>
      <c r="B62" s="68" t="n">
        <v>51</v>
      </c>
      <c r="C62" s="69" t="n">
        <v>4734.98</v>
      </c>
      <c r="D62" s="69" t="n">
        <v>4671.04402</v>
      </c>
      <c r="E62" s="70">
        <f>C62-D62</f>
        <v/>
      </c>
      <c r="F62" s="68" t="inlineStr"/>
      <c r="G62" s="68" t="inlineStr"/>
      <c r="H62" s="68" t="inlineStr"/>
    </row>
    <row r="63">
      <c r="A63" s="65" t="n">
        <v>53</v>
      </c>
      <c r="B63" s="65" t="n">
        <v>52</v>
      </c>
      <c r="C63" s="66" t="n">
        <v>4762.74</v>
      </c>
      <c r="D63" s="66" t="n">
        <v>4674.89049</v>
      </c>
      <c r="E63" s="67">
        <f>C63-D63</f>
        <v/>
      </c>
      <c r="F63" s="65" t="inlineStr"/>
      <c r="G63" s="65" t="inlineStr"/>
      <c r="H63" s="65" t="inlineStr"/>
    </row>
    <row r="64">
      <c r="A64" s="68" t="n">
        <v>54</v>
      </c>
      <c r="B64" s="68" t="n">
        <v>53</v>
      </c>
      <c r="C64" s="69" t="n">
        <v>4708.08</v>
      </c>
      <c r="D64" s="69" t="n">
        <v>4677.52228</v>
      </c>
      <c r="E64" s="70">
        <f>C64-D64</f>
        <v/>
      </c>
      <c r="F64" s="68" t="inlineStr"/>
      <c r="G64" s="68" t="inlineStr"/>
      <c r="H64" s="68" t="inlineStr"/>
    </row>
    <row r="65">
      <c r="A65" s="65" t="n">
        <v>55</v>
      </c>
      <c r="B65" s="65" t="n">
        <v>54</v>
      </c>
      <c r="C65" s="66" t="n">
        <v>4709.69</v>
      </c>
      <c r="D65" s="66" t="n">
        <v>4678.73695</v>
      </c>
      <c r="E65" s="67">
        <f>C65-D65</f>
        <v/>
      </c>
      <c r="F65" s="65" t="inlineStr"/>
      <c r="G65" s="65" t="inlineStr"/>
      <c r="H65" s="65" t="inlineStr"/>
    </row>
    <row r="66">
      <c r="A66" s="68" t="n">
        <v>56</v>
      </c>
      <c r="B66" s="68" t="n">
        <v>55</v>
      </c>
      <c r="C66" s="69" t="n">
        <v>4691.8</v>
      </c>
      <c r="D66" s="69" t="n">
        <v>4680.76141</v>
      </c>
      <c r="E66" s="70">
        <f>C66-D66</f>
        <v/>
      </c>
      <c r="F66" s="68" t="inlineStr"/>
      <c r="G66" s="68" t="inlineStr"/>
      <c r="H66" s="68" t="inlineStr"/>
    </row>
    <row r="67">
      <c r="A67" s="65" t="n">
        <v>57</v>
      </c>
      <c r="B67" s="65" t="n">
        <v>56</v>
      </c>
      <c r="C67" s="66" t="n">
        <v>4720.44</v>
      </c>
      <c r="D67" s="66" t="n">
        <v>4684.20299</v>
      </c>
      <c r="E67" s="67">
        <f>C67-D67</f>
        <v/>
      </c>
      <c r="F67" s="65" t="inlineStr"/>
      <c r="G67" s="65" t="inlineStr"/>
      <c r="H67" s="65" t="inlineStr"/>
    </row>
    <row r="68">
      <c r="A68" s="68" t="n">
        <v>58</v>
      </c>
      <c r="B68" s="68" t="n">
        <v>57</v>
      </c>
      <c r="C68" s="69" t="n">
        <v>4711.09</v>
      </c>
      <c r="D68" s="69" t="n">
        <v>4685.41766</v>
      </c>
      <c r="E68" s="70">
        <f>C68-D68</f>
        <v/>
      </c>
      <c r="F68" s="68" t="inlineStr"/>
      <c r="G68" s="68" t="inlineStr"/>
      <c r="H68" s="68" t="inlineStr"/>
    </row>
    <row r="69">
      <c r="A69" s="65" t="n">
        <v>59</v>
      </c>
      <c r="B69" s="65" t="n">
        <v>58</v>
      </c>
      <c r="C69" s="66" t="n">
        <v>4728.52</v>
      </c>
      <c r="D69" s="66" t="n">
        <v>4686.83478</v>
      </c>
      <c r="E69" s="67">
        <f>C69-D69</f>
        <v/>
      </c>
      <c r="F69" s="65" t="inlineStr"/>
      <c r="G69" s="65" t="inlineStr"/>
      <c r="H69" s="65" t="inlineStr"/>
    </row>
    <row r="70">
      <c r="A70" s="68" t="n">
        <v>60</v>
      </c>
      <c r="B70" s="68" t="n">
        <v>59</v>
      </c>
      <c r="C70" s="69" t="n">
        <v>4716.85</v>
      </c>
      <c r="D70" s="69" t="n">
        <v>4688.45435</v>
      </c>
      <c r="E70" s="70">
        <f>C70-D70</f>
        <v/>
      </c>
      <c r="F70" s="68" t="inlineStr"/>
      <c r="G70" s="68" t="inlineStr"/>
      <c r="H70" s="68" t="inlineStr"/>
    </row>
    <row r="71">
      <c r="A71" s="65" t="n">
        <v>61</v>
      </c>
      <c r="B71" s="65" t="n">
        <v>60</v>
      </c>
      <c r="C71" s="66" t="n">
        <v>4722.05</v>
      </c>
      <c r="D71" s="66" t="n">
        <v>4690.4788</v>
      </c>
      <c r="E71" s="67">
        <f>C71-D71</f>
        <v/>
      </c>
      <c r="F71" s="65" t="inlineStr"/>
      <c r="G71" s="65" t="inlineStr"/>
      <c r="H71" s="65" t="inlineStr"/>
    </row>
    <row r="72">
      <c r="A72" s="68" t="n">
        <v>62</v>
      </c>
      <c r="B72" s="68" t="n">
        <v>61</v>
      </c>
      <c r="C72" s="69" t="n">
        <v>4710.4</v>
      </c>
      <c r="D72" s="69" t="n">
        <v>4691.49103</v>
      </c>
      <c r="E72" s="70">
        <f>C72-D72</f>
        <v/>
      </c>
      <c r="F72" s="68" t="inlineStr"/>
      <c r="G72" s="68" t="inlineStr"/>
      <c r="H72" s="68" t="inlineStr"/>
    </row>
    <row r="73">
      <c r="A73" s="65" t="n">
        <v>63</v>
      </c>
      <c r="B73" s="65" t="n">
        <v>62</v>
      </c>
      <c r="C73" s="66" t="n">
        <v>4731.78</v>
      </c>
      <c r="D73" s="66" t="n">
        <v>4692.90815</v>
      </c>
      <c r="E73" s="67">
        <f>C73-D73</f>
        <v/>
      </c>
      <c r="F73" s="65" t="inlineStr"/>
      <c r="G73" s="65" t="inlineStr"/>
      <c r="H73" s="65" t="inlineStr"/>
    </row>
    <row r="74">
      <c r="A74" s="68" t="n">
        <v>64</v>
      </c>
      <c r="B74" s="68" t="n">
        <v>63</v>
      </c>
      <c r="C74" s="69" t="n">
        <v>4717.67</v>
      </c>
      <c r="D74" s="69" t="n">
        <v>4694.73016</v>
      </c>
      <c r="E74" s="70">
        <f>C74-D74</f>
        <v/>
      </c>
      <c r="F74" s="68" t="inlineStr"/>
      <c r="G74" s="68" t="inlineStr"/>
      <c r="H74" s="68" t="inlineStr"/>
    </row>
    <row r="75">
      <c r="A75" s="65" t="n">
        <v>65</v>
      </c>
      <c r="B75" s="65" t="n">
        <v>64</v>
      </c>
      <c r="C75" s="66" t="n">
        <v>4725.3</v>
      </c>
      <c r="D75" s="66" t="n">
        <v>4697.36196</v>
      </c>
      <c r="E75" s="67">
        <f>C75-D75</f>
        <v/>
      </c>
      <c r="F75" s="65" t="inlineStr"/>
      <c r="G75" s="65" t="inlineStr"/>
      <c r="H75" s="65" t="inlineStr"/>
    </row>
    <row r="77" ht="18" customHeight="1" s="28">
      <c r="A77" s="61" t="inlineStr">
        <is>
          <t>STEP 2 — Sort Residuals &amp; Apply Shapiro-Wilk Coefficients   (k = 32 pairs;  n = 65 odd → middle term x_(33) excluded)</t>
        </is>
      </c>
    </row>
    <row r="78" ht="32" customHeight="1" s="28">
      <c r="A78" s="62" t="inlineStr">
        <is>
          <t>Pair  i</t>
        </is>
      </c>
      <c r="B78" s="62" t="inlineStr">
        <is>
          <t>aᵢ  (SW coeff.)*</t>
        </is>
      </c>
      <c r="C78" s="62" t="inlineStr">
        <is>
          <t>Upper  x_(65+1−i)</t>
        </is>
      </c>
      <c r="D78" s="62" t="inlineStr">
        <is>
          <t>Lower  x_(i)</t>
        </is>
      </c>
      <c r="E78" s="62" t="inlineStr">
        <is>
          <t>Diff  =  Upper − Lower</t>
        </is>
      </c>
      <c r="F78" s="62" t="inlineStr">
        <is>
          <t>Contribution  aᵢ × Diff</t>
        </is>
      </c>
      <c r="G78" s="62" t="inlineStr"/>
      <c r="H78" s="64" t="n"/>
    </row>
    <row r="79">
      <c r="A79" s="65" t="n">
        <v>1</v>
      </c>
      <c r="B79" s="71" t="n">
        <v>0.29730388</v>
      </c>
      <c r="C79" s="67">
        <f>LARGE(E11:E75,1)</f>
        <v/>
      </c>
      <c r="D79" s="67">
        <f>SMALL(E11:E75,1)</f>
        <v/>
      </c>
      <c r="E79" s="67">
        <f>C79-D79</f>
        <v/>
      </c>
      <c r="F79" s="67">
        <f>B79*E79</f>
        <v/>
      </c>
      <c r="G79" s="65" t="inlineStr"/>
      <c r="H79" s="65" t="inlineStr"/>
    </row>
    <row r="80">
      <c r="A80" s="68" t="n">
        <v>2</v>
      </c>
      <c r="B80" s="71" t="n">
        <v>0.24896602</v>
      </c>
      <c r="C80" s="70">
        <f>LARGE(E11:E75,2)</f>
        <v/>
      </c>
      <c r="D80" s="70">
        <f>SMALL(E11:E75,2)</f>
        <v/>
      </c>
      <c r="E80" s="70">
        <f>C80-D80</f>
        <v/>
      </c>
      <c r="F80" s="70">
        <f>B80*E80</f>
        <v/>
      </c>
      <c r="G80" s="68" t="inlineStr"/>
      <c r="H80" s="68" t="inlineStr"/>
    </row>
    <row r="81">
      <c r="A81" s="65" t="n">
        <v>3</v>
      </c>
      <c r="B81" s="71" t="n">
        <v>0.22185843</v>
      </c>
      <c r="C81" s="67">
        <f>LARGE(E11:E75,3)</f>
        <v/>
      </c>
      <c r="D81" s="67">
        <f>SMALL(E11:E75,3)</f>
        <v/>
      </c>
      <c r="E81" s="67">
        <f>C81-D81</f>
        <v/>
      </c>
      <c r="F81" s="67">
        <f>B81*E81</f>
        <v/>
      </c>
      <c r="G81" s="65" t="inlineStr"/>
      <c r="H81" s="65" t="inlineStr"/>
    </row>
    <row r="82">
      <c r="A82" s="68" t="n">
        <v>4</v>
      </c>
      <c r="B82" s="71" t="n">
        <v>0.20221056</v>
      </c>
      <c r="C82" s="70">
        <f>LARGE(E11:E75,4)</f>
        <v/>
      </c>
      <c r="D82" s="70">
        <f>SMALL(E11:E75,4)</f>
        <v/>
      </c>
      <c r="E82" s="70">
        <f>C82-D82</f>
        <v/>
      </c>
      <c r="F82" s="70">
        <f>B82*E82</f>
        <v/>
      </c>
      <c r="G82" s="68" t="inlineStr"/>
      <c r="H82" s="68" t="inlineStr"/>
    </row>
    <row r="83">
      <c r="A83" s="65" t="n">
        <v>5</v>
      </c>
      <c r="B83" s="71" t="n">
        <v>0.18647769</v>
      </c>
      <c r="C83" s="67">
        <f>LARGE(E11:E75,5)</f>
        <v/>
      </c>
      <c r="D83" s="67">
        <f>SMALL(E11:E75,5)</f>
        <v/>
      </c>
      <c r="E83" s="67">
        <f>C83-D83</f>
        <v/>
      </c>
      <c r="F83" s="67">
        <f>B83*E83</f>
        <v/>
      </c>
      <c r="G83" s="65" t="inlineStr"/>
      <c r="H83" s="65" t="inlineStr"/>
    </row>
    <row r="84">
      <c r="A84" s="68" t="n">
        <v>6</v>
      </c>
      <c r="B84" s="71" t="n">
        <v>0.17318025</v>
      </c>
      <c r="C84" s="70">
        <f>LARGE(E11:E75,6)</f>
        <v/>
      </c>
      <c r="D84" s="70">
        <f>SMALL(E11:E75,6)</f>
        <v/>
      </c>
      <c r="E84" s="70">
        <f>C84-D84</f>
        <v/>
      </c>
      <c r="F84" s="70">
        <f>B84*E84</f>
        <v/>
      </c>
      <c r="G84" s="68" t="inlineStr"/>
      <c r="H84" s="68" t="inlineStr"/>
    </row>
    <row r="85">
      <c r="A85" s="65" t="n">
        <v>7</v>
      </c>
      <c r="B85" s="71" t="n">
        <v>0.1615517</v>
      </c>
      <c r="C85" s="67">
        <f>LARGE(E11:E75,7)</f>
        <v/>
      </c>
      <c r="D85" s="67">
        <f>SMALL(E11:E75,7)</f>
        <v/>
      </c>
      <c r="E85" s="67">
        <f>C85-D85</f>
        <v/>
      </c>
      <c r="F85" s="67">
        <f>B85*E85</f>
        <v/>
      </c>
      <c r="G85" s="65" t="inlineStr"/>
      <c r="H85" s="65" t="inlineStr"/>
    </row>
    <row r="86">
      <c r="A86" s="68" t="n">
        <v>8</v>
      </c>
      <c r="B86" s="71" t="n">
        <v>0.15114081</v>
      </c>
      <c r="C86" s="70">
        <f>LARGE(E11:E75,8)</f>
        <v/>
      </c>
      <c r="D86" s="70">
        <f>SMALL(E11:E75,8)</f>
        <v/>
      </c>
      <c r="E86" s="70">
        <f>C86-D86</f>
        <v/>
      </c>
      <c r="F86" s="70">
        <f>B86*E86</f>
        <v/>
      </c>
      <c r="G86" s="68" t="inlineStr"/>
      <c r="H86" s="68" t="inlineStr"/>
    </row>
    <row r="87">
      <c r="A87" s="65" t="n">
        <v>9</v>
      </c>
      <c r="B87" s="71" t="n">
        <v>0.14165829</v>
      </c>
      <c r="C87" s="67">
        <f>LARGE(E11:E75,9)</f>
        <v/>
      </c>
      <c r="D87" s="67">
        <f>SMALL(E11:E75,9)</f>
        <v/>
      </c>
      <c r="E87" s="67">
        <f>C87-D87</f>
        <v/>
      </c>
      <c r="F87" s="67">
        <f>B87*E87</f>
        <v/>
      </c>
      <c r="G87" s="65" t="inlineStr"/>
      <c r="H87" s="65" t="inlineStr"/>
    </row>
    <row r="88">
      <c r="A88" s="68" t="n">
        <v>10</v>
      </c>
      <c r="B88" s="71" t="n">
        <v>0.13290686</v>
      </c>
      <c r="C88" s="70">
        <f>LARGE(E11:E75,10)</f>
        <v/>
      </c>
      <c r="D88" s="70">
        <f>SMALL(E11:E75,10)</f>
        <v/>
      </c>
      <c r="E88" s="70">
        <f>C88-D88</f>
        <v/>
      </c>
      <c r="F88" s="70">
        <f>B88*E88</f>
        <v/>
      </c>
      <c r="G88" s="68" t="inlineStr"/>
      <c r="H88" s="68" t="inlineStr"/>
    </row>
    <row r="89">
      <c r="A89" s="65" t="n">
        <v>11</v>
      </c>
      <c r="B89" s="71" t="n">
        <v>0.12474562</v>
      </c>
      <c r="C89" s="67">
        <f>LARGE(E11:E75,11)</f>
        <v/>
      </c>
      <c r="D89" s="67">
        <f>SMALL(E11:E75,11)</f>
        <v/>
      </c>
      <c r="E89" s="67">
        <f>C89-D89</f>
        <v/>
      </c>
      <c r="F89" s="67">
        <f>B89*E89</f>
        <v/>
      </c>
      <c r="G89" s="65" t="inlineStr"/>
      <c r="H89" s="65" t="inlineStr"/>
    </row>
    <row r="90">
      <c r="A90" s="68" t="n">
        <v>12</v>
      </c>
      <c r="B90" s="71" t="n">
        <v>0.11707011</v>
      </c>
      <c r="C90" s="70">
        <f>LARGE(E11:E75,12)</f>
        <v/>
      </c>
      <c r="D90" s="70">
        <f>SMALL(E11:E75,12)</f>
        <v/>
      </c>
      <c r="E90" s="70">
        <f>C90-D90</f>
        <v/>
      </c>
      <c r="F90" s="70">
        <f>B90*E90</f>
        <v/>
      </c>
      <c r="G90" s="68" t="inlineStr"/>
      <c r="H90" s="68" t="inlineStr"/>
    </row>
    <row r="91">
      <c r="A91" s="65" t="n">
        <v>13</v>
      </c>
      <c r="B91" s="71" t="n">
        <v>0.10980055</v>
      </c>
      <c r="C91" s="67">
        <f>LARGE(E11:E75,13)</f>
        <v/>
      </c>
      <c r="D91" s="67">
        <f>SMALL(E11:E75,13)</f>
        <v/>
      </c>
      <c r="E91" s="67">
        <f>C91-D91</f>
        <v/>
      </c>
      <c r="F91" s="67">
        <f>B91*E91</f>
        <v/>
      </c>
      <c r="G91" s="65" t="inlineStr"/>
      <c r="H91" s="65" t="inlineStr"/>
    </row>
    <row r="92">
      <c r="A92" s="68" t="n">
        <v>14</v>
      </c>
      <c r="B92" s="71" t="n">
        <v>0.10287453</v>
      </c>
      <c r="C92" s="70">
        <f>LARGE(E11:E75,14)</f>
        <v/>
      </c>
      <c r="D92" s="70">
        <f>SMALL(E11:E75,14)</f>
        <v/>
      </c>
      <c r="E92" s="70">
        <f>C92-D92</f>
        <v/>
      </c>
      <c r="F92" s="70">
        <f>B92*E92</f>
        <v/>
      </c>
      <c r="G92" s="68" t="inlineStr"/>
      <c r="H92" s="68" t="inlineStr"/>
    </row>
    <row r="93">
      <c r="A93" s="65" t="n">
        <v>15</v>
      </c>
      <c r="B93" s="71" t="n">
        <v>0.09624212</v>
      </c>
      <c r="C93" s="67">
        <f>LARGE(E11:E75,15)</f>
        <v/>
      </c>
      <c r="D93" s="67">
        <f>SMALL(E11:E75,15)</f>
        <v/>
      </c>
      <c r="E93" s="67">
        <f>C93-D93</f>
        <v/>
      </c>
      <c r="F93" s="67">
        <f>B93*E93</f>
        <v/>
      </c>
      <c r="G93" s="65" t="inlineStr"/>
      <c r="H93" s="65" t="inlineStr"/>
    </row>
    <row r="94">
      <c r="A94" s="68" t="n">
        <v>16</v>
      </c>
      <c r="B94" s="71" t="n">
        <v>0.08986271</v>
      </c>
      <c r="C94" s="70">
        <f>LARGE(E11:E75,16)</f>
        <v/>
      </c>
      <c r="D94" s="70">
        <f>SMALL(E11:E75,16)</f>
        <v/>
      </c>
      <c r="E94" s="70">
        <f>C94-D94</f>
        <v/>
      </c>
      <c r="F94" s="70">
        <f>B94*E94</f>
        <v/>
      </c>
      <c r="G94" s="68" t="inlineStr"/>
      <c r="H94" s="68" t="inlineStr"/>
    </row>
    <row r="95">
      <c r="A95" s="65" t="n">
        <v>17</v>
      </c>
      <c r="B95" s="71" t="n">
        <v>0.08370267000000001</v>
      </c>
      <c r="C95" s="67">
        <f>LARGE(E11:E75,17)</f>
        <v/>
      </c>
      <c r="D95" s="67">
        <f>SMALL(E11:E75,17)</f>
        <v/>
      </c>
      <c r="E95" s="67">
        <f>C95-D95</f>
        <v/>
      </c>
      <c r="F95" s="67">
        <f>B95*E95</f>
        <v/>
      </c>
      <c r="G95" s="65" t="inlineStr"/>
      <c r="H95" s="65" t="inlineStr"/>
    </row>
    <row r="96">
      <c r="A96" s="68" t="n">
        <v>18</v>
      </c>
      <c r="B96" s="71" t="n">
        <v>0.07773381</v>
      </c>
      <c r="C96" s="70">
        <f>LARGE(E11:E75,18)</f>
        <v/>
      </c>
      <c r="D96" s="70">
        <f>SMALL(E11:E75,18)</f>
        <v/>
      </c>
      <c r="E96" s="70">
        <f>C96-D96</f>
        <v/>
      </c>
      <c r="F96" s="70">
        <f>B96*E96</f>
        <v/>
      </c>
      <c r="G96" s="68" t="inlineStr"/>
      <c r="H96" s="68" t="inlineStr"/>
    </row>
    <row r="97">
      <c r="A97" s="65" t="n">
        <v>19</v>
      </c>
      <c r="B97" s="71" t="n">
        <v>0.07193215999999999</v>
      </c>
      <c r="C97" s="67">
        <f>LARGE(E11:E75,19)</f>
        <v/>
      </c>
      <c r="D97" s="67">
        <f>SMALL(E11:E75,19)</f>
        <v/>
      </c>
      <c r="E97" s="67">
        <f>C97-D97</f>
        <v/>
      </c>
      <c r="F97" s="67">
        <f>B97*E97</f>
        <v/>
      </c>
      <c r="G97" s="65" t="inlineStr"/>
      <c r="H97" s="65" t="inlineStr"/>
    </row>
    <row r="98">
      <c r="A98" s="68" t="n">
        <v>20</v>
      </c>
      <c r="B98" s="71" t="n">
        <v>0.06627710000000001</v>
      </c>
      <c r="C98" s="70">
        <f>LARGE(E11:E75,20)</f>
        <v/>
      </c>
      <c r="D98" s="70">
        <f>SMALL(E11:E75,20)</f>
        <v/>
      </c>
      <c r="E98" s="70">
        <f>C98-D98</f>
        <v/>
      </c>
      <c r="F98" s="70">
        <f>B98*E98</f>
        <v/>
      </c>
      <c r="G98" s="68" t="inlineStr"/>
      <c r="H98" s="68" t="inlineStr"/>
    </row>
    <row r="99">
      <c r="A99" s="65" t="n">
        <v>21</v>
      </c>
      <c r="B99" s="71" t="n">
        <v>0.06075069</v>
      </c>
      <c r="C99" s="67">
        <f>LARGE(E11:E75,21)</f>
        <v/>
      </c>
      <c r="D99" s="67">
        <f>SMALL(E11:E75,21)</f>
        <v/>
      </c>
      <c r="E99" s="67">
        <f>C99-D99</f>
        <v/>
      </c>
      <c r="F99" s="67">
        <f>B99*E99</f>
        <v/>
      </c>
      <c r="G99" s="65" t="inlineStr"/>
      <c r="H99" s="65" t="inlineStr"/>
    </row>
    <row r="100">
      <c r="A100" s="68" t="n">
        <v>22</v>
      </c>
      <c r="B100" s="71" t="n">
        <v>0.05533717</v>
      </c>
      <c r="C100" s="70">
        <f>LARGE(E11:E75,22)</f>
        <v/>
      </c>
      <c r="D100" s="70">
        <f>SMALL(E11:E75,22)</f>
        <v/>
      </c>
      <c r="E100" s="70">
        <f>C100-D100</f>
        <v/>
      </c>
      <c r="F100" s="70">
        <f>B100*E100</f>
        <v/>
      </c>
      <c r="G100" s="68" t="inlineStr"/>
      <c r="H100" s="68" t="inlineStr"/>
    </row>
    <row r="101">
      <c r="A101" s="65" t="n">
        <v>23</v>
      </c>
      <c r="B101" s="71" t="n">
        <v>0.05002253</v>
      </c>
      <c r="C101" s="67">
        <f>LARGE(E11:E75,23)</f>
        <v/>
      </c>
      <c r="D101" s="67">
        <f>SMALL(E11:E75,23)</f>
        <v/>
      </c>
      <c r="E101" s="67">
        <f>C101-D101</f>
        <v/>
      </c>
      <c r="F101" s="67">
        <f>B101*E101</f>
        <v/>
      </c>
      <c r="G101" s="65" t="inlineStr"/>
      <c r="H101" s="65" t="inlineStr"/>
    </row>
    <row r="102">
      <c r="A102" s="68" t="n">
        <v>24</v>
      </c>
      <c r="B102" s="71" t="n">
        <v>0.04479421</v>
      </c>
      <c r="C102" s="70">
        <f>LARGE(E11:E75,24)</f>
        <v/>
      </c>
      <c r="D102" s="70">
        <f>SMALL(E11:E75,24)</f>
        <v/>
      </c>
      <c r="E102" s="70">
        <f>C102-D102</f>
        <v/>
      </c>
      <c r="F102" s="70">
        <f>B102*E102</f>
        <v/>
      </c>
      <c r="G102" s="68" t="inlineStr"/>
      <c r="H102" s="68" t="inlineStr"/>
    </row>
    <row r="103">
      <c r="A103" s="65" t="n">
        <v>25</v>
      </c>
      <c r="B103" s="71" t="n">
        <v>0.03964085</v>
      </c>
      <c r="C103" s="67">
        <f>LARGE(E11:E75,25)</f>
        <v/>
      </c>
      <c r="D103" s="67">
        <f>SMALL(E11:E75,25)</f>
        <v/>
      </c>
      <c r="E103" s="67">
        <f>C103-D103</f>
        <v/>
      </c>
      <c r="F103" s="67">
        <f>B103*E103</f>
        <v/>
      </c>
      <c r="G103" s="65" t="inlineStr"/>
      <c r="H103" s="65" t="inlineStr"/>
    </row>
    <row r="104">
      <c r="A104" s="68" t="n">
        <v>26</v>
      </c>
      <c r="B104" s="71" t="n">
        <v>0.03455205</v>
      </c>
      <c r="C104" s="70">
        <f>LARGE(E11:E75,26)</f>
        <v/>
      </c>
      <c r="D104" s="70">
        <f>SMALL(E11:E75,26)</f>
        <v/>
      </c>
      <c r="E104" s="70">
        <f>C104-D104</f>
        <v/>
      </c>
      <c r="F104" s="70">
        <f>B104*E104</f>
        <v/>
      </c>
      <c r="G104" s="68" t="inlineStr"/>
      <c r="H104" s="68" t="inlineStr"/>
    </row>
    <row r="105">
      <c r="A105" s="65" t="n">
        <v>27</v>
      </c>
      <c r="B105" s="71" t="n">
        <v>0.02951822</v>
      </c>
      <c r="C105" s="67">
        <f>LARGE(E11:E75,27)</f>
        <v/>
      </c>
      <c r="D105" s="67">
        <f>SMALL(E11:E75,27)</f>
        <v/>
      </c>
      <c r="E105" s="67">
        <f>C105-D105</f>
        <v/>
      </c>
      <c r="F105" s="67">
        <f>B105*E105</f>
        <v/>
      </c>
      <c r="G105" s="65" t="inlineStr"/>
      <c r="H105" s="65" t="inlineStr"/>
    </row>
    <row r="106">
      <c r="A106" s="68" t="n">
        <v>28</v>
      </c>
      <c r="B106" s="71" t="n">
        <v>0.02453042</v>
      </c>
      <c r="C106" s="70">
        <f>LARGE(E11:E75,28)</f>
        <v/>
      </c>
      <c r="D106" s="70">
        <f>SMALL(E11:E75,28)</f>
        <v/>
      </c>
      <c r="E106" s="70">
        <f>C106-D106</f>
        <v/>
      </c>
      <c r="F106" s="70">
        <f>B106*E106</f>
        <v/>
      </c>
      <c r="G106" s="68" t="inlineStr"/>
      <c r="H106" s="68" t="inlineStr"/>
    </row>
    <row r="107">
      <c r="A107" s="65" t="n">
        <v>29</v>
      </c>
      <c r="B107" s="71" t="n">
        <v>0.01958023</v>
      </c>
      <c r="C107" s="67">
        <f>LARGE(E11:E75,29)</f>
        <v/>
      </c>
      <c r="D107" s="67">
        <f>SMALL(E11:E75,29)</f>
        <v/>
      </c>
      <c r="E107" s="67">
        <f>C107-D107</f>
        <v/>
      </c>
      <c r="F107" s="67">
        <f>B107*E107</f>
        <v/>
      </c>
      <c r="G107" s="65" t="inlineStr"/>
      <c r="H107" s="65" t="inlineStr"/>
    </row>
    <row r="108">
      <c r="A108" s="68" t="n">
        <v>30</v>
      </c>
      <c r="B108" s="71" t="n">
        <v>0.01465966</v>
      </c>
      <c r="C108" s="70">
        <f>LARGE(E11:E75,30)</f>
        <v/>
      </c>
      <c r="D108" s="70">
        <f>SMALL(E11:E75,30)</f>
        <v/>
      </c>
      <c r="E108" s="70">
        <f>C108-D108</f>
        <v/>
      </c>
      <c r="F108" s="70">
        <f>B108*E108</f>
        <v/>
      </c>
      <c r="G108" s="68" t="inlineStr"/>
      <c r="H108" s="68" t="inlineStr"/>
    </row>
    <row r="109">
      <c r="A109" s="65" t="n">
        <v>31</v>
      </c>
      <c r="B109" s="71" t="n">
        <v>0.00976103</v>
      </c>
      <c r="C109" s="67">
        <f>LARGE(E11:E75,31)</f>
        <v/>
      </c>
      <c r="D109" s="67">
        <f>SMALL(E11:E75,31)</f>
        <v/>
      </c>
      <c r="E109" s="67">
        <f>C109-D109</f>
        <v/>
      </c>
      <c r="F109" s="67">
        <f>B109*E109</f>
        <v/>
      </c>
      <c r="G109" s="65" t="inlineStr"/>
      <c r="H109" s="65" t="inlineStr"/>
    </row>
    <row r="110">
      <c r="A110" s="68" t="n">
        <v>32</v>
      </c>
      <c r="B110" s="71" t="n">
        <v>0.00487691</v>
      </c>
      <c r="C110" s="70">
        <f>LARGE(E11:E75,32)</f>
        <v/>
      </c>
      <c r="D110" s="70">
        <f>SMALL(E11:E75,32)</f>
        <v/>
      </c>
      <c r="E110" s="70">
        <f>C110-D110</f>
        <v/>
      </c>
      <c r="F110" s="70">
        <f>B110*E110</f>
        <v/>
      </c>
      <c r="G110" s="68" t="inlineStr"/>
      <c r="H110" s="68" t="inlineStr"/>
    </row>
    <row r="112" ht="18" customHeight="1" s="28">
      <c r="A112" s="61" t="inlineStr">
        <is>
          <t>STEP 3 — Compute W Statistic and Interpret</t>
        </is>
      </c>
    </row>
    <row r="113">
      <c r="A113" s="72" t="inlineStr">
        <is>
          <t>n  (sample size)</t>
        </is>
      </c>
      <c r="F113" s="73" t="n">
        <v>65</v>
      </c>
    </row>
    <row r="114">
      <c r="A114" s="72" t="inlineStr">
        <is>
          <t>k  (number of pairs)</t>
        </is>
      </c>
      <c r="F114" s="73" t="n">
        <v>32</v>
      </c>
    </row>
    <row r="115">
      <c r="A115" s="72" t="inlineStr">
        <is>
          <t>SS_total  =  Σ(eᵢ − ē)²</t>
        </is>
      </c>
      <c r="F115" s="74">
        <f>SUMPRODUCT((E11:E75-AVERAGE(E11:E75))^2)</f>
        <v/>
      </c>
    </row>
    <row r="116">
      <c r="A116" s="72" t="inlineStr">
        <is>
          <t>Numerator  =  [ Σ aᵢ · Diff ]²</t>
        </is>
      </c>
      <c r="F116" s="74">
        <f>(SUM(F79:F110))^2</f>
        <v/>
      </c>
    </row>
    <row r="117">
      <c r="A117" s="72" t="inlineStr">
        <is>
          <t>W  (approx. coefficients)</t>
        </is>
      </c>
      <c r="F117" s="75">
        <f>F116/F115</f>
        <v/>
      </c>
    </row>
    <row r="118">
      <c r="A118" s="72" t="inlineStr">
        <is>
          <t>W  (exact — Royston 1992 / scipy)</t>
        </is>
      </c>
      <c r="F118" s="75" t="n">
        <v>0.864761</v>
      </c>
    </row>
    <row r="119">
      <c r="A119" s="72" t="inlineStr">
        <is>
          <t>p-value  (scipy exact)</t>
        </is>
      </c>
      <c r="F119" s="76" t="n">
        <v>4.12e-06</v>
      </c>
    </row>
    <row r="120">
      <c r="A120" s="72" t="inlineStr">
        <is>
          <t>α  (significance level)</t>
        </is>
      </c>
      <c r="F120" s="77" t="n">
        <v>0.05</v>
      </c>
    </row>
    <row r="121" ht="22" customHeight="1" s="28">
      <c r="A121" s="78" t="inlineStr">
        <is>
          <t>DECISION:  p-value (4e-06) &lt; α (0.05)  ⟹  REJECT H₀  →  Base_FL residuals are NOT normally distributed  [W = 0.8648 | Strong evidence of non-normality]</t>
        </is>
      </c>
    </row>
    <row r="122">
      <c r="A122" s="79" t="inlineStr">
        <is>
          <t>* aᵢ approximated via normalised expected order statistics of N(0,1) [Blom 1958]. Exact Royston (1992) coefficients give W = 0.8648 (shown above). Both methods yield the same decision.</t>
        </is>
      </c>
    </row>
  </sheetData>
  <mergeCells count="30">
    <mergeCell ref="A9:H9"/>
    <mergeCell ref="F113:H113"/>
    <mergeCell ref="A114:E114"/>
    <mergeCell ref="A77:H77"/>
    <mergeCell ref="F114:H114"/>
    <mergeCell ref="B6:H6"/>
    <mergeCell ref="A1:H1"/>
    <mergeCell ref="A119:E119"/>
    <mergeCell ref="B5:H5"/>
    <mergeCell ref="F115:H115"/>
    <mergeCell ref="B4:H4"/>
    <mergeCell ref="A118:E118"/>
    <mergeCell ref="B7:H7"/>
    <mergeCell ref="B3:H3"/>
    <mergeCell ref="G78:H78"/>
    <mergeCell ref="A120:E120"/>
    <mergeCell ref="F117:H117"/>
    <mergeCell ref="F120:H120"/>
    <mergeCell ref="A113:E113"/>
    <mergeCell ref="A116:E116"/>
    <mergeCell ref="B2:H2"/>
    <mergeCell ref="F119:H119"/>
    <mergeCell ref="F116:H116"/>
    <mergeCell ref="F10:H10"/>
    <mergeCell ref="A122:H122"/>
    <mergeCell ref="F118:H118"/>
    <mergeCell ref="A121:H121"/>
    <mergeCell ref="A112:H112"/>
    <mergeCell ref="A115:E115"/>
    <mergeCell ref="A117:E1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6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" customWidth="1" style="28" min="1" max="1"/>
    <col width="10" customWidth="1" style="28" min="2" max="2"/>
    <col width="12" customWidth="1" style="28" min="3" max="3"/>
    <col width="14" customWidth="1" style="28" min="4" max="4"/>
    <col width="14" customWidth="1" style="28" min="5" max="5"/>
    <col width="16" customWidth="1" style="28" min="6" max="6"/>
    <col width="16" customWidth="1" style="28" min="7" max="7"/>
    <col width="16" customWidth="1" style="28" min="8" max="8"/>
    <col width="6" customWidth="1" style="28" min="9" max="9"/>
  </cols>
  <sheetData>
    <row r="1" ht="26" customHeight="1" s="28">
      <c r="A1" s="58" t="inlineStr">
        <is>
          <t>JARQUE-BERA NORMALITY TEST  |  MODEL B  |  n = 741  |  Residual = close − Base_FL</t>
        </is>
      </c>
    </row>
    <row r="2" ht="16" customHeight="1" s="28">
      <c r="A2" s="59" t="inlineStr">
        <is>
          <t>H₀:</t>
        </is>
      </c>
      <c r="B2" s="60" t="inlineStr">
        <is>
          <t>Residuals are normally distributed (Skewness=0 and Kurtosis=3)</t>
        </is>
      </c>
    </row>
    <row r="3" ht="16" customHeight="1" s="28">
      <c r="A3" s="59" t="inlineStr">
        <is>
          <t>PURPOSE:</t>
        </is>
      </c>
      <c r="B3" s="60" t="inlineStr">
        <is>
          <t>Combines Skewness and Excess Kurtosis into one χ²(2) statistic.  Industry standard for large-sample financial / econometric data.</t>
        </is>
      </c>
    </row>
    <row r="4" ht="16" customHeight="1" s="28">
      <c r="A4" s="59" t="inlineStr">
        <is>
          <t>RESIDUAL:</t>
        </is>
      </c>
      <c r="B4" s="60" t="inlineStr">
        <is>
          <t>eᵢ  =  closeᵢ  −  Base_FLᵢ     [Base_FL = MQL5 EDT-Centroid regression baseline, not Excel OLS]</t>
        </is>
      </c>
    </row>
    <row r="5" ht="16" customHeight="1" s="28">
      <c r="A5" s="59" t="inlineStr">
        <is>
          <t>FORMULA:</t>
        </is>
      </c>
      <c r="B5" s="60" t="inlineStr">
        <is>
          <t>JB  =  (n / 6) · [ S²  +  (K − 3)² / 4 ]</t>
        </is>
      </c>
    </row>
    <row r="6" ht="16" customHeight="1" s="28">
      <c r="A6" s="59" t="inlineStr">
        <is>
          <t>Skewness:</t>
        </is>
      </c>
      <c r="B6" s="60" t="inlineStr">
        <is>
          <t>S  =  [n⁻¹·Σ(eᵢ−ē)³] / [n⁻¹·Σ(eᵢ−ē)²]^(3/2)   — asymmetry of distribution</t>
        </is>
      </c>
    </row>
    <row r="7" ht="16" customHeight="1" s="28">
      <c r="A7" s="59" t="inlineStr">
        <is>
          <t>Kurtosis:</t>
        </is>
      </c>
      <c r="B7" s="60" t="inlineStr">
        <is>
          <t>K  =  [n⁻¹·Σ(eᵢ−ē)⁴] / [n⁻¹·Σ(eᵢ−ē)²]²   — tail-heaviness; normal has K = 3</t>
        </is>
      </c>
    </row>
    <row r="8" ht="16" customHeight="1" s="28">
      <c r="A8" s="59" t="inlineStr">
        <is>
          <t>p-value:</t>
        </is>
      </c>
      <c r="B8" s="60" t="inlineStr">
        <is>
          <t>CHIDIST(JB, 2)   [2 degrees of freedom]</t>
        </is>
      </c>
    </row>
    <row r="9" ht="16" customHeight="1" s="28">
      <c r="A9" s="59" t="inlineStr">
        <is>
          <t>DECISION:</t>
        </is>
      </c>
      <c r="B9" s="60" t="inlineStr">
        <is>
          <t>Reject H₀ if  p-value &lt; α = 0.05</t>
        </is>
      </c>
    </row>
    <row r="11" ht="18" customHeight="1" s="28">
      <c r="A11" s="61" t="inlineStr">
        <is>
          <t>STEP 1 — Residuals &amp; Moment Columns  (eᵢ = closeᵢ − Base_FLᵢ,  all 741 bars)</t>
        </is>
      </c>
    </row>
    <row r="12" ht="32" customHeight="1" s="28">
      <c r="A12" s="62" t="inlineStr">
        <is>
          <t>i</t>
        </is>
      </c>
      <c r="B12" s="62" t="inlineStr">
        <is>
          <t>Bar Index</t>
        </is>
      </c>
      <c r="C12" s="62" t="inlineStr">
        <is>
          <t>Close Price</t>
        </is>
      </c>
      <c r="D12" s="62" t="inlineStr">
        <is>
          <t>Base_FL  (MQL5)</t>
        </is>
      </c>
      <c r="E12" s="62" t="inlineStr">
        <is>
          <t>Residual  eᵢ</t>
        </is>
      </c>
      <c r="F12" s="62" t="inlineStr">
        <is>
          <t>(eᵢ−ē)²</t>
        </is>
      </c>
      <c r="G12" s="62" t="inlineStr">
        <is>
          <t>(eᵢ−ē)³</t>
        </is>
      </c>
      <c r="H12" s="62" t="inlineStr">
        <is>
          <t>(eᵢ−ē)⁴</t>
        </is>
      </c>
      <c r="I12" s="62" t="inlineStr"/>
    </row>
    <row r="13">
      <c r="A13" s="65" t="n">
        <v>1</v>
      </c>
      <c r="B13" s="65" t="n">
        <v>0</v>
      </c>
      <c r="C13" s="66" t="n">
        <v>4595.7</v>
      </c>
      <c r="D13" s="66" t="n">
        <v>4548.56437</v>
      </c>
      <c r="E13" s="67">
        <f>C13-D13</f>
        <v/>
      </c>
      <c r="F13" s="67">
        <f>(E13-F757)^2</f>
        <v/>
      </c>
      <c r="G13" s="66">
        <f>(E13-F757)^3</f>
        <v/>
      </c>
      <c r="H13" s="66">
        <f>(E13-F757)^4</f>
        <v/>
      </c>
      <c r="I13" s="65" t="inlineStr"/>
    </row>
    <row r="14">
      <c r="A14" s="68" t="n">
        <v>2</v>
      </c>
      <c r="B14" s="68" t="n">
        <v>1</v>
      </c>
      <c r="C14" s="69" t="n">
        <v>4597.28</v>
      </c>
      <c r="D14" s="69" t="n">
        <v>4548.76682</v>
      </c>
      <c r="E14" s="70">
        <f>C14-D14</f>
        <v/>
      </c>
      <c r="F14" s="70">
        <f>(E14-F757)^2</f>
        <v/>
      </c>
      <c r="G14" s="69">
        <f>(E14-F757)^3</f>
        <v/>
      </c>
      <c r="H14" s="69">
        <f>(E14-F757)^4</f>
        <v/>
      </c>
      <c r="I14" s="68" t="inlineStr"/>
    </row>
    <row r="15">
      <c r="A15" s="65" t="n">
        <v>3</v>
      </c>
      <c r="B15" s="65" t="n">
        <v>2</v>
      </c>
      <c r="C15" s="66" t="n">
        <v>4592.85</v>
      </c>
      <c r="D15" s="66" t="n">
        <v>4548.96926</v>
      </c>
      <c r="E15" s="67">
        <f>C15-D15</f>
        <v/>
      </c>
      <c r="F15" s="67">
        <f>(E15-F757)^2</f>
        <v/>
      </c>
      <c r="G15" s="66">
        <f>(E15-F757)^3</f>
        <v/>
      </c>
      <c r="H15" s="66">
        <f>(E15-F757)^4</f>
        <v/>
      </c>
      <c r="I15" s="65" t="inlineStr"/>
    </row>
    <row r="16">
      <c r="A16" s="68" t="n">
        <v>4</v>
      </c>
      <c r="B16" s="68" t="n">
        <v>3</v>
      </c>
      <c r="C16" s="69" t="n">
        <v>4593.44</v>
      </c>
      <c r="D16" s="69" t="n">
        <v>4549.17171</v>
      </c>
      <c r="E16" s="70">
        <f>C16-D16</f>
        <v/>
      </c>
      <c r="F16" s="70">
        <f>(E16-F757)^2</f>
        <v/>
      </c>
      <c r="G16" s="69">
        <f>(E16-F757)^3</f>
        <v/>
      </c>
      <c r="H16" s="69">
        <f>(E16-F757)^4</f>
        <v/>
      </c>
      <c r="I16" s="68" t="inlineStr"/>
    </row>
    <row r="17">
      <c r="A17" s="65" t="n">
        <v>5</v>
      </c>
      <c r="B17" s="65" t="n">
        <v>4</v>
      </c>
      <c r="C17" s="66" t="n">
        <v>4597.18</v>
      </c>
      <c r="D17" s="66" t="n">
        <v>4549.37415</v>
      </c>
      <c r="E17" s="67">
        <f>C17-D17</f>
        <v/>
      </c>
      <c r="F17" s="67">
        <f>(E17-F757)^2</f>
        <v/>
      </c>
      <c r="G17" s="66">
        <f>(E17-F757)^3</f>
        <v/>
      </c>
      <c r="H17" s="66">
        <f>(E17-F757)^4</f>
        <v/>
      </c>
      <c r="I17" s="65" t="inlineStr"/>
    </row>
    <row r="18">
      <c r="A18" s="68" t="n">
        <v>6</v>
      </c>
      <c r="B18" s="68" t="n">
        <v>5</v>
      </c>
      <c r="C18" s="69" t="n">
        <v>4596.42</v>
      </c>
      <c r="D18" s="69" t="n">
        <v>4549.5766</v>
      </c>
      <c r="E18" s="70">
        <f>C18-D18</f>
        <v/>
      </c>
      <c r="F18" s="70">
        <f>(E18-F757)^2</f>
        <v/>
      </c>
      <c r="G18" s="69">
        <f>(E18-F757)^3</f>
        <v/>
      </c>
      <c r="H18" s="69">
        <f>(E18-F757)^4</f>
        <v/>
      </c>
      <c r="I18" s="68" t="inlineStr"/>
    </row>
    <row r="19">
      <c r="A19" s="65" t="n">
        <v>7</v>
      </c>
      <c r="B19" s="65" t="n">
        <v>6</v>
      </c>
      <c r="C19" s="66" t="n">
        <v>4595.82</v>
      </c>
      <c r="D19" s="66" t="n">
        <v>4549.77905</v>
      </c>
      <c r="E19" s="67">
        <f>C19-D19</f>
        <v/>
      </c>
      <c r="F19" s="67">
        <f>(E19-F757)^2</f>
        <v/>
      </c>
      <c r="G19" s="66">
        <f>(E19-F757)^3</f>
        <v/>
      </c>
      <c r="H19" s="66">
        <f>(E19-F757)^4</f>
        <v/>
      </c>
      <c r="I19" s="65" t="inlineStr"/>
    </row>
    <row r="20">
      <c r="A20" s="68" t="n">
        <v>8</v>
      </c>
      <c r="B20" s="68" t="n">
        <v>7</v>
      </c>
      <c r="C20" s="69" t="n">
        <v>4593.71</v>
      </c>
      <c r="D20" s="69" t="n">
        <v>4549.98149</v>
      </c>
      <c r="E20" s="70">
        <f>C20-D20</f>
        <v/>
      </c>
      <c r="F20" s="70">
        <f>(E20-F757)^2</f>
        <v/>
      </c>
      <c r="G20" s="69">
        <f>(E20-F757)^3</f>
        <v/>
      </c>
      <c r="H20" s="69">
        <f>(E20-F757)^4</f>
        <v/>
      </c>
      <c r="I20" s="68" t="inlineStr"/>
    </row>
    <row r="21">
      <c r="A21" s="65" t="n">
        <v>9</v>
      </c>
      <c r="B21" s="65" t="n">
        <v>8</v>
      </c>
      <c r="C21" s="66" t="n">
        <v>4594.16</v>
      </c>
      <c r="D21" s="66" t="n">
        <v>4550.18394</v>
      </c>
      <c r="E21" s="67">
        <f>C21-D21</f>
        <v/>
      </c>
      <c r="F21" s="67">
        <f>(E21-F757)^2</f>
        <v/>
      </c>
      <c r="G21" s="66">
        <f>(E21-F757)^3</f>
        <v/>
      </c>
      <c r="H21" s="66">
        <f>(E21-F757)^4</f>
        <v/>
      </c>
      <c r="I21" s="65" t="inlineStr"/>
    </row>
    <row r="22">
      <c r="A22" s="68" t="n">
        <v>10</v>
      </c>
      <c r="B22" s="68" t="n">
        <v>9</v>
      </c>
      <c r="C22" s="69" t="n">
        <v>4590.84</v>
      </c>
      <c r="D22" s="69" t="n">
        <v>4550.38638</v>
      </c>
      <c r="E22" s="70">
        <f>C22-D22</f>
        <v/>
      </c>
      <c r="F22" s="70">
        <f>(E22-F757)^2</f>
        <v/>
      </c>
      <c r="G22" s="69">
        <f>(E22-F757)^3</f>
        <v/>
      </c>
      <c r="H22" s="69">
        <f>(E22-F757)^4</f>
        <v/>
      </c>
      <c r="I22" s="68" t="inlineStr"/>
    </row>
    <row r="23">
      <c r="A23" s="65" t="n">
        <v>11</v>
      </c>
      <c r="B23" s="65" t="n">
        <v>10</v>
      </c>
      <c r="C23" s="66" t="n">
        <v>4592.2</v>
      </c>
      <c r="D23" s="66" t="n">
        <v>4550.58883</v>
      </c>
      <c r="E23" s="67">
        <f>C23-D23</f>
        <v/>
      </c>
      <c r="F23" s="67">
        <f>(E23-F757)^2</f>
        <v/>
      </c>
      <c r="G23" s="66">
        <f>(E23-F757)^3</f>
        <v/>
      </c>
      <c r="H23" s="66">
        <f>(E23-F757)^4</f>
        <v/>
      </c>
      <c r="I23" s="65" t="inlineStr"/>
    </row>
    <row r="24">
      <c r="A24" s="68" t="n">
        <v>12</v>
      </c>
      <c r="B24" s="68" t="n">
        <v>11</v>
      </c>
      <c r="C24" s="69" t="n">
        <v>4589.91</v>
      </c>
      <c r="D24" s="69" t="n">
        <v>4550.79127</v>
      </c>
      <c r="E24" s="70">
        <f>C24-D24</f>
        <v/>
      </c>
      <c r="F24" s="70">
        <f>(E24-F757)^2</f>
        <v/>
      </c>
      <c r="G24" s="69">
        <f>(E24-F757)^3</f>
        <v/>
      </c>
      <c r="H24" s="69">
        <f>(E24-F757)^4</f>
        <v/>
      </c>
      <c r="I24" s="68" t="inlineStr"/>
    </row>
    <row r="25">
      <c r="A25" s="65" t="n">
        <v>13</v>
      </c>
      <c r="B25" s="65" t="n">
        <v>12</v>
      </c>
      <c r="C25" s="66" t="n">
        <v>4595.51</v>
      </c>
      <c r="D25" s="66" t="n">
        <v>4550.99372</v>
      </c>
      <c r="E25" s="67">
        <f>C25-D25</f>
        <v/>
      </c>
      <c r="F25" s="67">
        <f>(E25-F757)^2</f>
        <v/>
      </c>
      <c r="G25" s="66">
        <f>(E25-F757)^3</f>
        <v/>
      </c>
      <c r="H25" s="66">
        <f>(E25-F757)^4</f>
        <v/>
      </c>
      <c r="I25" s="65" t="inlineStr"/>
    </row>
    <row r="26">
      <c r="A26" s="68" t="n">
        <v>14</v>
      </c>
      <c r="B26" s="68" t="n">
        <v>13</v>
      </c>
      <c r="C26" s="69" t="n">
        <v>4607.37</v>
      </c>
      <c r="D26" s="69" t="n">
        <v>4551.19617</v>
      </c>
      <c r="E26" s="70">
        <f>C26-D26</f>
        <v/>
      </c>
      <c r="F26" s="70">
        <f>(E26-F757)^2</f>
        <v/>
      </c>
      <c r="G26" s="69">
        <f>(E26-F757)^3</f>
        <v/>
      </c>
      <c r="H26" s="69">
        <f>(E26-F757)^4</f>
        <v/>
      </c>
      <c r="I26" s="68" t="inlineStr"/>
    </row>
    <row r="27">
      <c r="A27" s="65" t="n">
        <v>15</v>
      </c>
      <c r="B27" s="65" t="n">
        <v>14</v>
      </c>
      <c r="C27" s="66" t="n">
        <v>4600.13</v>
      </c>
      <c r="D27" s="66" t="n">
        <v>4551.39861</v>
      </c>
      <c r="E27" s="67">
        <f>C27-D27</f>
        <v/>
      </c>
      <c r="F27" s="67">
        <f>(E27-F757)^2</f>
        <v/>
      </c>
      <c r="G27" s="66">
        <f>(E27-F757)^3</f>
        <v/>
      </c>
      <c r="H27" s="66">
        <f>(E27-F757)^4</f>
        <v/>
      </c>
      <c r="I27" s="65" t="inlineStr"/>
    </row>
    <row r="28">
      <c r="A28" s="68" t="n">
        <v>16</v>
      </c>
      <c r="B28" s="68" t="n">
        <v>15</v>
      </c>
      <c r="C28" s="69" t="n">
        <v>4603.88</v>
      </c>
      <c r="D28" s="69" t="n">
        <v>4551.60106</v>
      </c>
      <c r="E28" s="70">
        <f>C28-D28</f>
        <v/>
      </c>
      <c r="F28" s="70">
        <f>(E28-F757)^2</f>
        <v/>
      </c>
      <c r="G28" s="69">
        <f>(E28-F757)^3</f>
        <v/>
      </c>
      <c r="H28" s="69">
        <f>(E28-F757)^4</f>
        <v/>
      </c>
      <c r="I28" s="68" t="inlineStr"/>
    </row>
    <row r="29">
      <c r="A29" s="65" t="n">
        <v>17</v>
      </c>
      <c r="B29" s="65" t="n">
        <v>16</v>
      </c>
      <c r="C29" s="66" t="n">
        <v>4600.27</v>
      </c>
      <c r="D29" s="66" t="n">
        <v>4551.8035</v>
      </c>
      <c r="E29" s="67">
        <f>C29-D29</f>
        <v/>
      </c>
      <c r="F29" s="67">
        <f>(E29-F757)^2</f>
        <v/>
      </c>
      <c r="G29" s="66">
        <f>(E29-F757)^3</f>
        <v/>
      </c>
      <c r="H29" s="66">
        <f>(E29-F757)^4</f>
        <v/>
      </c>
      <c r="I29" s="65" t="inlineStr"/>
    </row>
    <row r="30">
      <c r="A30" s="68" t="n">
        <v>18</v>
      </c>
      <c r="B30" s="68" t="n">
        <v>17</v>
      </c>
      <c r="C30" s="69" t="n">
        <v>4582.65</v>
      </c>
      <c r="D30" s="69" t="n">
        <v>4552.00595</v>
      </c>
      <c r="E30" s="70">
        <f>C30-D30</f>
        <v/>
      </c>
      <c r="F30" s="70">
        <f>(E30-F757)^2</f>
        <v/>
      </c>
      <c r="G30" s="69">
        <f>(E30-F757)^3</f>
        <v/>
      </c>
      <c r="H30" s="69">
        <f>(E30-F757)^4</f>
        <v/>
      </c>
      <c r="I30" s="68" t="inlineStr"/>
    </row>
    <row r="31">
      <c r="A31" s="65" t="n">
        <v>19</v>
      </c>
      <c r="B31" s="65" t="n">
        <v>18</v>
      </c>
      <c r="C31" s="66" t="n">
        <v>4580.48</v>
      </c>
      <c r="D31" s="66" t="n">
        <v>4552.20839</v>
      </c>
      <c r="E31" s="67">
        <f>C31-D31</f>
        <v/>
      </c>
      <c r="F31" s="67">
        <f>(E31-F757)^2</f>
        <v/>
      </c>
      <c r="G31" s="66">
        <f>(E31-F757)^3</f>
        <v/>
      </c>
      <c r="H31" s="66">
        <f>(E31-F757)^4</f>
        <v/>
      </c>
      <c r="I31" s="65" t="inlineStr"/>
    </row>
    <row r="32">
      <c r="A32" s="68" t="n">
        <v>20</v>
      </c>
      <c r="B32" s="68" t="n">
        <v>19</v>
      </c>
      <c r="C32" s="69" t="n">
        <v>4590.56</v>
      </c>
      <c r="D32" s="69" t="n">
        <v>4552.41084</v>
      </c>
      <c r="E32" s="70">
        <f>C32-D32</f>
        <v/>
      </c>
      <c r="F32" s="70">
        <f>(E32-F757)^2</f>
        <v/>
      </c>
      <c r="G32" s="69">
        <f>(E32-F757)^3</f>
        <v/>
      </c>
      <c r="H32" s="69">
        <f>(E32-F757)^4</f>
        <v/>
      </c>
      <c r="I32" s="68" t="inlineStr"/>
    </row>
    <row r="33">
      <c r="A33" s="65" t="n">
        <v>21</v>
      </c>
      <c r="B33" s="65" t="n">
        <v>20</v>
      </c>
      <c r="C33" s="66" t="n">
        <v>4584.98</v>
      </c>
      <c r="D33" s="66" t="n">
        <v>4552.61328</v>
      </c>
      <c r="E33" s="67">
        <f>C33-D33</f>
        <v/>
      </c>
      <c r="F33" s="67">
        <f>(E33-F757)^2</f>
        <v/>
      </c>
      <c r="G33" s="66">
        <f>(E33-F757)^3</f>
        <v/>
      </c>
      <c r="H33" s="66">
        <f>(E33-F757)^4</f>
        <v/>
      </c>
      <c r="I33" s="65" t="inlineStr"/>
    </row>
    <row r="34">
      <c r="A34" s="68" t="n">
        <v>22</v>
      </c>
      <c r="B34" s="68" t="n">
        <v>21</v>
      </c>
      <c r="C34" s="69" t="n">
        <v>4600.87</v>
      </c>
      <c r="D34" s="69" t="n">
        <v>4552.81573</v>
      </c>
      <c r="E34" s="70">
        <f>C34-D34</f>
        <v/>
      </c>
      <c r="F34" s="70">
        <f>(E34-F757)^2</f>
        <v/>
      </c>
      <c r="G34" s="69">
        <f>(E34-F757)^3</f>
        <v/>
      </c>
      <c r="H34" s="69">
        <f>(E34-F757)^4</f>
        <v/>
      </c>
      <c r="I34" s="68" t="inlineStr"/>
    </row>
    <row r="35">
      <c r="A35" s="65" t="n">
        <v>23</v>
      </c>
      <c r="B35" s="65" t="n">
        <v>22</v>
      </c>
      <c r="C35" s="66" t="n">
        <v>4598.93</v>
      </c>
      <c r="D35" s="66" t="n">
        <v>4553.01818</v>
      </c>
      <c r="E35" s="67">
        <f>C35-D35</f>
        <v/>
      </c>
      <c r="F35" s="67">
        <f>(E35-F757)^2</f>
        <v/>
      </c>
      <c r="G35" s="66">
        <f>(E35-F757)^3</f>
        <v/>
      </c>
      <c r="H35" s="66">
        <f>(E35-F757)^4</f>
        <v/>
      </c>
      <c r="I35" s="65" t="inlineStr"/>
    </row>
    <row r="36">
      <c r="A36" s="68" t="n">
        <v>24</v>
      </c>
      <c r="B36" s="68" t="n">
        <v>23</v>
      </c>
      <c r="C36" s="69" t="n">
        <v>4596.92</v>
      </c>
      <c r="D36" s="69" t="n">
        <v>4553.22062</v>
      </c>
      <c r="E36" s="70">
        <f>C36-D36</f>
        <v/>
      </c>
      <c r="F36" s="70">
        <f>(E36-F757)^2</f>
        <v/>
      </c>
      <c r="G36" s="69">
        <f>(E36-F757)^3</f>
        <v/>
      </c>
      <c r="H36" s="69">
        <f>(E36-F757)^4</f>
        <v/>
      </c>
      <c r="I36" s="68" t="inlineStr"/>
    </row>
    <row r="37">
      <c r="A37" s="65" t="n">
        <v>25</v>
      </c>
      <c r="B37" s="65" t="n">
        <v>24</v>
      </c>
      <c r="C37" s="66" t="n">
        <v>4593.75</v>
      </c>
      <c r="D37" s="66" t="n">
        <v>4553.42307</v>
      </c>
      <c r="E37" s="67">
        <f>C37-D37</f>
        <v/>
      </c>
      <c r="F37" s="67">
        <f>(E37-F757)^2</f>
        <v/>
      </c>
      <c r="G37" s="66">
        <f>(E37-F757)^3</f>
        <v/>
      </c>
      <c r="H37" s="66">
        <f>(E37-F757)^4</f>
        <v/>
      </c>
      <c r="I37" s="65" t="inlineStr"/>
    </row>
    <row r="38">
      <c r="A38" s="68" t="n">
        <v>26</v>
      </c>
      <c r="B38" s="68" t="n">
        <v>25</v>
      </c>
      <c r="C38" s="69" t="n">
        <v>4601.89</v>
      </c>
      <c r="D38" s="69" t="n">
        <v>4553.62551</v>
      </c>
      <c r="E38" s="70">
        <f>C38-D38</f>
        <v/>
      </c>
      <c r="F38" s="70">
        <f>(E38-F757)^2</f>
        <v/>
      </c>
      <c r="G38" s="69">
        <f>(E38-F757)^3</f>
        <v/>
      </c>
      <c r="H38" s="69">
        <f>(E38-F757)^4</f>
        <v/>
      </c>
      <c r="I38" s="68" t="inlineStr"/>
    </row>
    <row r="39">
      <c r="A39" s="65" t="n">
        <v>27</v>
      </c>
      <c r="B39" s="65" t="n">
        <v>26</v>
      </c>
      <c r="C39" s="66" t="n">
        <v>4598.67</v>
      </c>
      <c r="D39" s="66" t="n">
        <v>4553.82796</v>
      </c>
      <c r="E39" s="67">
        <f>C39-D39</f>
        <v/>
      </c>
      <c r="F39" s="67">
        <f>(E39-F757)^2</f>
        <v/>
      </c>
      <c r="G39" s="66">
        <f>(E39-F757)^3</f>
        <v/>
      </c>
      <c r="H39" s="66">
        <f>(E39-F757)^4</f>
        <v/>
      </c>
      <c r="I39" s="65" t="inlineStr"/>
    </row>
    <row r="40">
      <c r="A40" s="68" t="n">
        <v>28</v>
      </c>
      <c r="B40" s="68" t="n">
        <v>27</v>
      </c>
      <c r="C40" s="69" t="n">
        <v>4593.91</v>
      </c>
      <c r="D40" s="69" t="n">
        <v>4554.0304</v>
      </c>
      <c r="E40" s="70">
        <f>C40-D40</f>
        <v/>
      </c>
      <c r="F40" s="70">
        <f>(E40-F757)^2</f>
        <v/>
      </c>
      <c r="G40" s="69">
        <f>(E40-F757)^3</f>
        <v/>
      </c>
      <c r="H40" s="69">
        <f>(E40-F757)^4</f>
        <v/>
      </c>
      <c r="I40" s="68" t="inlineStr"/>
    </row>
    <row r="41">
      <c r="A41" s="65" t="n">
        <v>29</v>
      </c>
      <c r="B41" s="65" t="n">
        <v>28</v>
      </c>
      <c r="C41" s="66" t="n">
        <v>4595.48</v>
      </c>
      <c r="D41" s="66" t="n">
        <v>4554.23285</v>
      </c>
      <c r="E41" s="67">
        <f>C41-D41</f>
        <v/>
      </c>
      <c r="F41" s="67">
        <f>(E41-F757)^2</f>
        <v/>
      </c>
      <c r="G41" s="66">
        <f>(E41-F757)^3</f>
        <v/>
      </c>
      <c r="H41" s="66">
        <f>(E41-F757)^4</f>
        <v/>
      </c>
      <c r="I41" s="65" t="inlineStr"/>
    </row>
    <row r="42">
      <c r="A42" s="68" t="n">
        <v>30</v>
      </c>
      <c r="B42" s="68" t="n">
        <v>29</v>
      </c>
      <c r="C42" s="69" t="n">
        <v>4600.68</v>
      </c>
      <c r="D42" s="69" t="n">
        <v>4554.4353</v>
      </c>
      <c r="E42" s="70">
        <f>C42-D42</f>
        <v/>
      </c>
      <c r="F42" s="70">
        <f>(E42-F757)^2</f>
        <v/>
      </c>
      <c r="G42" s="69">
        <f>(E42-F757)^3</f>
        <v/>
      </c>
      <c r="H42" s="69">
        <f>(E42-F757)^4</f>
        <v/>
      </c>
      <c r="I42" s="68" t="inlineStr"/>
    </row>
    <row r="43">
      <c r="A43" s="65" t="n">
        <v>31</v>
      </c>
      <c r="B43" s="65" t="n">
        <v>30</v>
      </c>
      <c r="C43" s="66" t="n">
        <v>4601.86</v>
      </c>
      <c r="D43" s="66" t="n">
        <v>4554.63774</v>
      </c>
      <c r="E43" s="67">
        <f>C43-D43</f>
        <v/>
      </c>
      <c r="F43" s="67">
        <f>(E43-F757)^2</f>
        <v/>
      </c>
      <c r="G43" s="66">
        <f>(E43-F757)^3</f>
        <v/>
      </c>
      <c r="H43" s="66">
        <f>(E43-F757)^4</f>
        <v/>
      </c>
      <c r="I43" s="65" t="inlineStr"/>
    </row>
    <row r="44">
      <c r="A44" s="68" t="n">
        <v>32</v>
      </c>
      <c r="B44" s="68" t="n">
        <v>31</v>
      </c>
      <c r="C44" s="69" t="n">
        <v>4602.15</v>
      </c>
      <c r="D44" s="69" t="n">
        <v>4554.84019</v>
      </c>
      <c r="E44" s="70">
        <f>C44-D44</f>
        <v/>
      </c>
      <c r="F44" s="70">
        <f>(E44-F757)^2</f>
        <v/>
      </c>
      <c r="G44" s="69">
        <f>(E44-F757)^3</f>
        <v/>
      </c>
      <c r="H44" s="69">
        <f>(E44-F757)^4</f>
        <v/>
      </c>
      <c r="I44" s="68" t="inlineStr"/>
    </row>
    <row r="45">
      <c r="A45" s="65" t="n">
        <v>33</v>
      </c>
      <c r="B45" s="65" t="n">
        <v>32</v>
      </c>
      <c r="C45" s="66" t="n">
        <v>4604.85</v>
      </c>
      <c r="D45" s="66" t="n">
        <v>4555.04263</v>
      </c>
      <c r="E45" s="67">
        <f>C45-D45</f>
        <v/>
      </c>
      <c r="F45" s="67">
        <f>(E45-F757)^2</f>
        <v/>
      </c>
      <c r="G45" s="66">
        <f>(E45-F757)^3</f>
        <v/>
      </c>
      <c r="H45" s="66">
        <f>(E45-F757)^4</f>
        <v/>
      </c>
      <c r="I45" s="65" t="inlineStr"/>
    </row>
    <row r="46">
      <c r="A46" s="68" t="n">
        <v>34</v>
      </c>
      <c r="B46" s="68" t="n">
        <v>33</v>
      </c>
      <c r="C46" s="69" t="n">
        <v>4601.15</v>
      </c>
      <c r="D46" s="69" t="n">
        <v>4555.24508</v>
      </c>
      <c r="E46" s="70">
        <f>C46-D46</f>
        <v/>
      </c>
      <c r="F46" s="70">
        <f>(E46-F757)^2</f>
        <v/>
      </c>
      <c r="G46" s="69">
        <f>(E46-F757)^3</f>
        <v/>
      </c>
      <c r="H46" s="69">
        <f>(E46-F757)^4</f>
        <v/>
      </c>
      <c r="I46" s="68" t="inlineStr"/>
    </row>
    <row r="47">
      <c r="A47" s="65" t="n">
        <v>35</v>
      </c>
      <c r="B47" s="65" t="n">
        <v>34</v>
      </c>
      <c r="C47" s="66" t="n">
        <v>4600.72</v>
      </c>
      <c r="D47" s="66" t="n">
        <v>4555.44752</v>
      </c>
      <c r="E47" s="67">
        <f>C47-D47</f>
        <v/>
      </c>
      <c r="F47" s="67">
        <f>(E47-F757)^2</f>
        <v/>
      </c>
      <c r="G47" s="66">
        <f>(E47-F757)^3</f>
        <v/>
      </c>
      <c r="H47" s="66">
        <f>(E47-F757)^4</f>
        <v/>
      </c>
      <c r="I47" s="65" t="inlineStr"/>
    </row>
    <row r="48">
      <c r="A48" s="68" t="n">
        <v>36</v>
      </c>
      <c r="B48" s="68" t="n">
        <v>35</v>
      </c>
      <c r="C48" s="69" t="n">
        <v>4599.05</v>
      </c>
      <c r="D48" s="69" t="n">
        <v>4555.64997</v>
      </c>
      <c r="E48" s="70">
        <f>C48-D48</f>
        <v/>
      </c>
      <c r="F48" s="70">
        <f>(E48-F757)^2</f>
        <v/>
      </c>
      <c r="G48" s="69">
        <f>(E48-F757)^3</f>
        <v/>
      </c>
      <c r="H48" s="69">
        <f>(E48-F757)^4</f>
        <v/>
      </c>
      <c r="I48" s="68" t="inlineStr"/>
    </row>
    <row r="49">
      <c r="A49" s="65" t="n">
        <v>37</v>
      </c>
      <c r="B49" s="65" t="n">
        <v>36</v>
      </c>
      <c r="C49" s="66" t="n">
        <v>4590.9</v>
      </c>
      <c r="D49" s="66" t="n">
        <v>4555.85242</v>
      </c>
      <c r="E49" s="67">
        <f>C49-D49</f>
        <v/>
      </c>
      <c r="F49" s="67">
        <f>(E49-F757)^2</f>
        <v/>
      </c>
      <c r="G49" s="66">
        <f>(E49-F757)^3</f>
        <v/>
      </c>
      <c r="H49" s="66">
        <f>(E49-F757)^4</f>
        <v/>
      </c>
      <c r="I49" s="65" t="inlineStr"/>
    </row>
    <row r="50">
      <c r="A50" s="68" t="n">
        <v>38</v>
      </c>
      <c r="B50" s="68" t="n">
        <v>37</v>
      </c>
      <c r="C50" s="69" t="n">
        <v>4588.73</v>
      </c>
      <c r="D50" s="69" t="n">
        <v>4556.05486</v>
      </c>
      <c r="E50" s="70">
        <f>C50-D50</f>
        <v/>
      </c>
      <c r="F50" s="70">
        <f>(E50-F757)^2</f>
        <v/>
      </c>
      <c r="G50" s="69">
        <f>(E50-F757)^3</f>
        <v/>
      </c>
      <c r="H50" s="69">
        <f>(E50-F757)^4</f>
        <v/>
      </c>
      <c r="I50" s="68" t="inlineStr"/>
    </row>
    <row r="51">
      <c r="A51" s="65" t="n">
        <v>39</v>
      </c>
      <c r="B51" s="65" t="n">
        <v>38</v>
      </c>
      <c r="C51" s="66" t="n">
        <v>4585.04</v>
      </c>
      <c r="D51" s="66" t="n">
        <v>4556.25731</v>
      </c>
      <c r="E51" s="67">
        <f>C51-D51</f>
        <v/>
      </c>
      <c r="F51" s="67">
        <f>(E51-F757)^2</f>
        <v/>
      </c>
      <c r="G51" s="66">
        <f>(E51-F757)^3</f>
        <v/>
      </c>
      <c r="H51" s="66">
        <f>(E51-F757)^4</f>
        <v/>
      </c>
      <c r="I51" s="65" t="inlineStr"/>
    </row>
    <row r="52">
      <c r="A52" s="68" t="n">
        <v>40</v>
      </c>
      <c r="B52" s="68" t="n">
        <v>39</v>
      </c>
      <c r="C52" s="69" t="n">
        <v>4585.03</v>
      </c>
      <c r="D52" s="69" t="n">
        <v>4556.45975</v>
      </c>
      <c r="E52" s="70">
        <f>C52-D52</f>
        <v/>
      </c>
      <c r="F52" s="70">
        <f>(E52-F757)^2</f>
        <v/>
      </c>
      <c r="G52" s="69">
        <f>(E52-F757)^3</f>
        <v/>
      </c>
      <c r="H52" s="69">
        <f>(E52-F757)^4</f>
        <v/>
      </c>
      <c r="I52" s="68" t="inlineStr"/>
    </row>
    <row r="53">
      <c r="A53" s="65" t="n">
        <v>41</v>
      </c>
      <c r="B53" s="65" t="n">
        <v>40</v>
      </c>
      <c r="C53" s="66" t="n">
        <v>4584.52</v>
      </c>
      <c r="D53" s="66" t="n">
        <v>4556.6622</v>
      </c>
      <c r="E53" s="67">
        <f>C53-D53</f>
        <v/>
      </c>
      <c r="F53" s="67">
        <f>(E53-F757)^2</f>
        <v/>
      </c>
      <c r="G53" s="66">
        <f>(E53-F757)^3</f>
        <v/>
      </c>
      <c r="H53" s="66">
        <f>(E53-F757)^4</f>
        <v/>
      </c>
      <c r="I53" s="65" t="inlineStr"/>
    </row>
    <row r="54">
      <c r="A54" s="68" t="n">
        <v>42</v>
      </c>
      <c r="B54" s="68" t="n">
        <v>41</v>
      </c>
      <c r="C54" s="69" t="n">
        <v>4578.72</v>
      </c>
      <c r="D54" s="69" t="n">
        <v>4556.86464</v>
      </c>
      <c r="E54" s="70">
        <f>C54-D54</f>
        <v/>
      </c>
      <c r="F54" s="70">
        <f>(E54-F757)^2</f>
        <v/>
      </c>
      <c r="G54" s="69">
        <f>(E54-F757)^3</f>
        <v/>
      </c>
      <c r="H54" s="69">
        <f>(E54-F757)^4</f>
        <v/>
      </c>
      <c r="I54" s="68" t="inlineStr"/>
    </row>
    <row r="55">
      <c r="A55" s="65" t="n">
        <v>43</v>
      </c>
      <c r="B55" s="65" t="n">
        <v>42</v>
      </c>
      <c r="C55" s="66" t="n">
        <v>4575.11</v>
      </c>
      <c r="D55" s="66" t="n">
        <v>4557.06709</v>
      </c>
      <c r="E55" s="67">
        <f>C55-D55</f>
        <v/>
      </c>
      <c r="F55" s="67">
        <f>(E55-F757)^2</f>
        <v/>
      </c>
      <c r="G55" s="66">
        <f>(E55-F757)^3</f>
        <v/>
      </c>
      <c r="H55" s="66">
        <f>(E55-F757)^4</f>
        <v/>
      </c>
      <c r="I55" s="65" t="inlineStr"/>
    </row>
    <row r="56">
      <c r="A56" s="68" t="n">
        <v>44</v>
      </c>
      <c r="B56" s="68" t="n">
        <v>43</v>
      </c>
      <c r="C56" s="69" t="n">
        <v>4570.56</v>
      </c>
      <c r="D56" s="69" t="n">
        <v>4557.26954</v>
      </c>
      <c r="E56" s="70">
        <f>C56-D56</f>
        <v/>
      </c>
      <c r="F56" s="70">
        <f>(E56-F757)^2</f>
        <v/>
      </c>
      <c r="G56" s="69">
        <f>(E56-F757)^3</f>
        <v/>
      </c>
      <c r="H56" s="69">
        <f>(E56-F757)^4</f>
        <v/>
      </c>
      <c r="I56" s="68" t="inlineStr"/>
    </row>
    <row r="57">
      <c r="A57" s="65" t="n">
        <v>45</v>
      </c>
      <c r="B57" s="65" t="n">
        <v>44</v>
      </c>
      <c r="C57" s="66" t="n">
        <v>4567.92</v>
      </c>
      <c r="D57" s="66" t="n">
        <v>4557.47198</v>
      </c>
      <c r="E57" s="67">
        <f>C57-D57</f>
        <v/>
      </c>
      <c r="F57" s="67">
        <f>(E57-F757)^2</f>
        <v/>
      </c>
      <c r="G57" s="66">
        <f>(E57-F757)^3</f>
        <v/>
      </c>
      <c r="H57" s="66">
        <f>(E57-F757)^4</f>
        <v/>
      </c>
      <c r="I57" s="65" t="inlineStr"/>
    </row>
    <row r="58">
      <c r="A58" s="68" t="n">
        <v>46</v>
      </c>
      <c r="B58" s="68" t="n">
        <v>45</v>
      </c>
      <c r="C58" s="69" t="n">
        <v>4565.44</v>
      </c>
      <c r="D58" s="69" t="n">
        <v>4557.67443</v>
      </c>
      <c r="E58" s="70">
        <f>C58-D58</f>
        <v/>
      </c>
      <c r="F58" s="70">
        <f>(E58-F757)^2</f>
        <v/>
      </c>
      <c r="G58" s="69">
        <f>(E58-F757)^3</f>
        <v/>
      </c>
      <c r="H58" s="69">
        <f>(E58-F757)^4</f>
        <v/>
      </c>
      <c r="I58" s="68" t="inlineStr"/>
    </row>
    <row r="59">
      <c r="A59" s="65" t="n">
        <v>47</v>
      </c>
      <c r="B59" s="65" t="n">
        <v>46</v>
      </c>
      <c r="C59" s="66" t="n">
        <v>4566.65</v>
      </c>
      <c r="D59" s="66" t="n">
        <v>4557.87687</v>
      </c>
      <c r="E59" s="67">
        <f>C59-D59</f>
        <v/>
      </c>
      <c r="F59" s="67">
        <f>(E59-F757)^2</f>
        <v/>
      </c>
      <c r="G59" s="66">
        <f>(E59-F757)^3</f>
        <v/>
      </c>
      <c r="H59" s="66">
        <f>(E59-F757)^4</f>
        <v/>
      </c>
      <c r="I59" s="65" t="inlineStr"/>
    </row>
    <row r="60">
      <c r="A60" s="68" t="n">
        <v>48</v>
      </c>
      <c r="B60" s="68" t="n">
        <v>47</v>
      </c>
      <c r="C60" s="69" t="n">
        <v>4568.37</v>
      </c>
      <c r="D60" s="69" t="n">
        <v>4558.07932</v>
      </c>
      <c r="E60" s="70">
        <f>C60-D60</f>
        <v/>
      </c>
      <c r="F60" s="70">
        <f>(E60-F757)^2</f>
        <v/>
      </c>
      <c r="G60" s="69">
        <f>(E60-F757)^3</f>
        <v/>
      </c>
      <c r="H60" s="69">
        <f>(E60-F757)^4</f>
        <v/>
      </c>
      <c r="I60" s="68" t="inlineStr"/>
    </row>
    <row r="61">
      <c r="A61" s="65" t="n">
        <v>49</v>
      </c>
      <c r="B61" s="65" t="n">
        <v>48</v>
      </c>
      <c r="C61" s="66" t="n">
        <v>4573.2</v>
      </c>
      <c r="D61" s="66" t="n">
        <v>4558.28176</v>
      </c>
      <c r="E61" s="67">
        <f>C61-D61</f>
        <v/>
      </c>
      <c r="F61" s="67">
        <f>(E61-F757)^2</f>
        <v/>
      </c>
      <c r="G61" s="66">
        <f>(E61-F757)^3</f>
        <v/>
      </c>
      <c r="H61" s="66">
        <f>(E61-F757)^4</f>
        <v/>
      </c>
      <c r="I61" s="65" t="inlineStr"/>
    </row>
    <row r="62">
      <c r="A62" s="68" t="n">
        <v>50</v>
      </c>
      <c r="B62" s="68" t="n">
        <v>49</v>
      </c>
      <c r="C62" s="69" t="n">
        <v>4574.2</v>
      </c>
      <c r="D62" s="69" t="n">
        <v>4558.48421</v>
      </c>
      <c r="E62" s="70">
        <f>C62-D62</f>
        <v/>
      </c>
      <c r="F62" s="70">
        <f>(E62-F757)^2</f>
        <v/>
      </c>
      <c r="G62" s="69">
        <f>(E62-F757)^3</f>
        <v/>
      </c>
      <c r="H62" s="69">
        <f>(E62-F757)^4</f>
        <v/>
      </c>
      <c r="I62" s="68" t="inlineStr"/>
    </row>
    <row r="63">
      <c r="A63" s="65" t="n">
        <v>51</v>
      </c>
      <c r="B63" s="65" t="n">
        <v>50</v>
      </c>
      <c r="C63" s="66" t="n">
        <v>4565.69</v>
      </c>
      <c r="D63" s="66" t="n">
        <v>4558.68666</v>
      </c>
      <c r="E63" s="67">
        <f>C63-D63</f>
        <v/>
      </c>
      <c r="F63" s="67">
        <f>(E63-F757)^2</f>
        <v/>
      </c>
      <c r="G63" s="66">
        <f>(E63-F757)^3</f>
        <v/>
      </c>
      <c r="H63" s="66">
        <f>(E63-F757)^4</f>
        <v/>
      </c>
      <c r="I63" s="65" t="inlineStr"/>
    </row>
    <row r="64">
      <c r="A64" s="68" t="n">
        <v>52</v>
      </c>
      <c r="B64" s="68" t="n">
        <v>51</v>
      </c>
      <c r="C64" s="69" t="n">
        <v>4558.86</v>
      </c>
      <c r="D64" s="69" t="n">
        <v>4558.8891</v>
      </c>
      <c r="E64" s="70">
        <f>C64-D64</f>
        <v/>
      </c>
      <c r="F64" s="70">
        <f>(E64-F757)^2</f>
        <v/>
      </c>
      <c r="G64" s="69">
        <f>(E64-F757)^3</f>
        <v/>
      </c>
      <c r="H64" s="69">
        <f>(E64-F757)^4</f>
        <v/>
      </c>
      <c r="I64" s="68" t="inlineStr"/>
    </row>
    <row r="65">
      <c r="A65" s="65" t="n">
        <v>53</v>
      </c>
      <c r="B65" s="65" t="n">
        <v>52</v>
      </c>
      <c r="C65" s="66" t="n">
        <v>4555.94</v>
      </c>
      <c r="D65" s="66" t="n">
        <v>4559.09155</v>
      </c>
      <c r="E65" s="67">
        <f>C65-D65</f>
        <v/>
      </c>
      <c r="F65" s="67">
        <f>(E65-F757)^2</f>
        <v/>
      </c>
      <c r="G65" s="66">
        <f>(E65-F757)^3</f>
        <v/>
      </c>
      <c r="H65" s="66">
        <f>(E65-F757)^4</f>
        <v/>
      </c>
      <c r="I65" s="65" t="inlineStr"/>
    </row>
    <row r="66">
      <c r="A66" s="68" t="n">
        <v>54</v>
      </c>
      <c r="B66" s="68" t="n">
        <v>53</v>
      </c>
      <c r="C66" s="69" t="n">
        <v>4568.04</v>
      </c>
      <c r="D66" s="69" t="n">
        <v>4559.29399</v>
      </c>
      <c r="E66" s="70">
        <f>C66-D66</f>
        <v/>
      </c>
      <c r="F66" s="70">
        <f>(E66-F757)^2</f>
        <v/>
      </c>
      <c r="G66" s="69">
        <f>(E66-F757)^3</f>
        <v/>
      </c>
      <c r="H66" s="69">
        <f>(E66-F757)^4</f>
        <v/>
      </c>
      <c r="I66" s="68" t="inlineStr"/>
    </row>
    <row r="67">
      <c r="A67" s="65" t="n">
        <v>55</v>
      </c>
      <c r="B67" s="65" t="n">
        <v>54</v>
      </c>
      <c r="C67" s="66" t="n">
        <v>4571.78</v>
      </c>
      <c r="D67" s="66" t="n">
        <v>4559.49644</v>
      </c>
      <c r="E67" s="67">
        <f>C67-D67</f>
        <v/>
      </c>
      <c r="F67" s="67">
        <f>(E67-F757)^2</f>
        <v/>
      </c>
      <c r="G67" s="66">
        <f>(E67-F757)^3</f>
        <v/>
      </c>
      <c r="H67" s="66">
        <f>(E67-F757)^4</f>
        <v/>
      </c>
      <c r="I67" s="65" t="inlineStr"/>
    </row>
    <row r="68">
      <c r="A68" s="68" t="n">
        <v>56</v>
      </c>
      <c r="B68" s="68" t="n">
        <v>55</v>
      </c>
      <c r="C68" s="69" t="n">
        <v>4566.36</v>
      </c>
      <c r="D68" s="69" t="n">
        <v>4559.69888</v>
      </c>
      <c r="E68" s="70">
        <f>C68-D68</f>
        <v/>
      </c>
      <c r="F68" s="70">
        <f>(E68-F757)^2</f>
        <v/>
      </c>
      <c r="G68" s="69">
        <f>(E68-F757)^3</f>
        <v/>
      </c>
      <c r="H68" s="69">
        <f>(E68-F757)^4</f>
        <v/>
      </c>
      <c r="I68" s="68" t="inlineStr"/>
    </row>
    <row r="69">
      <c r="A69" s="65" t="n">
        <v>57</v>
      </c>
      <c r="B69" s="65" t="n">
        <v>56</v>
      </c>
      <c r="C69" s="66" t="n">
        <v>4569.98</v>
      </c>
      <c r="D69" s="66" t="n">
        <v>4559.90133</v>
      </c>
      <c r="E69" s="67">
        <f>C69-D69</f>
        <v/>
      </c>
      <c r="F69" s="67">
        <f>(E69-F757)^2</f>
        <v/>
      </c>
      <c r="G69" s="66">
        <f>(E69-F757)^3</f>
        <v/>
      </c>
      <c r="H69" s="66">
        <f>(E69-F757)^4</f>
        <v/>
      </c>
      <c r="I69" s="65" t="inlineStr"/>
    </row>
    <row r="70">
      <c r="A70" s="68" t="n">
        <v>58</v>
      </c>
      <c r="B70" s="68" t="n">
        <v>57</v>
      </c>
      <c r="C70" s="69" t="n">
        <v>4568.02</v>
      </c>
      <c r="D70" s="69" t="n">
        <v>4560.10378</v>
      </c>
      <c r="E70" s="70">
        <f>C70-D70</f>
        <v/>
      </c>
      <c r="F70" s="70">
        <f>(E70-F757)^2</f>
        <v/>
      </c>
      <c r="G70" s="69">
        <f>(E70-F757)^3</f>
        <v/>
      </c>
      <c r="H70" s="69">
        <f>(E70-F757)^4</f>
        <v/>
      </c>
      <c r="I70" s="68" t="inlineStr"/>
    </row>
    <row r="71">
      <c r="A71" s="65" t="n">
        <v>59</v>
      </c>
      <c r="B71" s="65" t="n">
        <v>58</v>
      </c>
      <c r="C71" s="66" t="n">
        <v>4564.76</v>
      </c>
      <c r="D71" s="66" t="n">
        <v>4560.30622</v>
      </c>
      <c r="E71" s="67">
        <f>C71-D71</f>
        <v/>
      </c>
      <c r="F71" s="67">
        <f>(E71-F757)^2</f>
        <v/>
      </c>
      <c r="G71" s="66">
        <f>(E71-F757)^3</f>
        <v/>
      </c>
      <c r="H71" s="66">
        <f>(E71-F757)^4</f>
        <v/>
      </c>
      <c r="I71" s="65" t="inlineStr"/>
    </row>
    <row r="72">
      <c r="A72" s="68" t="n">
        <v>60</v>
      </c>
      <c r="B72" s="68" t="n">
        <v>59</v>
      </c>
      <c r="C72" s="69" t="n">
        <v>4567.03</v>
      </c>
      <c r="D72" s="69" t="n">
        <v>4560.50867</v>
      </c>
      <c r="E72" s="70">
        <f>C72-D72</f>
        <v/>
      </c>
      <c r="F72" s="70">
        <f>(E72-F757)^2</f>
        <v/>
      </c>
      <c r="G72" s="69">
        <f>(E72-F757)^3</f>
        <v/>
      </c>
      <c r="H72" s="69">
        <f>(E72-F757)^4</f>
        <v/>
      </c>
      <c r="I72" s="68" t="inlineStr"/>
    </row>
    <row r="73">
      <c r="A73" s="65" t="n">
        <v>61</v>
      </c>
      <c r="B73" s="65" t="n">
        <v>60</v>
      </c>
      <c r="C73" s="66" t="n">
        <v>4561.87</v>
      </c>
      <c r="D73" s="66" t="n">
        <v>4560.71111</v>
      </c>
      <c r="E73" s="67">
        <f>C73-D73</f>
        <v/>
      </c>
      <c r="F73" s="67">
        <f>(E73-F757)^2</f>
        <v/>
      </c>
      <c r="G73" s="66">
        <f>(E73-F757)^3</f>
        <v/>
      </c>
      <c r="H73" s="66">
        <f>(E73-F757)^4</f>
        <v/>
      </c>
      <c r="I73" s="65" t="inlineStr"/>
    </row>
    <row r="74">
      <c r="A74" s="68" t="n">
        <v>62</v>
      </c>
      <c r="B74" s="68" t="n">
        <v>61</v>
      </c>
      <c r="C74" s="69" t="n">
        <v>4564.41</v>
      </c>
      <c r="D74" s="69" t="n">
        <v>4560.91356</v>
      </c>
      <c r="E74" s="70">
        <f>C74-D74</f>
        <v/>
      </c>
      <c r="F74" s="70">
        <f>(E74-F757)^2</f>
        <v/>
      </c>
      <c r="G74" s="69">
        <f>(E74-F757)^3</f>
        <v/>
      </c>
      <c r="H74" s="69">
        <f>(E74-F757)^4</f>
        <v/>
      </c>
      <c r="I74" s="68" t="inlineStr"/>
    </row>
    <row r="75">
      <c r="A75" s="65" t="n">
        <v>63</v>
      </c>
      <c r="B75" s="65" t="n">
        <v>62</v>
      </c>
      <c r="C75" s="66" t="n">
        <v>4559.4</v>
      </c>
      <c r="D75" s="66" t="n">
        <v>4561.116</v>
      </c>
      <c r="E75" s="67">
        <f>C75-D75</f>
        <v/>
      </c>
      <c r="F75" s="67">
        <f>(E75-F757)^2</f>
        <v/>
      </c>
      <c r="G75" s="66">
        <f>(E75-F757)^3</f>
        <v/>
      </c>
      <c r="H75" s="66">
        <f>(E75-F757)^4</f>
        <v/>
      </c>
      <c r="I75" s="65" t="inlineStr"/>
    </row>
    <row r="76">
      <c r="A76" s="68" t="n">
        <v>64</v>
      </c>
      <c r="B76" s="68" t="n">
        <v>63</v>
      </c>
      <c r="C76" s="69" t="n">
        <v>4557.62</v>
      </c>
      <c r="D76" s="69" t="n">
        <v>4561.31845</v>
      </c>
      <c r="E76" s="70">
        <f>C76-D76</f>
        <v/>
      </c>
      <c r="F76" s="70">
        <f>(E76-F757)^2</f>
        <v/>
      </c>
      <c r="G76" s="69">
        <f>(E76-F757)^3</f>
        <v/>
      </c>
      <c r="H76" s="69">
        <f>(E76-F757)^4</f>
        <v/>
      </c>
      <c r="I76" s="68" t="inlineStr"/>
    </row>
    <row r="77">
      <c r="A77" s="65" t="n">
        <v>65</v>
      </c>
      <c r="B77" s="65" t="n">
        <v>64</v>
      </c>
      <c r="C77" s="66" t="n">
        <v>4544.9</v>
      </c>
      <c r="D77" s="66" t="n">
        <v>4561.5209</v>
      </c>
      <c r="E77" s="67">
        <f>C77-D77</f>
        <v/>
      </c>
      <c r="F77" s="67">
        <f>(E77-F757)^2</f>
        <v/>
      </c>
      <c r="G77" s="66">
        <f>(E77-F757)^3</f>
        <v/>
      </c>
      <c r="H77" s="66">
        <f>(E77-F757)^4</f>
        <v/>
      </c>
      <c r="I77" s="65" t="inlineStr"/>
    </row>
    <row r="78">
      <c r="A78" s="68" t="n">
        <v>66</v>
      </c>
      <c r="B78" s="68" t="n">
        <v>65</v>
      </c>
      <c r="C78" s="69" t="n">
        <v>4549.8</v>
      </c>
      <c r="D78" s="69" t="n">
        <v>4561.72334</v>
      </c>
      <c r="E78" s="70">
        <f>C78-D78</f>
        <v/>
      </c>
      <c r="F78" s="70">
        <f>(E78-F757)^2</f>
        <v/>
      </c>
      <c r="G78" s="69">
        <f>(E78-F757)^3</f>
        <v/>
      </c>
      <c r="H78" s="69">
        <f>(E78-F757)^4</f>
        <v/>
      </c>
      <c r="I78" s="68" t="inlineStr"/>
    </row>
    <row r="79">
      <c r="A79" s="65" t="n">
        <v>67</v>
      </c>
      <c r="B79" s="65" t="n">
        <v>66</v>
      </c>
      <c r="C79" s="66" t="n">
        <v>4537.82</v>
      </c>
      <c r="D79" s="66" t="n">
        <v>4561.92579</v>
      </c>
      <c r="E79" s="67">
        <f>C79-D79</f>
        <v/>
      </c>
      <c r="F79" s="67">
        <f>(E79-F757)^2</f>
        <v/>
      </c>
      <c r="G79" s="66">
        <f>(E79-F757)^3</f>
        <v/>
      </c>
      <c r="H79" s="66">
        <f>(E79-F757)^4</f>
        <v/>
      </c>
      <c r="I79" s="65" t="inlineStr"/>
    </row>
    <row r="80">
      <c r="A80" s="68" t="n">
        <v>68</v>
      </c>
      <c r="B80" s="68" t="n">
        <v>67</v>
      </c>
      <c r="C80" s="69" t="n">
        <v>4514.81</v>
      </c>
      <c r="D80" s="69" t="n">
        <v>4562.12823</v>
      </c>
      <c r="E80" s="70">
        <f>C80-D80</f>
        <v/>
      </c>
      <c r="F80" s="70">
        <f>(E80-F757)^2</f>
        <v/>
      </c>
      <c r="G80" s="69">
        <f>(E80-F757)^3</f>
        <v/>
      </c>
      <c r="H80" s="69">
        <f>(E80-F757)^4</f>
        <v/>
      </c>
      <c r="I80" s="68" t="inlineStr"/>
    </row>
    <row r="81">
      <c r="A81" s="65" t="n">
        <v>69</v>
      </c>
      <c r="B81" s="65" t="n">
        <v>68</v>
      </c>
      <c r="C81" s="66" t="n">
        <v>4521.71</v>
      </c>
      <c r="D81" s="66" t="n">
        <v>4562.33068</v>
      </c>
      <c r="E81" s="67">
        <f>C81-D81</f>
        <v/>
      </c>
      <c r="F81" s="67">
        <f>(E81-F757)^2</f>
        <v/>
      </c>
      <c r="G81" s="66">
        <f>(E81-F757)^3</f>
        <v/>
      </c>
      <c r="H81" s="66">
        <f>(E81-F757)^4</f>
        <v/>
      </c>
      <c r="I81" s="65" t="inlineStr"/>
    </row>
    <row r="82">
      <c r="A82" s="68" t="n">
        <v>70</v>
      </c>
      <c r="B82" s="68" t="n">
        <v>69</v>
      </c>
      <c r="C82" s="69" t="n">
        <v>4526.15</v>
      </c>
      <c r="D82" s="69" t="n">
        <v>4562.53312</v>
      </c>
      <c r="E82" s="70">
        <f>C82-D82</f>
        <v/>
      </c>
      <c r="F82" s="70">
        <f>(E82-F757)^2</f>
        <v/>
      </c>
      <c r="G82" s="69">
        <f>(E82-F757)^3</f>
        <v/>
      </c>
      <c r="H82" s="69">
        <f>(E82-F757)^4</f>
        <v/>
      </c>
      <c r="I82" s="68" t="inlineStr"/>
    </row>
    <row r="83">
      <c r="A83" s="65" t="n">
        <v>71</v>
      </c>
      <c r="B83" s="65" t="n">
        <v>70</v>
      </c>
      <c r="C83" s="66" t="n">
        <v>4533.2</v>
      </c>
      <c r="D83" s="66" t="n">
        <v>4562.73557</v>
      </c>
      <c r="E83" s="67">
        <f>C83-D83</f>
        <v/>
      </c>
      <c r="F83" s="67">
        <f>(E83-F757)^2</f>
        <v/>
      </c>
      <c r="G83" s="66">
        <f>(E83-F757)^3</f>
        <v/>
      </c>
      <c r="H83" s="66">
        <f>(E83-F757)^4</f>
        <v/>
      </c>
      <c r="I83" s="65" t="inlineStr"/>
    </row>
    <row r="84">
      <c r="A84" s="68" t="n">
        <v>72</v>
      </c>
      <c r="B84" s="68" t="n">
        <v>71</v>
      </c>
      <c r="C84" s="69" t="n">
        <v>4538.69</v>
      </c>
      <c r="D84" s="69" t="n">
        <v>4562.93802</v>
      </c>
      <c r="E84" s="70">
        <f>C84-D84</f>
        <v/>
      </c>
      <c r="F84" s="70">
        <f>(E84-F757)^2</f>
        <v/>
      </c>
      <c r="G84" s="69">
        <f>(E84-F757)^3</f>
        <v/>
      </c>
      <c r="H84" s="69">
        <f>(E84-F757)^4</f>
        <v/>
      </c>
      <c r="I84" s="68" t="inlineStr"/>
    </row>
    <row r="85">
      <c r="A85" s="65" t="n">
        <v>73</v>
      </c>
      <c r="B85" s="65" t="n">
        <v>72</v>
      </c>
      <c r="C85" s="66" t="n">
        <v>4539.25</v>
      </c>
      <c r="D85" s="66" t="n">
        <v>4563.14046</v>
      </c>
      <c r="E85" s="67">
        <f>C85-D85</f>
        <v/>
      </c>
      <c r="F85" s="67">
        <f>(E85-F757)^2</f>
        <v/>
      </c>
      <c r="G85" s="66">
        <f>(E85-F757)^3</f>
        <v/>
      </c>
      <c r="H85" s="66">
        <f>(E85-F757)^4</f>
        <v/>
      </c>
      <c r="I85" s="65" t="inlineStr"/>
    </row>
    <row r="86">
      <c r="A86" s="68" t="n">
        <v>74</v>
      </c>
      <c r="B86" s="68" t="n">
        <v>73</v>
      </c>
      <c r="C86" s="69" t="n">
        <v>4538.08</v>
      </c>
      <c r="D86" s="69" t="n">
        <v>4563.34291</v>
      </c>
      <c r="E86" s="70">
        <f>C86-D86</f>
        <v/>
      </c>
      <c r="F86" s="70">
        <f>(E86-F757)^2</f>
        <v/>
      </c>
      <c r="G86" s="69">
        <f>(E86-F757)^3</f>
        <v/>
      </c>
      <c r="H86" s="69">
        <f>(E86-F757)^4</f>
        <v/>
      </c>
      <c r="I86" s="68" t="inlineStr"/>
    </row>
    <row r="87">
      <c r="A87" s="65" t="n">
        <v>75</v>
      </c>
      <c r="B87" s="65" t="n">
        <v>74</v>
      </c>
      <c r="C87" s="66" t="n">
        <v>4543.61</v>
      </c>
      <c r="D87" s="66" t="n">
        <v>4563.54535</v>
      </c>
      <c r="E87" s="67">
        <f>C87-D87</f>
        <v/>
      </c>
      <c r="F87" s="67">
        <f>(E87-F757)^2</f>
        <v/>
      </c>
      <c r="G87" s="66">
        <f>(E87-F757)^3</f>
        <v/>
      </c>
      <c r="H87" s="66">
        <f>(E87-F757)^4</f>
        <v/>
      </c>
      <c r="I87" s="65" t="inlineStr"/>
    </row>
    <row r="88">
      <c r="A88" s="68" t="n">
        <v>76</v>
      </c>
      <c r="B88" s="68" t="n">
        <v>75</v>
      </c>
      <c r="C88" s="69" t="n">
        <v>4553.17</v>
      </c>
      <c r="D88" s="69" t="n">
        <v>4563.7478</v>
      </c>
      <c r="E88" s="70">
        <f>C88-D88</f>
        <v/>
      </c>
      <c r="F88" s="70">
        <f>(E88-F757)^2</f>
        <v/>
      </c>
      <c r="G88" s="69">
        <f>(E88-F757)^3</f>
        <v/>
      </c>
      <c r="H88" s="69">
        <f>(E88-F757)^4</f>
        <v/>
      </c>
      <c r="I88" s="68" t="inlineStr"/>
    </row>
    <row r="89">
      <c r="A89" s="65" t="n">
        <v>77</v>
      </c>
      <c r="B89" s="65" t="n">
        <v>76</v>
      </c>
      <c r="C89" s="66" t="n">
        <v>4547.48</v>
      </c>
      <c r="D89" s="66" t="n">
        <v>4563.95024</v>
      </c>
      <c r="E89" s="67">
        <f>C89-D89</f>
        <v/>
      </c>
      <c r="F89" s="67">
        <f>(E89-F757)^2</f>
        <v/>
      </c>
      <c r="G89" s="66">
        <f>(E89-F757)^3</f>
        <v/>
      </c>
      <c r="H89" s="66">
        <f>(E89-F757)^4</f>
        <v/>
      </c>
      <c r="I89" s="65" t="inlineStr"/>
    </row>
    <row r="90">
      <c r="A90" s="68" t="n">
        <v>78</v>
      </c>
      <c r="B90" s="68" t="n">
        <v>77</v>
      </c>
      <c r="C90" s="69" t="n">
        <v>4559.1</v>
      </c>
      <c r="D90" s="69" t="n">
        <v>4564.15269</v>
      </c>
      <c r="E90" s="70">
        <f>C90-D90</f>
        <v/>
      </c>
      <c r="F90" s="70">
        <f>(E90-F757)^2</f>
        <v/>
      </c>
      <c r="G90" s="69">
        <f>(E90-F757)^3</f>
        <v/>
      </c>
      <c r="H90" s="69">
        <f>(E90-F757)^4</f>
        <v/>
      </c>
      <c r="I90" s="68" t="inlineStr"/>
    </row>
    <row r="91">
      <c r="A91" s="65" t="n">
        <v>79</v>
      </c>
      <c r="B91" s="65" t="n">
        <v>78</v>
      </c>
      <c r="C91" s="66" t="n">
        <v>4560.23</v>
      </c>
      <c r="D91" s="66" t="n">
        <v>4564.35514</v>
      </c>
      <c r="E91" s="67">
        <f>C91-D91</f>
        <v/>
      </c>
      <c r="F91" s="67">
        <f>(E91-F757)^2</f>
        <v/>
      </c>
      <c r="G91" s="66">
        <f>(E91-F757)^3</f>
        <v/>
      </c>
      <c r="H91" s="66">
        <f>(E91-F757)^4</f>
        <v/>
      </c>
      <c r="I91" s="65" t="inlineStr"/>
    </row>
    <row r="92">
      <c r="A92" s="68" t="n">
        <v>80</v>
      </c>
      <c r="B92" s="68" t="n">
        <v>79</v>
      </c>
      <c r="C92" s="69" t="n">
        <v>4550.51</v>
      </c>
      <c r="D92" s="69" t="n">
        <v>4564.55758</v>
      </c>
      <c r="E92" s="70">
        <f>C92-D92</f>
        <v/>
      </c>
      <c r="F92" s="70">
        <f>(E92-F757)^2</f>
        <v/>
      </c>
      <c r="G92" s="69">
        <f>(E92-F757)^3</f>
        <v/>
      </c>
      <c r="H92" s="69">
        <f>(E92-F757)^4</f>
        <v/>
      </c>
      <c r="I92" s="68" t="inlineStr"/>
    </row>
    <row r="93">
      <c r="A93" s="65" t="n">
        <v>81</v>
      </c>
      <c r="B93" s="65" t="n">
        <v>80</v>
      </c>
      <c r="C93" s="66" t="n">
        <v>4545.36</v>
      </c>
      <c r="D93" s="66" t="n">
        <v>4564.76003</v>
      </c>
      <c r="E93" s="67">
        <f>C93-D93</f>
        <v/>
      </c>
      <c r="F93" s="67">
        <f>(E93-F757)^2</f>
        <v/>
      </c>
      <c r="G93" s="66">
        <f>(E93-F757)^3</f>
        <v/>
      </c>
      <c r="H93" s="66">
        <f>(E93-F757)^4</f>
        <v/>
      </c>
      <c r="I93" s="65" t="inlineStr"/>
    </row>
    <row r="94">
      <c r="A94" s="68" t="n">
        <v>82</v>
      </c>
      <c r="B94" s="68" t="n">
        <v>81</v>
      </c>
      <c r="C94" s="69" t="n">
        <v>4550.68</v>
      </c>
      <c r="D94" s="69" t="n">
        <v>4564.96247</v>
      </c>
      <c r="E94" s="70">
        <f>C94-D94</f>
        <v/>
      </c>
      <c r="F94" s="70">
        <f>(E94-F757)^2</f>
        <v/>
      </c>
      <c r="G94" s="69">
        <f>(E94-F757)^3</f>
        <v/>
      </c>
      <c r="H94" s="69">
        <f>(E94-F757)^4</f>
        <v/>
      </c>
      <c r="I94" s="68" t="inlineStr"/>
    </row>
    <row r="95">
      <c r="A95" s="65" t="n">
        <v>83</v>
      </c>
      <c r="B95" s="65" t="n">
        <v>82</v>
      </c>
      <c r="C95" s="66" t="n">
        <v>4547.23</v>
      </c>
      <c r="D95" s="66" t="n">
        <v>4565.16492</v>
      </c>
      <c r="E95" s="67">
        <f>C95-D95</f>
        <v/>
      </c>
      <c r="F95" s="67">
        <f>(E95-F757)^2</f>
        <v/>
      </c>
      <c r="G95" s="66">
        <f>(E95-F757)^3</f>
        <v/>
      </c>
      <c r="H95" s="66">
        <f>(E95-F757)^4</f>
        <v/>
      </c>
      <c r="I95" s="65" t="inlineStr"/>
    </row>
    <row r="96">
      <c r="A96" s="68" t="n">
        <v>84</v>
      </c>
      <c r="B96" s="68" t="n">
        <v>83</v>
      </c>
      <c r="C96" s="69" t="n">
        <v>4544.75</v>
      </c>
      <c r="D96" s="69" t="n">
        <v>4565.36736</v>
      </c>
      <c r="E96" s="70">
        <f>C96-D96</f>
        <v/>
      </c>
      <c r="F96" s="70">
        <f>(E96-F757)^2</f>
        <v/>
      </c>
      <c r="G96" s="69">
        <f>(E96-F757)^3</f>
        <v/>
      </c>
      <c r="H96" s="69">
        <f>(E96-F757)^4</f>
        <v/>
      </c>
      <c r="I96" s="68" t="inlineStr"/>
    </row>
    <row r="97">
      <c r="A97" s="65" t="n">
        <v>85</v>
      </c>
      <c r="B97" s="65" t="n">
        <v>84</v>
      </c>
      <c r="C97" s="66" t="n">
        <v>4547.33</v>
      </c>
      <c r="D97" s="66" t="n">
        <v>4565.56981</v>
      </c>
      <c r="E97" s="67">
        <f>C97-D97</f>
        <v/>
      </c>
      <c r="F97" s="67">
        <f>(E97-F757)^2</f>
        <v/>
      </c>
      <c r="G97" s="66">
        <f>(E97-F757)^3</f>
        <v/>
      </c>
      <c r="H97" s="66">
        <f>(E97-F757)^4</f>
        <v/>
      </c>
      <c r="I97" s="65" t="inlineStr"/>
    </row>
    <row r="98">
      <c r="A98" s="68" t="n">
        <v>86</v>
      </c>
      <c r="B98" s="68" t="n">
        <v>85</v>
      </c>
      <c r="C98" s="69" t="n">
        <v>4525.75</v>
      </c>
      <c r="D98" s="69" t="n">
        <v>4565.77226</v>
      </c>
      <c r="E98" s="70">
        <f>C98-D98</f>
        <v/>
      </c>
      <c r="F98" s="70">
        <f>(E98-F757)^2</f>
        <v/>
      </c>
      <c r="G98" s="69">
        <f>(E98-F757)^3</f>
        <v/>
      </c>
      <c r="H98" s="69">
        <f>(E98-F757)^4</f>
        <v/>
      </c>
      <c r="I98" s="68" t="inlineStr"/>
    </row>
    <row r="99">
      <c r="A99" s="65" t="n">
        <v>87</v>
      </c>
      <c r="B99" s="65" t="n">
        <v>86</v>
      </c>
      <c r="C99" s="66" t="n">
        <v>4532.95</v>
      </c>
      <c r="D99" s="66" t="n">
        <v>4565.9747</v>
      </c>
      <c r="E99" s="67">
        <f>C99-D99</f>
        <v/>
      </c>
      <c r="F99" s="67">
        <f>(E99-F757)^2</f>
        <v/>
      </c>
      <c r="G99" s="66">
        <f>(E99-F757)^3</f>
        <v/>
      </c>
      <c r="H99" s="66">
        <f>(E99-F757)^4</f>
        <v/>
      </c>
      <c r="I99" s="65" t="inlineStr"/>
    </row>
    <row r="100">
      <c r="A100" s="68" t="n">
        <v>88</v>
      </c>
      <c r="B100" s="68" t="n">
        <v>87</v>
      </c>
      <c r="C100" s="69" t="n">
        <v>4520.81</v>
      </c>
      <c r="D100" s="69" t="n">
        <v>4566.17715</v>
      </c>
      <c r="E100" s="70">
        <f>C100-D100</f>
        <v/>
      </c>
      <c r="F100" s="70">
        <f>(E100-F757)^2</f>
        <v/>
      </c>
      <c r="G100" s="69">
        <f>(E100-F757)^3</f>
        <v/>
      </c>
      <c r="H100" s="69">
        <f>(E100-F757)^4</f>
        <v/>
      </c>
      <c r="I100" s="68" t="inlineStr"/>
    </row>
    <row r="101">
      <c r="A101" s="65" t="n">
        <v>89</v>
      </c>
      <c r="B101" s="65" t="n">
        <v>88</v>
      </c>
      <c r="C101" s="66" t="n">
        <v>4538.19</v>
      </c>
      <c r="D101" s="66" t="n">
        <v>4566.37959</v>
      </c>
      <c r="E101" s="67">
        <f>C101-D101</f>
        <v/>
      </c>
      <c r="F101" s="67">
        <f>(E101-F757)^2</f>
        <v/>
      </c>
      <c r="G101" s="66">
        <f>(E101-F757)^3</f>
        <v/>
      </c>
      <c r="H101" s="66">
        <f>(E101-F757)^4</f>
        <v/>
      </c>
      <c r="I101" s="65" t="inlineStr"/>
    </row>
    <row r="102">
      <c r="A102" s="68" t="n">
        <v>90</v>
      </c>
      <c r="B102" s="68" t="n">
        <v>89</v>
      </c>
      <c r="C102" s="69" t="n">
        <v>4547.72</v>
      </c>
      <c r="D102" s="69" t="n">
        <v>4566.58204</v>
      </c>
      <c r="E102" s="70">
        <f>C102-D102</f>
        <v/>
      </c>
      <c r="F102" s="70">
        <f>(E102-F757)^2</f>
        <v/>
      </c>
      <c r="G102" s="69">
        <f>(E102-F757)^3</f>
        <v/>
      </c>
      <c r="H102" s="69">
        <f>(E102-F757)^4</f>
        <v/>
      </c>
      <c r="I102" s="68" t="inlineStr"/>
    </row>
    <row r="103">
      <c r="A103" s="65" t="n">
        <v>91</v>
      </c>
      <c r="B103" s="65" t="n">
        <v>90</v>
      </c>
      <c r="C103" s="66" t="n">
        <v>4542.84</v>
      </c>
      <c r="D103" s="66" t="n">
        <v>4566.78448</v>
      </c>
      <c r="E103" s="67">
        <f>C103-D103</f>
        <v/>
      </c>
      <c r="F103" s="67">
        <f>(E103-F757)^2</f>
        <v/>
      </c>
      <c r="G103" s="66">
        <f>(E103-F757)^3</f>
        <v/>
      </c>
      <c r="H103" s="66">
        <f>(E103-F757)^4</f>
        <v/>
      </c>
      <c r="I103" s="65" t="inlineStr"/>
    </row>
    <row r="104">
      <c r="A104" s="68" t="n">
        <v>92</v>
      </c>
      <c r="B104" s="68" t="n">
        <v>91</v>
      </c>
      <c r="C104" s="69" t="n">
        <v>4539.61</v>
      </c>
      <c r="D104" s="69" t="n">
        <v>4566.98693</v>
      </c>
      <c r="E104" s="70">
        <f>C104-D104</f>
        <v/>
      </c>
      <c r="F104" s="70">
        <f>(E104-F757)^2</f>
        <v/>
      </c>
      <c r="G104" s="69">
        <f>(E104-F757)^3</f>
        <v/>
      </c>
      <c r="H104" s="69">
        <f>(E104-F757)^4</f>
        <v/>
      </c>
      <c r="I104" s="68" t="inlineStr"/>
    </row>
    <row r="105">
      <c r="A105" s="65" t="n">
        <v>93</v>
      </c>
      <c r="B105" s="65" t="n">
        <v>92</v>
      </c>
      <c r="C105" s="66" t="n">
        <v>4547.05</v>
      </c>
      <c r="D105" s="66" t="n">
        <v>4567.18938</v>
      </c>
      <c r="E105" s="67">
        <f>C105-D105</f>
        <v/>
      </c>
      <c r="F105" s="67">
        <f>(E105-F757)^2</f>
        <v/>
      </c>
      <c r="G105" s="66">
        <f>(E105-F757)^3</f>
        <v/>
      </c>
      <c r="H105" s="66">
        <f>(E105-F757)^4</f>
        <v/>
      </c>
      <c r="I105" s="65" t="inlineStr"/>
    </row>
    <row r="106">
      <c r="A106" s="68" t="n">
        <v>94</v>
      </c>
      <c r="B106" s="68" t="n">
        <v>93</v>
      </c>
      <c r="C106" s="69" t="n">
        <v>4546.25</v>
      </c>
      <c r="D106" s="69" t="n">
        <v>4567.39182</v>
      </c>
      <c r="E106" s="70">
        <f>C106-D106</f>
        <v/>
      </c>
      <c r="F106" s="70">
        <f>(E106-F757)^2</f>
        <v/>
      </c>
      <c r="G106" s="69">
        <f>(E106-F757)^3</f>
        <v/>
      </c>
      <c r="H106" s="69">
        <f>(E106-F757)^4</f>
        <v/>
      </c>
      <c r="I106" s="68" t="inlineStr"/>
    </row>
    <row r="107">
      <c r="A107" s="65" t="n">
        <v>95</v>
      </c>
      <c r="B107" s="65" t="n">
        <v>94</v>
      </c>
      <c r="C107" s="66" t="n">
        <v>4543.25</v>
      </c>
      <c r="D107" s="66" t="n">
        <v>4567.59427</v>
      </c>
      <c r="E107" s="67">
        <f>C107-D107</f>
        <v/>
      </c>
      <c r="F107" s="67">
        <f>(E107-F757)^2</f>
        <v/>
      </c>
      <c r="G107" s="66">
        <f>(E107-F757)^3</f>
        <v/>
      </c>
      <c r="H107" s="66">
        <f>(E107-F757)^4</f>
        <v/>
      </c>
      <c r="I107" s="65" t="inlineStr"/>
    </row>
    <row r="108">
      <c r="A108" s="68" t="n">
        <v>96</v>
      </c>
      <c r="B108" s="68" t="n">
        <v>95</v>
      </c>
      <c r="C108" s="69" t="n">
        <v>4543.79</v>
      </c>
      <c r="D108" s="69" t="n">
        <v>4567.79671</v>
      </c>
      <c r="E108" s="70">
        <f>C108-D108</f>
        <v/>
      </c>
      <c r="F108" s="70">
        <f>(E108-F757)^2</f>
        <v/>
      </c>
      <c r="G108" s="69">
        <f>(E108-F757)^3</f>
        <v/>
      </c>
      <c r="H108" s="69">
        <f>(E108-F757)^4</f>
        <v/>
      </c>
      <c r="I108" s="68" t="inlineStr"/>
    </row>
    <row r="109">
      <c r="A109" s="65" t="n">
        <v>97</v>
      </c>
      <c r="B109" s="65" t="n">
        <v>96</v>
      </c>
      <c r="C109" s="66" t="n">
        <v>4543.57</v>
      </c>
      <c r="D109" s="66" t="n">
        <v>4567.99916</v>
      </c>
      <c r="E109" s="67">
        <f>C109-D109</f>
        <v/>
      </c>
      <c r="F109" s="67">
        <f>(E109-F757)^2</f>
        <v/>
      </c>
      <c r="G109" s="66">
        <f>(E109-F757)^3</f>
        <v/>
      </c>
      <c r="H109" s="66">
        <f>(E109-F757)^4</f>
        <v/>
      </c>
      <c r="I109" s="65" t="inlineStr"/>
    </row>
    <row r="110">
      <c r="A110" s="68" t="n">
        <v>98</v>
      </c>
      <c r="B110" s="68" t="n">
        <v>97</v>
      </c>
      <c r="C110" s="69" t="n">
        <v>4546.4</v>
      </c>
      <c r="D110" s="69" t="n">
        <v>4568.2016</v>
      </c>
      <c r="E110" s="70">
        <f>C110-D110</f>
        <v/>
      </c>
      <c r="F110" s="70">
        <f>(E110-F757)^2</f>
        <v/>
      </c>
      <c r="G110" s="69">
        <f>(E110-F757)^3</f>
        <v/>
      </c>
      <c r="H110" s="69">
        <f>(E110-F757)^4</f>
        <v/>
      </c>
      <c r="I110" s="68" t="inlineStr"/>
    </row>
    <row r="111">
      <c r="A111" s="65" t="n">
        <v>99</v>
      </c>
      <c r="B111" s="65" t="n">
        <v>98</v>
      </c>
      <c r="C111" s="66" t="n">
        <v>4549.14</v>
      </c>
      <c r="D111" s="66" t="n">
        <v>4568.40405</v>
      </c>
      <c r="E111" s="67">
        <f>C111-D111</f>
        <v/>
      </c>
      <c r="F111" s="67">
        <f>(E111-F757)^2</f>
        <v/>
      </c>
      <c r="G111" s="66">
        <f>(E111-F757)^3</f>
        <v/>
      </c>
      <c r="H111" s="66">
        <f>(E111-F757)^4</f>
        <v/>
      </c>
      <c r="I111" s="65" t="inlineStr"/>
    </row>
    <row r="112">
      <c r="A112" s="68" t="n">
        <v>100</v>
      </c>
      <c r="B112" s="68" t="n">
        <v>99</v>
      </c>
      <c r="C112" s="69" t="n">
        <v>4548.51</v>
      </c>
      <c r="D112" s="69" t="n">
        <v>4568.60649</v>
      </c>
      <c r="E112" s="70">
        <f>C112-D112</f>
        <v/>
      </c>
      <c r="F112" s="70">
        <f>(E112-F757)^2</f>
        <v/>
      </c>
      <c r="G112" s="69">
        <f>(E112-F757)^3</f>
        <v/>
      </c>
      <c r="H112" s="69">
        <f>(E112-F757)^4</f>
        <v/>
      </c>
      <c r="I112" s="68" t="inlineStr"/>
    </row>
    <row r="113">
      <c r="A113" s="65" t="n">
        <v>101</v>
      </c>
      <c r="B113" s="65" t="n">
        <v>100</v>
      </c>
      <c r="C113" s="66" t="n">
        <v>4552.08</v>
      </c>
      <c r="D113" s="66" t="n">
        <v>4568.80894</v>
      </c>
      <c r="E113" s="67">
        <f>C113-D113</f>
        <v/>
      </c>
      <c r="F113" s="67">
        <f>(E113-F757)^2</f>
        <v/>
      </c>
      <c r="G113" s="66">
        <f>(E113-F757)^3</f>
        <v/>
      </c>
      <c r="H113" s="66">
        <f>(E113-F757)^4</f>
        <v/>
      </c>
      <c r="I113" s="65" t="inlineStr"/>
    </row>
    <row r="114">
      <c r="A114" s="68" t="n">
        <v>102</v>
      </c>
      <c r="B114" s="68" t="n">
        <v>101</v>
      </c>
      <c r="C114" s="69" t="n">
        <v>4553.33</v>
      </c>
      <c r="D114" s="69" t="n">
        <v>4569.01139</v>
      </c>
      <c r="E114" s="70">
        <f>C114-D114</f>
        <v/>
      </c>
      <c r="F114" s="70">
        <f>(E114-F757)^2</f>
        <v/>
      </c>
      <c r="G114" s="69">
        <f>(E114-F757)^3</f>
        <v/>
      </c>
      <c r="H114" s="69">
        <f>(E114-F757)^4</f>
        <v/>
      </c>
      <c r="I114" s="68" t="inlineStr"/>
    </row>
    <row r="115">
      <c r="A115" s="65" t="n">
        <v>103</v>
      </c>
      <c r="B115" s="65" t="n">
        <v>102</v>
      </c>
      <c r="C115" s="66" t="n">
        <v>4551.63</v>
      </c>
      <c r="D115" s="66" t="n">
        <v>4569.21383</v>
      </c>
      <c r="E115" s="67">
        <f>C115-D115</f>
        <v/>
      </c>
      <c r="F115" s="67">
        <f>(E115-F757)^2</f>
        <v/>
      </c>
      <c r="G115" s="66">
        <f>(E115-F757)^3</f>
        <v/>
      </c>
      <c r="H115" s="66">
        <f>(E115-F757)^4</f>
        <v/>
      </c>
      <c r="I115" s="65" t="inlineStr"/>
    </row>
    <row r="116">
      <c r="A116" s="68" t="n">
        <v>104</v>
      </c>
      <c r="B116" s="68" t="n">
        <v>103</v>
      </c>
      <c r="C116" s="69" t="n">
        <v>4554.44</v>
      </c>
      <c r="D116" s="69" t="n">
        <v>4569.41628</v>
      </c>
      <c r="E116" s="70">
        <f>C116-D116</f>
        <v/>
      </c>
      <c r="F116" s="70">
        <f>(E116-F757)^2</f>
        <v/>
      </c>
      <c r="G116" s="69">
        <f>(E116-F757)^3</f>
        <v/>
      </c>
      <c r="H116" s="69">
        <f>(E116-F757)^4</f>
        <v/>
      </c>
      <c r="I116" s="68" t="inlineStr"/>
    </row>
    <row r="117">
      <c r="A117" s="65" t="n">
        <v>105</v>
      </c>
      <c r="B117" s="65" t="n">
        <v>104</v>
      </c>
      <c r="C117" s="66" t="n">
        <v>4561.66</v>
      </c>
      <c r="D117" s="66" t="n">
        <v>4569.61872</v>
      </c>
      <c r="E117" s="67">
        <f>C117-D117</f>
        <v/>
      </c>
      <c r="F117" s="67">
        <f>(E117-F757)^2</f>
        <v/>
      </c>
      <c r="G117" s="66">
        <f>(E117-F757)^3</f>
        <v/>
      </c>
      <c r="H117" s="66">
        <f>(E117-F757)^4</f>
        <v/>
      </c>
      <c r="I117" s="65" t="inlineStr"/>
    </row>
    <row r="118">
      <c r="A118" s="68" t="n">
        <v>106</v>
      </c>
      <c r="B118" s="68" t="n">
        <v>105</v>
      </c>
      <c r="C118" s="69" t="n">
        <v>4557.93</v>
      </c>
      <c r="D118" s="69" t="n">
        <v>4569.82117</v>
      </c>
      <c r="E118" s="70">
        <f>C118-D118</f>
        <v/>
      </c>
      <c r="F118" s="70">
        <f>(E118-F757)^2</f>
        <v/>
      </c>
      <c r="G118" s="69">
        <f>(E118-F757)^3</f>
        <v/>
      </c>
      <c r="H118" s="69">
        <f>(E118-F757)^4</f>
        <v/>
      </c>
      <c r="I118" s="68" t="inlineStr"/>
    </row>
    <row r="119">
      <c r="A119" s="65" t="n">
        <v>107</v>
      </c>
      <c r="B119" s="65" t="n">
        <v>106</v>
      </c>
      <c r="C119" s="66" t="n">
        <v>4563.57</v>
      </c>
      <c r="D119" s="66" t="n">
        <v>4570.02361</v>
      </c>
      <c r="E119" s="67">
        <f>C119-D119</f>
        <v/>
      </c>
      <c r="F119" s="67">
        <f>(E119-F757)^2</f>
        <v/>
      </c>
      <c r="G119" s="66">
        <f>(E119-F757)^3</f>
        <v/>
      </c>
      <c r="H119" s="66">
        <f>(E119-F757)^4</f>
        <v/>
      </c>
      <c r="I119" s="65" t="inlineStr"/>
    </row>
    <row r="120">
      <c r="A120" s="68" t="n">
        <v>108</v>
      </c>
      <c r="B120" s="68" t="n">
        <v>107</v>
      </c>
      <c r="C120" s="69" t="n">
        <v>4567.11</v>
      </c>
      <c r="D120" s="69" t="n">
        <v>4570.22606</v>
      </c>
      <c r="E120" s="70">
        <f>C120-D120</f>
        <v/>
      </c>
      <c r="F120" s="70">
        <f>(E120-F757)^2</f>
        <v/>
      </c>
      <c r="G120" s="69">
        <f>(E120-F757)^3</f>
        <v/>
      </c>
      <c r="H120" s="69">
        <f>(E120-F757)^4</f>
        <v/>
      </c>
      <c r="I120" s="68" t="inlineStr"/>
    </row>
    <row r="121">
      <c r="A121" s="65" t="n">
        <v>109</v>
      </c>
      <c r="B121" s="65" t="n">
        <v>108</v>
      </c>
      <c r="C121" s="66" t="n">
        <v>4569.83</v>
      </c>
      <c r="D121" s="66" t="n">
        <v>4570.42851</v>
      </c>
      <c r="E121" s="67">
        <f>C121-D121</f>
        <v/>
      </c>
      <c r="F121" s="67">
        <f>(E121-F757)^2</f>
        <v/>
      </c>
      <c r="G121" s="66">
        <f>(E121-F757)^3</f>
        <v/>
      </c>
      <c r="H121" s="66">
        <f>(E121-F757)^4</f>
        <v/>
      </c>
      <c r="I121" s="65" t="inlineStr"/>
    </row>
    <row r="122">
      <c r="A122" s="68" t="n">
        <v>110</v>
      </c>
      <c r="B122" s="68" t="n">
        <v>109</v>
      </c>
      <c r="C122" s="69" t="n">
        <v>4568.52</v>
      </c>
      <c r="D122" s="69" t="n">
        <v>4570.63095</v>
      </c>
      <c r="E122" s="70">
        <f>C122-D122</f>
        <v/>
      </c>
      <c r="F122" s="70">
        <f>(E122-F757)^2</f>
        <v/>
      </c>
      <c r="G122" s="69">
        <f>(E122-F757)^3</f>
        <v/>
      </c>
      <c r="H122" s="69">
        <f>(E122-F757)^4</f>
        <v/>
      </c>
      <c r="I122" s="68" t="inlineStr"/>
    </row>
    <row r="123">
      <c r="A123" s="65" t="n">
        <v>111</v>
      </c>
      <c r="B123" s="65" t="n">
        <v>110</v>
      </c>
      <c r="C123" s="66" t="n">
        <v>4579.79</v>
      </c>
      <c r="D123" s="66" t="n">
        <v>4570.8334</v>
      </c>
      <c r="E123" s="67">
        <f>C123-D123</f>
        <v/>
      </c>
      <c r="F123" s="67">
        <f>(E123-F757)^2</f>
        <v/>
      </c>
      <c r="G123" s="66">
        <f>(E123-F757)^3</f>
        <v/>
      </c>
      <c r="H123" s="66">
        <f>(E123-F757)^4</f>
        <v/>
      </c>
      <c r="I123" s="65" t="inlineStr"/>
    </row>
    <row r="124">
      <c r="A124" s="68" t="n">
        <v>112</v>
      </c>
      <c r="B124" s="68" t="n">
        <v>111</v>
      </c>
      <c r="C124" s="69" t="n">
        <v>4576.31</v>
      </c>
      <c r="D124" s="69" t="n">
        <v>4571.03584</v>
      </c>
      <c r="E124" s="70">
        <f>C124-D124</f>
        <v/>
      </c>
      <c r="F124" s="70">
        <f>(E124-F757)^2</f>
        <v/>
      </c>
      <c r="G124" s="69">
        <f>(E124-F757)^3</f>
        <v/>
      </c>
      <c r="H124" s="69">
        <f>(E124-F757)^4</f>
        <v/>
      </c>
      <c r="I124" s="68" t="inlineStr"/>
    </row>
    <row r="125">
      <c r="A125" s="65" t="n">
        <v>113</v>
      </c>
      <c r="B125" s="65" t="n">
        <v>112</v>
      </c>
      <c r="C125" s="66" t="n">
        <v>4579.13</v>
      </c>
      <c r="D125" s="66" t="n">
        <v>4571.23829</v>
      </c>
      <c r="E125" s="67">
        <f>C125-D125</f>
        <v/>
      </c>
      <c r="F125" s="67">
        <f>(E125-F757)^2</f>
        <v/>
      </c>
      <c r="G125" s="66">
        <f>(E125-F757)^3</f>
        <v/>
      </c>
      <c r="H125" s="66">
        <f>(E125-F757)^4</f>
        <v/>
      </c>
      <c r="I125" s="65" t="inlineStr"/>
    </row>
    <row r="126">
      <c r="A126" s="68" t="n">
        <v>114</v>
      </c>
      <c r="B126" s="68" t="n">
        <v>113</v>
      </c>
      <c r="C126" s="69" t="n">
        <v>4579.74</v>
      </c>
      <c r="D126" s="69" t="n">
        <v>4571.44073</v>
      </c>
      <c r="E126" s="70">
        <f>C126-D126</f>
        <v/>
      </c>
      <c r="F126" s="70">
        <f>(E126-F757)^2</f>
        <v/>
      </c>
      <c r="G126" s="69">
        <f>(E126-F757)^3</f>
        <v/>
      </c>
      <c r="H126" s="69">
        <f>(E126-F757)^4</f>
        <v/>
      </c>
      <c r="I126" s="68" t="inlineStr"/>
    </row>
    <row r="127">
      <c r="A127" s="65" t="n">
        <v>115</v>
      </c>
      <c r="B127" s="65" t="n">
        <v>114</v>
      </c>
      <c r="C127" s="66" t="n">
        <v>4573.13</v>
      </c>
      <c r="D127" s="66" t="n">
        <v>4571.64318</v>
      </c>
      <c r="E127" s="67">
        <f>C127-D127</f>
        <v/>
      </c>
      <c r="F127" s="67">
        <f>(E127-F757)^2</f>
        <v/>
      </c>
      <c r="G127" s="66">
        <f>(E127-F757)^3</f>
        <v/>
      </c>
      <c r="H127" s="66">
        <f>(E127-F757)^4</f>
        <v/>
      </c>
      <c r="I127" s="65" t="inlineStr"/>
    </row>
    <row r="128">
      <c r="A128" s="68" t="n">
        <v>116</v>
      </c>
      <c r="B128" s="68" t="n">
        <v>115</v>
      </c>
      <c r="C128" s="69" t="n">
        <v>4562.53</v>
      </c>
      <c r="D128" s="69" t="n">
        <v>4571.84563</v>
      </c>
      <c r="E128" s="70">
        <f>C128-D128</f>
        <v/>
      </c>
      <c r="F128" s="70">
        <f>(E128-F757)^2</f>
        <v/>
      </c>
      <c r="G128" s="69">
        <f>(E128-F757)^3</f>
        <v/>
      </c>
      <c r="H128" s="69">
        <f>(E128-F757)^4</f>
        <v/>
      </c>
      <c r="I128" s="68" t="inlineStr"/>
    </row>
    <row r="129">
      <c r="A129" s="65" t="n">
        <v>117</v>
      </c>
      <c r="B129" s="65" t="n">
        <v>116</v>
      </c>
      <c r="C129" s="66" t="n">
        <v>4565.02</v>
      </c>
      <c r="D129" s="66" t="n">
        <v>4572.04807</v>
      </c>
      <c r="E129" s="67">
        <f>C129-D129</f>
        <v/>
      </c>
      <c r="F129" s="67">
        <f>(E129-F757)^2</f>
        <v/>
      </c>
      <c r="G129" s="66">
        <f>(E129-F757)^3</f>
        <v/>
      </c>
      <c r="H129" s="66">
        <f>(E129-F757)^4</f>
        <v/>
      </c>
      <c r="I129" s="65" t="inlineStr"/>
    </row>
    <row r="130">
      <c r="A130" s="68" t="n">
        <v>118</v>
      </c>
      <c r="B130" s="68" t="n">
        <v>117</v>
      </c>
      <c r="C130" s="69" t="n">
        <v>4564.98</v>
      </c>
      <c r="D130" s="69" t="n">
        <v>4572.25052</v>
      </c>
      <c r="E130" s="70">
        <f>C130-D130</f>
        <v/>
      </c>
      <c r="F130" s="70">
        <f>(E130-F757)^2</f>
        <v/>
      </c>
      <c r="G130" s="69">
        <f>(E130-F757)^3</f>
        <v/>
      </c>
      <c r="H130" s="69">
        <f>(E130-F757)^4</f>
        <v/>
      </c>
      <c r="I130" s="68" t="inlineStr"/>
    </row>
    <row r="131">
      <c r="A131" s="65" t="n">
        <v>119</v>
      </c>
      <c r="B131" s="65" t="n">
        <v>118</v>
      </c>
      <c r="C131" s="66" t="n">
        <v>4563.32</v>
      </c>
      <c r="D131" s="66" t="n">
        <v>4572.45296</v>
      </c>
      <c r="E131" s="67">
        <f>C131-D131</f>
        <v/>
      </c>
      <c r="F131" s="67">
        <f>(E131-F757)^2</f>
        <v/>
      </c>
      <c r="G131" s="66">
        <f>(E131-F757)^3</f>
        <v/>
      </c>
      <c r="H131" s="66">
        <f>(E131-F757)^4</f>
        <v/>
      </c>
      <c r="I131" s="65" t="inlineStr"/>
    </row>
    <row r="132">
      <c r="A132" s="68" t="n">
        <v>120</v>
      </c>
      <c r="B132" s="68" t="n">
        <v>119</v>
      </c>
      <c r="C132" s="69" t="n">
        <v>4561.66</v>
      </c>
      <c r="D132" s="69" t="n">
        <v>4572.65541</v>
      </c>
      <c r="E132" s="70">
        <f>C132-D132</f>
        <v/>
      </c>
      <c r="F132" s="70">
        <f>(E132-F757)^2</f>
        <v/>
      </c>
      <c r="G132" s="69">
        <f>(E132-F757)^3</f>
        <v/>
      </c>
      <c r="H132" s="69">
        <f>(E132-F757)^4</f>
        <v/>
      </c>
      <c r="I132" s="68" t="inlineStr"/>
    </row>
    <row r="133">
      <c r="A133" s="65" t="n">
        <v>121</v>
      </c>
      <c r="B133" s="65" t="n">
        <v>120</v>
      </c>
      <c r="C133" s="66" t="n">
        <v>4556.09</v>
      </c>
      <c r="D133" s="66" t="n">
        <v>4572.85785</v>
      </c>
      <c r="E133" s="67">
        <f>C133-D133</f>
        <v/>
      </c>
      <c r="F133" s="67">
        <f>(E133-F757)^2</f>
        <v/>
      </c>
      <c r="G133" s="66">
        <f>(E133-F757)^3</f>
        <v/>
      </c>
      <c r="H133" s="66">
        <f>(E133-F757)^4</f>
        <v/>
      </c>
      <c r="I133" s="65" t="inlineStr"/>
    </row>
    <row r="134">
      <c r="A134" s="68" t="n">
        <v>122</v>
      </c>
      <c r="B134" s="68" t="n">
        <v>121</v>
      </c>
      <c r="C134" s="69" t="n">
        <v>4555.41</v>
      </c>
      <c r="D134" s="69" t="n">
        <v>4573.0603</v>
      </c>
      <c r="E134" s="70">
        <f>C134-D134</f>
        <v/>
      </c>
      <c r="F134" s="70">
        <f>(E134-F757)^2</f>
        <v/>
      </c>
      <c r="G134" s="69">
        <f>(E134-F757)^3</f>
        <v/>
      </c>
      <c r="H134" s="69">
        <f>(E134-F757)^4</f>
        <v/>
      </c>
      <c r="I134" s="68" t="inlineStr"/>
    </row>
    <row r="135">
      <c r="A135" s="65" t="n">
        <v>123</v>
      </c>
      <c r="B135" s="65" t="n">
        <v>122</v>
      </c>
      <c r="C135" s="66" t="n">
        <v>4547.28</v>
      </c>
      <c r="D135" s="66" t="n">
        <v>4573.26275</v>
      </c>
      <c r="E135" s="67">
        <f>C135-D135</f>
        <v/>
      </c>
      <c r="F135" s="67">
        <f>(E135-F757)^2</f>
        <v/>
      </c>
      <c r="G135" s="66">
        <f>(E135-F757)^3</f>
        <v/>
      </c>
      <c r="H135" s="66">
        <f>(E135-F757)^4</f>
        <v/>
      </c>
      <c r="I135" s="65" t="inlineStr"/>
    </row>
    <row r="136">
      <c r="A136" s="68" t="n">
        <v>124</v>
      </c>
      <c r="B136" s="68" t="n">
        <v>123</v>
      </c>
      <c r="C136" s="69" t="n">
        <v>4544.74</v>
      </c>
      <c r="D136" s="69" t="n">
        <v>4573.46519</v>
      </c>
      <c r="E136" s="70">
        <f>C136-D136</f>
        <v/>
      </c>
      <c r="F136" s="70">
        <f>(E136-F757)^2</f>
        <v/>
      </c>
      <c r="G136" s="69">
        <f>(E136-F757)^3</f>
        <v/>
      </c>
      <c r="H136" s="69">
        <f>(E136-F757)^4</f>
        <v/>
      </c>
      <c r="I136" s="68" t="inlineStr"/>
    </row>
    <row r="137">
      <c r="A137" s="65" t="n">
        <v>125</v>
      </c>
      <c r="B137" s="65" t="n">
        <v>124</v>
      </c>
      <c r="C137" s="66" t="n">
        <v>4541.91</v>
      </c>
      <c r="D137" s="66" t="n">
        <v>4573.66764</v>
      </c>
      <c r="E137" s="67">
        <f>C137-D137</f>
        <v/>
      </c>
      <c r="F137" s="67">
        <f>(E137-F757)^2</f>
        <v/>
      </c>
      <c r="G137" s="66">
        <f>(E137-F757)^3</f>
        <v/>
      </c>
      <c r="H137" s="66">
        <f>(E137-F757)^4</f>
        <v/>
      </c>
      <c r="I137" s="65" t="inlineStr"/>
    </row>
    <row r="138">
      <c r="A138" s="68" t="n">
        <v>126</v>
      </c>
      <c r="B138" s="68" t="n">
        <v>125</v>
      </c>
      <c r="C138" s="69" t="n">
        <v>4553.22</v>
      </c>
      <c r="D138" s="69" t="n">
        <v>4573.87008</v>
      </c>
      <c r="E138" s="70">
        <f>C138-D138</f>
        <v/>
      </c>
      <c r="F138" s="70">
        <f>(E138-F757)^2</f>
        <v/>
      </c>
      <c r="G138" s="69">
        <f>(E138-F757)^3</f>
        <v/>
      </c>
      <c r="H138" s="69">
        <f>(E138-F757)^4</f>
        <v/>
      </c>
      <c r="I138" s="68" t="inlineStr"/>
    </row>
    <row r="139">
      <c r="A139" s="65" t="n">
        <v>127</v>
      </c>
      <c r="B139" s="65" t="n">
        <v>126</v>
      </c>
      <c r="C139" s="66" t="n">
        <v>4555.73</v>
      </c>
      <c r="D139" s="66" t="n">
        <v>4574.07253</v>
      </c>
      <c r="E139" s="67">
        <f>C139-D139</f>
        <v/>
      </c>
      <c r="F139" s="67">
        <f>(E139-F757)^2</f>
        <v/>
      </c>
      <c r="G139" s="66">
        <f>(E139-F757)^3</f>
        <v/>
      </c>
      <c r="H139" s="66">
        <f>(E139-F757)^4</f>
        <v/>
      </c>
      <c r="I139" s="65" t="inlineStr"/>
    </row>
    <row r="140">
      <c r="A140" s="68" t="n">
        <v>128</v>
      </c>
      <c r="B140" s="68" t="n">
        <v>127</v>
      </c>
      <c r="C140" s="69" t="n">
        <v>4564.04</v>
      </c>
      <c r="D140" s="69" t="n">
        <v>4574.27497</v>
      </c>
      <c r="E140" s="70">
        <f>C140-D140</f>
        <v/>
      </c>
      <c r="F140" s="70">
        <f>(E140-F757)^2</f>
        <v/>
      </c>
      <c r="G140" s="69">
        <f>(E140-F757)^3</f>
        <v/>
      </c>
      <c r="H140" s="69">
        <f>(E140-F757)^4</f>
        <v/>
      </c>
      <c r="I140" s="68" t="inlineStr"/>
    </row>
    <row r="141">
      <c r="A141" s="65" t="n">
        <v>129</v>
      </c>
      <c r="B141" s="65" t="n">
        <v>128</v>
      </c>
      <c r="C141" s="66" t="n">
        <v>4562.71</v>
      </c>
      <c r="D141" s="66" t="n">
        <v>4574.47742</v>
      </c>
      <c r="E141" s="67">
        <f>C141-D141</f>
        <v/>
      </c>
      <c r="F141" s="67">
        <f>(E141-F757)^2</f>
        <v/>
      </c>
      <c r="G141" s="66">
        <f>(E141-F757)^3</f>
        <v/>
      </c>
      <c r="H141" s="66">
        <f>(E141-F757)^4</f>
        <v/>
      </c>
      <c r="I141" s="65" t="inlineStr"/>
    </row>
    <row r="142">
      <c r="A142" s="68" t="n">
        <v>130</v>
      </c>
      <c r="B142" s="68" t="n">
        <v>129</v>
      </c>
      <c r="C142" s="69" t="n">
        <v>4566.21</v>
      </c>
      <c r="D142" s="69" t="n">
        <v>4574.67987</v>
      </c>
      <c r="E142" s="70">
        <f>C142-D142</f>
        <v/>
      </c>
      <c r="F142" s="70">
        <f>(E142-F757)^2</f>
        <v/>
      </c>
      <c r="G142" s="69">
        <f>(E142-F757)^3</f>
        <v/>
      </c>
      <c r="H142" s="69">
        <f>(E142-F757)^4</f>
        <v/>
      </c>
      <c r="I142" s="68" t="inlineStr"/>
    </row>
    <row r="143">
      <c r="A143" s="65" t="n">
        <v>131</v>
      </c>
      <c r="B143" s="65" t="n">
        <v>130</v>
      </c>
      <c r="C143" s="66" t="n">
        <v>4569.57</v>
      </c>
      <c r="D143" s="66" t="n">
        <v>4574.88231</v>
      </c>
      <c r="E143" s="67">
        <f>C143-D143</f>
        <v/>
      </c>
      <c r="F143" s="67">
        <f>(E143-F757)^2</f>
        <v/>
      </c>
      <c r="G143" s="66">
        <f>(E143-F757)^3</f>
        <v/>
      </c>
      <c r="H143" s="66">
        <f>(E143-F757)^4</f>
        <v/>
      </c>
      <c r="I143" s="65" t="inlineStr"/>
    </row>
    <row r="144">
      <c r="A144" s="68" t="n">
        <v>132</v>
      </c>
      <c r="B144" s="68" t="n">
        <v>131</v>
      </c>
      <c r="C144" s="69" t="n">
        <v>4575.23</v>
      </c>
      <c r="D144" s="69" t="n">
        <v>4575.08476</v>
      </c>
      <c r="E144" s="70">
        <f>C144-D144</f>
        <v/>
      </c>
      <c r="F144" s="70">
        <f>(E144-F757)^2</f>
        <v/>
      </c>
      <c r="G144" s="69">
        <f>(E144-F757)^3</f>
        <v/>
      </c>
      <c r="H144" s="69">
        <f>(E144-F757)^4</f>
        <v/>
      </c>
      <c r="I144" s="68" t="inlineStr"/>
    </row>
    <row r="145">
      <c r="A145" s="65" t="n">
        <v>133</v>
      </c>
      <c r="B145" s="65" t="n">
        <v>132</v>
      </c>
      <c r="C145" s="66" t="n">
        <v>4589.44</v>
      </c>
      <c r="D145" s="66" t="n">
        <v>4575.2872</v>
      </c>
      <c r="E145" s="67">
        <f>C145-D145</f>
        <v/>
      </c>
      <c r="F145" s="67">
        <f>(E145-F757)^2</f>
        <v/>
      </c>
      <c r="G145" s="66">
        <f>(E145-F757)^3</f>
        <v/>
      </c>
      <c r="H145" s="66">
        <f>(E145-F757)^4</f>
        <v/>
      </c>
      <c r="I145" s="65" t="inlineStr"/>
    </row>
    <row r="146">
      <c r="A146" s="68" t="n">
        <v>134</v>
      </c>
      <c r="B146" s="68" t="n">
        <v>133</v>
      </c>
      <c r="C146" s="69" t="n">
        <v>4591.59</v>
      </c>
      <c r="D146" s="69" t="n">
        <v>4575.48965</v>
      </c>
      <c r="E146" s="70">
        <f>C146-D146</f>
        <v/>
      </c>
      <c r="F146" s="70">
        <f>(E146-F757)^2</f>
        <v/>
      </c>
      <c r="G146" s="69">
        <f>(E146-F757)^3</f>
        <v/>
      </c>
      <c r="H146" s="69">
        <f>(E146-F757)^4</f>
        <v/>
      </c>
      <c r="I146" s="68" t="inlineStr"/>
    </row>
    <row r="147">
      <c r="A147" s="65" t="n">
        <v>135</v>
      </c>
      <c r="B147" s="65" t="n">
        <v>134</v>
      </c>
      <c r="C147" s="66" t="n">
        <v>4591.59</v>
      </c>
      <c r="D147" s="66" t="n">
        <v>4575.69209</v>
      </c>
      <c r="E147" s="67">
        <f>C147-D147</f>
        <v/>
      </c>
      <c r="F147" s="67">
        <f>(E147-F757)^2</f>
        <v/>
      </c>
      <c r="G147" s="66">
        <f>(E147-F757)^3</f>
        <v/>
      </c>
      <c r="H147" s="66">
        <f>(E147-F757)^4</f>
        <v/>
      </c>
      <c r="I147" s="65" t="inlineStr"/>
    </row>
    <row r="148">
      <c r="A148" s="68" t="n">
        <v>136</v>
      </c>
      <c r="B148" s="68" t="n">
        <v>135</v>
      </c>
      <c r="C148" s="69" t="n">
        <v>4596.69</v>
      </c>
      <c r="D148" s="69" t="n">
        <v>4575.89454</v>
      </c>
      <c r="E148" s="70">
        <f>C148-D148</f>
        <v/>
      </c>
      <c r="F148" s="70">
        <f>(E148-F757)^2</f>
        <v/>
      </c>
      <c r="G148" s="69">
        <f>(E148-F757)^3</f>
        <v/>
      </c>
      <c r="H148" s="69">
        <f>(E148-F757)^4</f>
        <v/>
      </c>
      <c r="I148" s="68" t="inlineStr"/>
    </row>
    <row r="149">
      <c r="A149" s="65" t="n">
        <v>137</v>
      </c>
      <c r="B149" s="65" t="n">
        <v>136</v>
      </c>
      <c r="C149" s="66" t="n">
        <v>4598.44</v>
      </c>
      <c r="D149" s="66" t="n">
        <v>4576.09699</v>
      </c>
      <c r="E149" s="67">
        <f>C149-D149</f>
        <v/>
      </c>
      <c r="F149" s="67">
        <f>(E149-F757)^2</f>
        <v/>
      </c>
      <c r="G149" s="66">
        <f>(E149-F757)^3</f>
        <v/>
      </c>
      <c r="H149" s="66">
        <f>(E149-F757)^4</f>
        <v/>
      </c>
      <c r="I149" s="65" t="inlineStr"/>
    </row>
    <row r="150">
      <c r="A150" s="68" t="n">
        <v>138</v>
      </c>
      <c r="B150" s="68" t="n">
        <v>137</v>
      </c>
      <c r="C150" s="69" t="n">
        <v>4618.7</v>
      </c>
      <c r="D150" s="69" t="n">
        <v>4576.29943</v>
      </c>
      <c r="E150" s="70">
        <f>C150-D150</f>
        <v/>
      </c>
      <c r="F150" s="70">
        <f>(E150-F757)^2</f>
        <v/>
      </c>
      <c r="G150" s="69">
        <f>(E150-F757)^3</f>
        <v/>
      </c>
      <c r="H150" s="69">
        <f>(E150-F757)^4</f>
        <v/>
      </c>
      <c r="I150" s="68" t="inlineStr"/>
    </row>
    <row r="151">
      <c r="A151" s="65" t="n">
        <v>139</v>
      </c>
      <c r="B151" s="65" t="n">
        <v>138</v>
      </c>
      <c r="C151" s="66" t="n">
        <v>4617.35</v>
      </c>
      <c r="D151" s="66" t="n">
        <v>4576.50188</v>
      </c>
      <c r="E151" s="67">
        <f>C151-D151</f>
        <v/>
      </c>
      <c r="F151" s="67">
        <f>(E151-F757)^2</f>
        <v/>
      </c>
      <c r="G151" s="66">
        <f>(E151-F757)^3</f>
        <v/>
      </c>
      <c r="H151" s="66">
        <f>(E151-F757)^4</f>
        <v/>
      </c>
      <c r="I151" s="65" t="inlineStr"/>
    </row>
    <row r="152">
      <c r="A152" s="68" t="n">
        <v>140</v>
      </c>
      <c r="B152" s="68" t="n">
        <v>139</v>
      </c>
      <c r="C152" s="69" t="n">
        <v>4614.82</v>
      </c>
      <c r="D152" s="69" t="n">
        <v>4576.70432</v>
      </c>
      <c r="E152" s="70">
        <f>C152-D152</f>
        <v/>
      </c>
      <c r="F152" s="70">
        <f>(E152-F757)^2</f>
        <v/>
      </c>
      <c r="G152" s="69">
        <f>(E152-F757)^3</f>
        <v/>
      </c>
      <c r="H152" s="69">
        <f>(E152-F757)^4</f>
        <v/>
      </c>
      <c r="I152" s="68" t="inlineStr"/>
    </row>
    <row r="153">
      <c r="A153" s="65" t="n">
        <v>141</v>
      </c>
      <c r="B153" s="65" t="n">
        <v>140</v>
      </c>
      <c r="C153" s="66" t="n">
        <v>4616</v>
      </c>
      <c r="D153" s="66" t="n">
        <v>4576.90677</v>
      </c>
      <c r="E153" s="67">
        <f>C153-D153</f>
        <v/>
      </c>
      <c r="F153" s="67">
        <f>(E153-F757)^2</f>
        <v/>
      </c>
      <c r="G153" s="66">
        <f>(E153-F757)^3</f>
        <v/>
      </c>
      <c r="H153" s="66">
        <f>(E153-F757)^4</f>
        <v/>
      </c>
      <c r="I153" s="65" t="inlineStr"/>
    </row>
    <row r="154">
      <c r="A154" s="68" t="n">
        <v>142</v>
      </c>
      <c r="B154" s="68" t="n">
        <v>141</v>
      </c>
      <c r="C154" s="69" t="n">
        <v>4618.96</v>
      </c>
      <c r="D154" s="69" t="n">
        <v>4577.10921</v>
      </c>
      <c r="E154" s="70">
        <f>C154-D154</f>
        <v/>
      </c>
      <c r="F154" s="70">
        <f>(E154-F757)^2</f>
        <v/>
      </c>
      <c r="G154" s="69">
        <f>(E154-F757)^3</f>
        <v/>
      </c>
      <c r="H154" s="69">
        <f>(E154-F757)^4</f>
        <v/>
      </c>
      <c r="I154" s="68" t="inlineStr"/>
    </row>
    <row r="155">
      <c r="A155" s="65" t="n">
        <v>143</v>
      </c>
      <c r="B155" s="65" t="n">
        <v>142</v>
      </c>
      <c r="C155" s="66" t="n">
        <v>4625.41</v>
      </c>
      <c r="D155" s="66" t="n">
        <v>4577.31166</v>
      </c>
      <c r="E155" s="67">
        <f>C155-D155</f>
        <v/>
      </c>
      <c r="F155" s="67">
        <f>(E155-F757)^2</f>
        <v/>
      </c>
      <c r="G155" s="66">
        <f>(E155-F757)^3</f>
        <v/>
      </c>
      <c r="H155" s="66">
        <f>(E155-F757)^4</f>
        <v/>
      </c>
      <c r="I155" s="65" t="inlineStr"/>
    </row>
    <row r="156">
      <c r="A156" s="68" t="n">
        <v>144</v>
      </c>
      <c r="B156" s="68" t="n">
        <v>143</v>
      </c>
      <c r="C156" s="69" t="n">
        <v>4619.35</v>
      </c>
      <c r="D156" s="69" t="n">
        <v>4577.51411</v>
      </c>
      <c r="E156" s="70">
        <f>C156-D156</f>
        <v/>
      </c>
      <c r="F156" s="70">
        <f>(E156-F757)^2</f>
        <v/>
      </c>
      <c r="G156" s="69">
        <f>(E156-F757)^3</f>
        <v/>
      </c>
      <c r="H156" s="69">
        <f>(E156-F757)^4</f>
        <v/>
      </c>
      <c r="I156" s="68" t="inlineStr"/>
    </row>
    <row r="157">
      <c r="A157" s="65" t="n">
        <v>145</v>
      </c>
      <c r="B157" s="65" t="n">
        <v>144</v>
      </c>
      <c r="C157" s="66" t="n">
        <v>4624.91</v>
      </c>
      <c r="D157" s="66" t="n">
        <v>4577.71655</v>
      </c>
      <c r="E157" s="67">
        <f>C157-D157</f>
        <v/>
      </c>
      <c r="F157" s="67">
        <f>(E157-F757)^2</f>
        <v/>
      </c>
      <c r="G157" s="66">
        <f>(E157-F757)^3</f>
        <v/>
      </c>
      <c r="H157" s="66">
        <f>(E157-F757)^4</f>
        <v/>
      </c>
      <c r="I157" s="65" t="inlineStr"/>
    </row>
    <row r="158">
      <c r="A158" s="68" t="n">
        <v>146</v>
      </c>
      <c r="B158" s="68" t="n">
        <v>145</v>
      </c>
      <c r="C158" s="69" t="n">
        <v>4626.92</v>
      </c>
      <c r="D158" s="69" t="n">
        <v>4577.919</v>
      </c>
      <c r="E158" s="70">
        <f>C158-D158</f>
        <v/>
      </c>
      <c r="F158" s="70">
        <f>(E158-F757)^2</f>
        <v/>
      </c>
      <c r="G158" s="69">
        <f>(E158-F757)^3</f>
        <v/>
      </c>
      <c r="H158" s="69">
        <f>(E158-F757)^4</f>
        <v/>
      </c>
      <c r="I158" s="68" t="inlineStr"/>
    </row>
    <row r="159">
      <c r="A159" s="65" t="n">
        <v>147</v>
      </c>
      <c r="B159" s="65" t="n">
        <v>146</v>
      </c>
      <c r="C159" s="66" t="n">
        <v>4643.78</v>
      </c>
      <c r="D159" s="66" t="n">
        <v>4578.12144</v>
      </c>
      <c r="E159" s="67">
        <f>C159-D159</f>
        <v/>
      </c>
      <c r="F159" s="67">
        <f>(E159-F757)^2</f>
        <v/>
      </c>
      <c r="G159" s="66">
        <f>(E159-F757)^3</f>
        <v/>
      </c>
      <c r="H159" s="66">
        <f>(E159-F757)^4</f>
        <v/>
      </c>
      <c r="I159" s="65" t="inlineStr"/>
    </row>
    <row r="160">
      <c r="A160" s="68" t="n">
        <v>148</v>
      </c>
      <c r="B160" s="68" t="n">
        <v>147</v>
      </c>
      <c r="C160" s="69" t="n">
        <v>4636.62</v>
      </c>
      <c r="D160" s="69" t="n">
        <v>4578.32389</v>
      </c>
      <c r="E160" s="70">
        <f>C160-D160</f>
        <v/>
      </c>
      <c r="F160" s="70">
        <f>(E160-F757)^2</f>
        <v/>
      </c>
      <c r="G160" s="69">
        <f>(E160-F757)^3</f>
        <v/>
      </c>
      <c r="H160" s="69">
        <f>(E160-F757)^4</f>
        <v/>
      </c>
      <c r="I160" s="68" t="inlineStr"/>
    </row>
    <row r="161">
      <c r="A161" s="65" t="n">
        <v>149</v>
      </c>
      <c r="B161" s="65" t="n">
        <v>148</v>
      </c>
      <c r="C161" s="66" t="n">
        <v>4639.68</v>
      </c>
      <c r="D161" s="66" t="n">
        <v>4578.52633</v>
      </c>
      <c r="E161" s="67">
        <f>C161-D161</f>
        <v/>
      </c>
      <c r="F161" s="67">
        <f>(E161-F757)^2</f>
        <v/>
      </c>
      <c r="G161" s="66">
        <f>(E161-F757)^3</f>
        <v/>
      </c>
      <c r="H161" s="66">
        <f>(E161-F757)^4</f>
        <v/>
      </c>
      <c r="I161" s="65" t="inlineStr"/>
    </row>
    <row r="162">
      <c r="A162" s="68" t="n">
        <v>150</v>
      </c>
      <c r="B162" s="68" t="n">
        <v>149</v>
      </c>
      <c r="C162" s="69" t="n">
        <v>4635.99</v>
      </c>
      <c r="D162" s="69" t="n">
        <v>4578.72878</v>
      </c>
      <c r="E162" s="70">
        <f>C162-D162</f>
        <v/>
      </c>
      <c r="F162" s="70">
        <f>(E162-F757)^2</f>
        <v/>
      </c>
      <c r="G162" s="69">
        <f>(E162-F757)^3</f>
        <v/>
      </c>
      <c r="H162" s="69">
        <f>(E162-F757)^4</f>
        <v/>
      </c>
      <c r="I162" s="68" t="inlineStr"/>
    </row>
    <row r="163">
      <c r="A163" s="65" t="n">
        <v>151</v>
      </c>
      <c r="B163" s="65" t="n">
        <v>150</v>
      </c>
      <c r="C163" s="66" t="n">
        <v>4637.7</v>
      </c>
      <c r="D163" s="66" t="n">
        <v>4578.93123</v>
      </c>
      <c r="E163" s="67">
        <f>C163-D163</f>
        <v/>
      </c>
      <c r="F163" s="67">
        <f>(E163-F757)^2</f>
        <v/>
      </c>
      <c r="G163" s="66">
        <f>(E163-F757)^3</f>
        <v/>
      </c>
      <c r="H163" s="66">
        <f>(E163-F757)^4</f>
        <v/>
      </c>
      <c r="I163" s="65" t="inlineStr"/>
    </row>
    <row r="164">
      <c r="A164" s="68" t="n">
        <v>152</v>
      </c>
      <c r="B164" s="68" t="n">
        <v>151</v>
      </c>
      <c r="C164" s="69" t="n">
        <v>4629.82</v>
      </c>
      <c r="D164" s="69" t="n">
        <v>4579.13367</v>
      </c>
      <c r="E164" s="70">
        <f>C164-D164</f>
        <v/>
      </c>
      <c r="F164" s="70">
        <f>(E164-F757)^2</f>
        <v/>
      </c>
      <c r="G164" s="69">
        <f>(E164-F757)^3</f>
        <v/>
      </c>
      <c r="H164" s="69">
        <f>(E164-F757)^4</f>
        <v/>
      </c>
      <c r="I164" s="68" t="inlineStr"/>
    </row>
    <row r="165">
      <c r="A165" s="65" t="n">
        <v>153</v>
      </c>
      <c r="B165" s="65" t="n">
        <v>152</v>
      </c>
      <c r="C165" s="66" t="n">
        <v>4630.21</v>
      </c>
      <c r="D165" s="66" t="n">
        <v>4579.33612</v>
      </c>
      <c r="E165" s="67">
        <f>C165-D165</f>
        <v/>
      </c>
      <c r="F165" s="67">
        <f>(E165-F757)^2</f>
        <v/>
      </c>
      <c r="G165" s="66">
        <f>(E165-F757)^3</f>
        <v/>
      </c>
      <c r="H165" s="66">
        <f>(E165-F757)^4</f>
        <v/>
      </c>
      <c r="I165" s="65" t="inlineStr"/>
    </row>
    <row r="166">
      <c r="A166" s="68" t="n">
        <v>154</v>
      </c>
      <c r="B166" s="68" t="n">
        <v>153</v>
      </c>
      <c r="C166" s="69" t="n">
        <v>4635.81</v>
      </c>
      <c r="D166" s="69" t="n">
        <v>4579.53856</v>
      </c>
      <c r="E166" s="70">
        <f>C166-D166</f>
        <v/>
      </c>
      <c r="F166" s="70">
        <f>(E166-F757)^2</f>
        <v/>
      </c>
      <c r="G166" s="69">
        <f>(E166-F757)^3</f>
        <v/>
      </c>
      <c r="H166" s="69">
        <f>(E166-F757)^4</f>
        <v/>
      </c>
      <c r="I166" s="68" t="inlineStr"/>
    </row>
    <row r="167">
      <c r="A167" s="65" t="n">
        <v>155</v>
      </c>
      <c r="B167" s="65" t="n">
        <v>154</v>
      </c>
      <c r="C167" s="66" t="n">
        <v>4630.51</v>
      </c>
      <c r="D167" s="66" t="n">
        <v>4579.74101</v>
      </c>
      <c r="E167" s="67">
        <f>C167-D167</f>
        <v/>
      </c>
      <c r="F167" s="67">
        <f>(E167-F757)^2</f>
        <v/>
      </c>
      <c r="G167" s="66">
        <f>(E167-F757)^3</f>
        <v/>
      </c>
      <c r="H167" s="66">
        <f>(E167-F757)^4</f>
        <v/>
      </c>
      <c r="I167" s="65" t="inlineStr"/>
    </row>
    <row r="168">
      <c r="A168" s="68" t="n">
        <v>156</v>
      </c>
      <c r="B168" s="68" t="n">
        <v>155</v>
      </c>
      <c r="C168" s="69" t="n">
        <v>4625.92</v>
      </c>
      <c r="D168" s="69" t="n">
        <v>4579.94345</v>
      </c>
      <c r="E168" s="70">
        <f>C168-D168</f>
        <v/>
      </c>
      <c r="F168" s="70">
        <f>(E168-F757)^2</f>
        <v/>
      </c>
      <c r="G168" s="69">
        <f>(E168-F757)^3</f>
        <v/>
      </c>
      <c r="H168" s="69">
        <f>(E168-F757)^4</f>
        <v/>
      </c>
      <c r="I168" s="68" t="inlineStr"/>
    </row>
    <row r="169">
      <c r="A169" s="65" t="n">
        <v>157</v>
      </c>
      <c r="B169" s="65" t="n">
        <v>156</v>
      </c>
      <c r="C169" s="66" t="n">
        <v>4639.57</v>
      </c>
      <c r="D169" s="66" t="n">
        <v>4580.1459</v>
      </c>
      <c r="E169" s="67">
        <f>C169-D169</f>
        <v/>
      </c>
      <c r="F169" s="67">
        <f>(E169-F757)^2</f>
        <v/>
      </c>
      <c r="G169" s="66">
        <f>(E169-F757)^3</f>
        <v/>
      </c>
      <c r="H169" s="66">
        <f>(E169-F757)^4</f>
        <v/>
      </c>
      <c r="I169" s="65" t="inlineStr"/>
    </row>
    <row r="170">
      <c r="A170" s="68" t="n">
        <v>158</v>
      </c>
      <c r="B170" s="68" t="n">
        <v>157</v>
      </c>
      <c r="C170" s="69" t="n">
        <v>4641.5</v>
      </c>
      <c r="D170" s="69" t="n">
        <v>4580.34835</v>
      </c>
      <c r="E170" s="70">
        <f>C170-D170</f>
        <v/>
      </c>
      <c r="F170" s="70">
        <f>(E170-F757)^2</f>
        <v/>
      </c>
      <c r="G170" s="69">
        <f>(E170-F757)^3</f>
        <v/>
      </c>
      <c r="H170" s="69">
        <f>(E170-F757)^4</f>
        <v/>
      </c>
      <c r="I170" s="68" t="inlineStr"/>
    </row>
    <row r="171">
      <c r="A171" s="65" t="n">
        <v>159</v>
      </c>
      <c r="B171" s="65" t="n">
        <v>158</v>
      </c>
      <c r="C171" s="66" t="n">
        <v>4633.5</v>
      </c>
      <c r="D171" s="66" t="n">
        <v>4580.55079</v>
      </c>
      <c r="E171" s="67">
        <f>C171-D171</f>
        <v/>
      </c>
      <c r="F171" s="67">
        <f>(E171-F757)^2</f>
        <v/>
      </c>
      <c r="G171" s="66">
        <f>(E171-F757)^3</f>
        <v/>
      </c>
      <c r="H171" s="66">
        <f>(E171-F757)^4</f>
        <v/>
      </c>
      <c r="I171" s="65" t="inlineStr"/>
    </row>
    <row r="172">
      <c r="A172" s="68" t="n">
        <v>160</v>
      </c>
      <c r="B172" s="68" t="n">
        <v>159</v>
      </c>
      <c r="C172" s="69" t="n">
        <v>4625.44</v>
      </c>
      <c r="D172" s="69" t="n">
        <v>4580.75324</v>
      </c>
      <c r="E172" s="70">
        <f>C172-D172</f>
        <v/>
      </c>
      <c r="F172" s="70">
        <f>(E172-F757)^2</f>
        <v/>
      </c>
      <c r="G172" s="69">
        <f>(E172-F757)^3</f>
        <v/>
      </c>
      <c r="H172" s="69">
        <f>(E172-F757)^4</f>
        <v/>
      </c>
      <c r="I172" s="68" t="inlineStr"/>
    </row>
    <row r="173">
      <c r="A173" s="65" t="n">
        <v>161</v>
      </c>
      <c r="B173" s="65" t="n">
        <v>160</v>
      </c>
      <c r="C173" s="66" t="n">
        <v>4610.99</v>
      </c>
      <c r="D173" s="66" t="n">
        <v>4580.95568</v>
      </c>
      <c r="E173" s="67">
        <f>C173-D173</f>
        <v/>
      </c>
      <c r="F173" s="67">
        <f>(E173-F757)^2</f>
        <v/>
      </c>
      <c r="G173" s="66">
        <f>(E173-F757)^3</f>
        <v/>
      </c>
      <c r="H173" s="66">
        <f>(E173-F757)^4</f>
        <v/>
      </c>
      <c r="I173" s="65" t="inlineStr"/>
    </row>
    <row r="174">
      <c r="A174" s="68" t="n">
        <v>162</v>
      </c>
      <c r="B174" s="68" t="n">
        <v>161</v>
      </c>
      <c r="C174" s="69" t="n">
        <v>4620.39</v>
      </c>
      <c r="D174" s="69" t="n">
        <v>4581.15813</v>
      </c>
      <c r="E174" s="70">
        <f>C174-D174</f>
        <v/>
      </c>
      <c r="F174" s="70">
        <f>(E174-F757)^2</f>
        <v/>
      </c>
      <c r="G174" s="69">
        <f>(E174-F757)^3</f>
        <v/>
      </c>
      <c r="H174" s="69">
        <f>(E174-F757)^4</f>
        <v/>
      </c>
      <c r="I174" s="68" t="inlineStr"/>
    </row>
    <row r="175">
      <c r="A175" s="65" t="n">
        <v>163</v>
      </c>
      <c r="B175" s="65" t="n">
        <v>162</v>
      </c>
      <c r="C175" s="66" t="n">
        <v>4622.81</v>
      </c>
      <c r="D175" s="66" t="n">
        <v>4581.36057</v>
      </c>
      <c r="E175" s="67">
        <f>C175-D175</f>
        <v/>
      </c>
      <c r="F175" s="67">
        <f>(E175-F757)^2</f>
        <v/>
      </c>
      <c r="G175" s="66">
        <f>(E175-F757)^3</f>
        <v/>
      </c>
      <c r="H175" s="66">
        <f>(E175-F757)^4</f>
        <v/>
      </c>
      <c r="I175" s="65" t="inlineStr"/>
    </row>
    <row r="176">
      <c r="A176" s="68" t="n">
        <v>164</v>
      </c>
      <c r="B176" s="68" t="n">
        <v>163</v>
      </c>
      <c r="C176" s="69" t="n">
        <v>4617.7</v>
      </c>
      <c r="D176" s="69" t="n">
        <v>4581.56302</v>
      </c>
      <c r="E176" s="70">
        <f>C176-D176</f>
        <v/>
      </c>
      <c r="F176" s="70">
        <f>(E176-F757)^2</f>
        <v/>
      </c>
      <c r="G176" s="69">
        <f>(E176-F757)^3</f>
        <v/>
      </c>
      <c r="H176" s="69">
        <f>(E176-F757)^4</f>
        <v/>
      </c>
      <c r="I176" s="68" t="inlineStr"/>
    </row>
    <row r="177">
      <c r="A177" s="65" t="n">
        <v>165</v>
      </c>
      <c r="B177" s="65" t="n">
        <v>164</v>
      </c>
      <c r="C177" s="66" t="n">
        <v>4619.59</v>
      </c>
      <c r="D177" s="66" t="n">
        <v>4581.76547</v>
      </c>
      <c r="E177" s="67">
        <f>C177-D177</f>
        <v/>
      </c>
      <c r="F177" s="67">
        <f>(E177-F757)^2</f>
        <v/>
      </c>
      <c r="G177" s="66">
        <f>(E177-F757)^3</f>
        <v/>
      </c>
      <c r="H177" s="66">
        <f>(E177-F757)^4</f>
        <v/>
      </c>
      <c r="I177" s="65" t="inlineStr"/>
    </row>
    <row r="178">
      <c r="A178" s="68" t="n">
        <v>166</v>
      </c>
      <c r="B178" s="68" t="n">
        <v>165</v>
      </c>
      <c r="C178" s="69" t="n">
        <v>4620.13</v>
      </c>
      <c r="D178" s="69" t="n">
        <v>4581.96791</v>
      </c>
      <c r="E178" s="70">
        <f>C178-D178</f>
        <v/>
      </c>
      <c r="F178" s="70">
        <f>(E178-F757)^2</f>
        <v/>
      </c>
      <c r="G178" s="69">
        <f>(E178-F757)^3</f>
        <v/>
      </c>
      <c r="H178" s="69">
        <f>(E178-F757)^4</f>
        <v/>
      </c>
      <c r="I178" s="68" t="inlineStr"/>
    </row>
    <row r="179">
      <c r="A179" s="65" t="n">
        <v>167</v>
      </c>
      <c r="B179" s="65" t="n">
        <v>166</v>
      </c>
      <c r="C179" s="66" t="n">
        <v>4623.09</v>
      </c>
      <c r="D179" s="66" t="n">
        <v>4582.17036</v>
      </c>
      <c r="E179" s="67">
        <f>C179-D179</f>
        <v/>
      </c>
      <c r="F179" s="67">
        <f>(E179-F757)^2</f>
        <v/>
      </c>
      <c r="G179" s="66">
        <f>(E179-F757)^3</f>
        <v/>
      </c>
      <c r="H179" s="66">
        <f>(E179-F757)^4</f>
        <v/>
      </c>
      <c r="I179" s="65" t="inlineStr"/>
    </row>
    <row r="180">
      <c r="A180" s="68" t="n">
        <v>168</v>
      </c>
      <c r="B180" s="68" t="n">
        <v>167</v>
      </c>
      <c r="C180" s="69" t="n">
        <v>4615.65</v>
      </c>
      <c r="D180" s="69" t="n">
        <v>4582.3728</v>
      </c>
      <c r="E180" s="70">
        <f>C180-D180</f>
        <v/>
      </c>
      <c r="F180" s="70">
        <f>(E180-F757)^2</f>
        <v/>
      </c>
      <c r="G180" s="69">
        <f>(E180-F757)^3</f>
        <v/>
      </c>
      <c r="H180" s="69">
        <f>(E180-F757)^4</f>
        <v/>
      </c>
      <c r="I180" s="68" t="inlineStr"/>
    </row>
    <row r="181">
      <c r="A181" s="65" t="n">
        <v>169</v>
      </c>
      <c r="B181" s="65" t="n">
        <v>168</v>
      </c>
      <c r="C181" s="66" t="n">
        <v>4615.35</v>
      </c>
      <c r="D181" s="66" t="n">
        <v>4582.57525</v>
      </c>
      <c r="E181" s="67">
        <f>C181-D181</f>
        <v/>
      </c>
      <c r="F181" s="67">
        <f>(E181-F757)^2</f>
        <v/>
      </c>
      <c r="G181" s="66">
        <f>(E181-F757)^3</f>
        <v/>
      </c>
      <c r="H181" s="66">
        <f>(E181-F757)^4</f>
        <v/>
      </c>
      <c r="I181" s="65" t="inlineStr"/>
    </row>
    <row r="182">
      <c r="A182" s="68" t="n">
        <v>170</v>
      </c>
      <c r="B182" s="68" t="n">
        <v>169</v>
      </c>
      <c r="C182" s="69" t="n">
        <v>4611.63</v>
      </c>
      <c r="D182" s="69" t="n">
        <v>4582.77769</v>
      </c>
      <c r="E182" s="70">
        <f>C182-D182</f>
        <v/>
      </c>
      <c r="F182" s="70">
        <f>(E182-F757)^2</f>
        <v/>
      </c>
      <c r="G182" s="69">
        <f>(E182-F757)^3</f>
        <v/>
      </c>
      <c r="H182" s="69">
        <f>(E182-F757)^4</f>
        <v/>
      </c>
      <c r="I182" s="68" t="inlineStr"/>
    </row>
    <row r="183">
      <c r="A183" s="65" t="n">
        <v>171</v>
      </c>
      <c r="B183" s="65" t="n">
        <v>170</v>
      </c>
      <c r="C183" s="66" t="n">
        <v>4608.08</v>
      </c>
      <c r="D183" s="66" t="n">
        <v>4582.98014</v>
      </c>
      <c r="E183" s="67">
        <f>C183-D183</f>
        <v/>
      </c>
      <c r="F183" s="67">
        <f>(E183-F757)^2</f>
        <v/>
      </c>
      <c r="G183" s="66">
        <f>(E183-F757)^3</f>
        <v/>
      </c>
      <c r="H183" s="66">
        <f>(E183-F757)^4</f>
        <v/>
      </c>
      <c r="I183" s="65" t="inlineStr"/>
    </row>
    <row r="184">
      <c r="A184" s="68" t="n">
        <v>172</v>
      </c>
      <c r="B184" s="68" t="n">
        <v>171</v>
      </c>
      <c r="C184" s="69" t="n">
        <v>4609.12</v>
      </c>
      <c r="D184" s="69" t="n">
        <v>4583.18259</v>
      </c>
      <c r="E184" s="70">
        <f>C184-D184</f>
        <v/>
      </c>
      <c r="F184" s="70">
        <f>(E184-F757)^2</f>
        <v/>
      </c>
      <c r="G184" s="69">
        <f>(E184-F757)^3</f>
        <v/>
      </c>
      <c r="H184" s="69">
        <f>(E184-F757)^4</f>
        <v/>
      </c>
      <c r="I184" s="68" t="inlineStr"/>
    </row>
    <row r="185">
      <c r="A185" s="65" t="n">
        <v>173</v>
      </c>
      <c r="B185" s="65" t="n">
        <v>172</v>
      </c>
      <c r="C185" s="66" t="n">
        <v>4607.62</v>
      </c>
      <c r="D185" s="66" t="n">
        <v>4583.38503</v>
      </c>
      <c r="E185" s="67">
        <f>C185-D185</f>
        <v/>
      </c>
      <c r="F185" s="67">
        <f>(E185-F757)^2</f>
        <v/>
      </c>
      <c r="G185" s="66">
        <f>(E185-F757)^3</f>
        <v/>
      </c>
      <c r="H185" s="66">
        <f>(E185-F757)^4</f>
        <v/>
      </c>
      <c r="I185" s="65" t="inlineStr"/>
    </row>
    <row r="186">
      <c r="A186" s="68" t="n">
        <v>174</v>
      </c>
      <c r="B186" s="68" t="n">
        <v>173</v>
      </c>
      <c r="C186" s="69" t="n">
        <v>4615.95</v>
      </c>
      <c r="D186" s="69" t="n">
        <v>4583.58748</v>
      </c>
      <c r="E186" s="70">
        <f>C186-D186</f>
        <v/>
      </c>
      <c r="F186" s="70">
        <f>(E186-F757)^2</f>
        <v/>
      </c>
      <c r="G186" s="69">
        <f>(E186-F757)^3</f>
        <v/>
      </c>
      <c r="H186" s="69">
        <f>(E186-F757)^4</f>
        <v/>
      </c>
      <c r="I186" s="68" t="inlineStr"/>
    </row>
    <row r="187">
      <c r="A187" s="65" t="n">
        <v>175</v>
      </c>
      <c r="B187" s="65" t="n">
        <v>174</v>
      </c>
      <c r="C187" s="66" t="n">
        <v>4618</v>
      </c>
      <c r="D187" s="66" t="n">
        <v>4583.78992</v>
      </c>
      <c r="E187" s="67">
        <f>C187-D187</f>
        <v/>
      </c>
      <c r="F187" s="67">
        <f>(E187-F757)^2</f>
        <v/>
      </c>
      <c r="G187" s="66">
        <f>(E187-F757)^3</f>
        <v/>
      </c>
      <c r="H187" s="66">
        <f>(E187-F757)^4</f>
        <v/>
      </c>
      <c r="I187" s="65" t="inlineStr"/>
    </row>
    <row r="188">
      <c r="A188" s="68" t="n">
        <v>176</v>
      </c>
      <c r="B188" s="68" t="n">
        <v>175</v>
      </c>
      <c r="C188" s="69" t="n">
        <v>4617.86</v>
      </c>
      <c r="D188" s="69" t="n">
        <v>4583.99237</v>
      </c>
      <c r="E188" s="70">
        <f>C188-D188</f>
        <v/>
      </c>
      <c r="F188" s="70">
        <f>(E188-F757)^2</f>
        <v/>
      </c>
      <c r="G188" s="69">
        <f>(E188-F757)^3</f>
        <v/>
      </c>
      <c r="H188" s="69">
        <f>(E188-F757)^4</f>
        <v/>
      </c>
      <c r="I188" s="68" t="inlineStr"/>
    </row>
    <row r="189">
      <c r="A189" s="65" t="n">
        <v>177</v>
      </c>
      <c r="B189" s="65" t="n">
        <v>176</v>
      </c>
      <c r="C189" s="66" t="n">
        <v>4616.86</v>
      </c>
      <c r="D189" s="66" t="n">
        <v>4584.19481</v>
      </c>
      <c r="E189" s="67">
        <f>C189-D189</f>
        <v/>
      </c>
      <c r="F189" s="67">
        <f>(E189-F757)^2</f>
        <v/>
      </c>
      <c r="G189" s="66">
        <f>(E189-F757)^3</f>
        <v/>
      </c>
      <c r="H189" s="66">
        <f>(E189-F757)^4</f>
        <v/>
      </c>
      <c r="I189" s="65" t="inlineStr"/>
    </row>
    <row r="190">
      <c r="A190" s="68" t="n">
        <v>178</v>
      </c>
      <c r="B190" s="68" t="n">
        <v>177</v>
      </c>
      <c r="C190" s="69" t="n">
        <v>4620.57</v>
      </c>
      <c r="D190" s="69" t="n">
        <v>4584.39726</v>
      </c>
      <c r="E190" s="70">
        <f>C190-D190</f>
        <v/>
      </c>
      <c r="F190" s="70">
        <f>(E190-F757)^2</f>
        <v/>
      </c>
      <c r="G190" s="69">
        <f>(E190-F757)^3</f>
        <v/>
      </c>
      <c r="H190" s="69">
        <f>(E190-F757)^4</f>
        <v/>
      </c>
      <c r="I190" s="68" t="inlineStr"/>
    </row>
    <row r="191">
      <c r="A191" s="65" t="n">
        <v>179</v>
      </c>
      <c r="B191" s="65" t="n">
        <v>178</v>
      </c>
      <c r="C191" s="66" t="n">
        <v>4620.79</v>
      </c>
      <c r="D191" s="66" t="n">
        <v>4584.5997</v>
      </c>
      <c r="E191" s="67">
        <f>C191-D191</f>
        <v/>
      </c>
      <c r="F191" s="67">
        <f>(E191-F757)^2</f>
        <v/>
      </c>
      <c r="G191" s="66">
        <f>(E191-F757)^3</f>
        <v/>
      </c>
      <c r="H191" s="66">
        <f>(E191-F757)^4</f>
        <v/>
      </c>
      <c r="I191" s="65" t="inlineStr"/>
    </row>
    <row r="192">
      <c r="A192" s="68" t="n">
        <v>180</v>
      </c>
      <c r="B192" s="68" t="n">
        <v>179</v>
      </c>
      <c r="C192" s="69" t="n">
        <v>4620.7</v>
      </c>
      <c r="D192" s="69" t="n">
        <v>4584.80215</v>
      </c>
      <c r="E192" s="70">
        <f>C192-D192</f>
        <v/>
      </c>
      <c r="F192" s="70">
        <f>(E192-F757)^2</f>
        <v/>
      </c>
      <c r="G192" s="69">
        <f>(E192-F757)^3</f>
        <v/>
      </c>
      <c r="H192" s="69">
        <f>(E192-F757)^4</f>
        <v/>
      </c>
      <c r="I192" s="68" t="inlineStr"/>
    </row>
    <row r="193">
      <c r="A193" s="65" t="n">
        <v>181</v>
      </c>
      <c r="B193" s="65" t="n">
        <v>180</v>
      </c>
      <c r="C193" s="66" t="n">
        <v>4622.48</v>
      </c>
      <c r="D193" s="66" t="n">
        <v>4585.0046</v>
      </c>
      <c r="E193" s="67">
        <f>C193-D193</f>
        <v/>
      </c>
      <c r="F193" s="67">
        <f>(E193-F757)^2</f>
        <v/>
      </c>
      <c r="G193" s="66">
        <f>(E193-F757)^3</f>
        <v/>
      </c>
      <c r="H193" s="66">
        <f>(E193-F757)^4</f>
        <v/>
      </c>
      <c r="I193" s="65" t="inlineStr"/>
    </row>
    <row r="194">
      <c r="A194" s="68" t="n">
        <v>182</v>
      </c>
      <c r="B194" s="68" t="n">
        <v>181</v>
      </c>
      <c r="C194" s="69" t="n">
        <v>4624.33</v>
      </c>
      <c r="D194" s="69" t="n">
        <v>4585.20704</v>
      </c>
      <c r="E194" s="70">
        <f>C194-D194</f>
        <v/>
      </c>
      <c r="F194" s="70">
        <f>(E194-F757)^2</f>
        <v/>
      </c>
      <c r="G194" s="69">
        <f>(E194-F757)^3</f>
        <v/>
      </c>
      <c r="H194" s="69">
        <f>(E194-F757)^4</f>
        <v/>
      </c>
      <c r="I194" s="68" t="inlineStr"/>
    </row>
    <row r="195">
      <c r="A195" s="65" t="n">
        <v>183</v>
      </c>
      <c r="B195" s="65" t="n">
        <v>182</v>
      </c>
      <c r="C195" s="66" t="n">
        <v>4617.77</v>
      </c>
      <c r="D195" s="66" t="n">
        <v>4585.40949</v>
      </c>
      <c r="E195" s="67">
        <f>C195-D195</f>
        <v/>
      </c>
      <c r="F195" s="67">
        <f>(E195-F757)^2</f>
        <v/>
      </c>
      <c r="G195" s="66">
        <f>(E195-F757)^3</f>
        <v/>
      </c>
      <c r="H195" s="66">
        <f>(E195-F757)^4</f>
        <v/>
      </c>
      <c r="I195" s="65" t="inlineStr"/>
    </row>
    <row r="196">
      <c r="A196" s="68" t="n">
        <v>184</v>
      </c>
      <c r="B196" s="68" t="n">
        <v>183</v>
      </c>
      <c r="C196" s="69" t="n">
        <v>4622.49</v>
      </c>
      <c r="D196" s="69" t="n">
        <v>4585.61193</v>
      </c>
      <c r="E196" s="70">
        <f>C196-D196</f>
        <v/>
      </c>
      <c r="F196" s="70">
        <f>(E196-F757)^2</f>
        <v/>
      </c>
      <c r="G196" s="69">
        <f>(E196-F757)^3</f>
        <v/>
      </c>
      <c r="H196" s="69">
        <f>(E196-F757)^4</f>
        <v/>
      </c>
      <c r="I196" s="68" t="inlineStr"/>
    </row>
    <row r="197">
      <c r="A197" s="65" t="n">
        <v>185</v>
      </c>
      <c r="B197" s="65" t="n">
        <v>184</v>
      </c>
      <c r="C197" s="66" t="n">
        <v>4617.07</v>
      </c>
      <c r="D197" s="66" t="n">
        <v>4585.81438</v>
      </c>
      <c r="E197" s="67">
        <f>C197-D197</f>
        <v/>
      </c>
      <c r="F197" s="67">
        <f>(E197-F757)^2</f>
        <v/>
      </c>
      <c r="G197" s="66">
        <f>(E197-F757)^3</f>
        <v/>
      </c>
      <c r="H197" s="66">
        <f>(E197-F757)^4</f>
        <v/>
      </c>
      <c r="I197" s="65" t="inlineStr"/>
    </row>
    <row r="198">
      <c r="A198" s="68" t="n">
        <v>186</v>
      </c>
      <c r="B198" s="68" t="n">
        <v>185</v>
      </c>
      <c r="C198" s="69" t="n">
        <v>4616.16</v>
      </c>
      <c r="D198" s="69" t="n">
        <v>4586.01682</v>
      </c>
      <c r="E198" s="70">
        <f>C198-D198</f>
        <v/>
      </c>
      <c r="F198" s="70">
        <f>(E198-F757)^2</f>
        <v/>
      </c>
      <c r="G198" s="69">
        <f>(E198-F757)^3</f>
        <v/>
      </c>
      <c r="H198" s="69">
        <f>(E198-F757)^4</f>
        <v/>
      </c>
      <c r="I198" s="68" t="inlineStr"/>
    </row>
    <row r="199">
      <c r="A199" s="65" t="n">
        <v>187</v>
      </c>
      <c r="B199" s="65" t="n">
        <v>186</v>
      </c>
      <c r="C199" s="66" t="n">
        <v>4616.72</v>
      </c>
      <c r="D199" s="66" t="n">
        <v>4586.21927</v>
      </c>
      <c r="E199" s="67">
        <f>C199-D199</f>
        <v/>
      </c>
      <c r="F199" s="67">
        <f>(E199-F757)^2</f>
        <v/>
      </c>
      <c r="G199" s="66">
        <f>(E199-F757)^3</f>
        <v/>
      </c>
      <c r="H199" s="66">
        <f>(E199-F757)^4</f>
        <v/>
      </c>
      <c r="I199" s="65" t="inlineStr"/>
    </row>
    <row r="200">
      <c r="A200" s="68" t="n">
        <v>188</v>
      </c>
      <c r="B200" s="68" t="n">
        <v>187</v>
      </c>
      <c r="C200" s="69" t="n">
        <v>4617.33</v>
      </c>
      <c r="D200" s="69" t="n">
        <v>4586.42172</v>
      </c>
      <c r="E200" s="70">
        <f>C200-D200</f>
        <v/>
      </c>
      <c r="F200" s="70">
        <f>(E200-F757)^2</f>
        <v/>
      </c>
      <c r="G200" s="69">
        <f>(E200-F757)^3</f>
        <v/>
      </c>
      <c r="H200" s="69">
        <f>(E200-F757)^4</f>
        <v/>
      </c>
      <c r="I200" s="68" t="inlineStr"/>
    </row>
    <row r="201">
      <c r="A201" s="65" t="n">
        <v>189</v>
      </c>
      <c r="B201" s="65" t="n">
        <v>188</v>
      </c>
      <c r="C201" s="66" t="n">
        <v>4621.81</v>
      </c>
      <c r="D201" s="66" t="n">
        <v>4586.62416</v>
      </c>
      <c r="E201" s="67">
        <f>C201-D201</f>
        <v/>
      </c>
      <c r="F201" s="67">
        <f>(E201-F757)^2</f>
        <v/>
      </c>
      <c r="G201" s="66">
        <f>(E201-F757)^3</f>
        <v/>
      </c>
      <c r="H201" s="66">
        <f>(E201-F757)^4</f>
        <v/>
      </c>
      <c r="I201" s="65" t="inlineStr"/>
    </row>
    <row r="202">
      <c r="A202" s="68" t="n">
        <v>190</v>
      </c>
      <c r="B202" s="68" t="n">
        <v>189</v>
      </c>
      <c r="C202" s="69" t="n">
        <v>4631.38</v>
      </c>
      <c r="D202" s="69" t="n">
        <v>4586.82661</v>
      </c>
      <c r="E202" s="70">
        <f>C202-D202</f>
        <v/>
      </c>
      <c r="F202" s="70">
        <f>(E202-F757)^2</f>
        <v/>
      </c>
      <c r="G202" s="69">
        <f>(E202-F757)^3</f>
        <v/>
      </c>
      <c r="H202" s="69">
        <f>(E202-F757)^4</f>
        <v/>
      </c>
      <c r="I202" s="68" t="inlineStr"/>
    </row>
    <row r="203">
      <c r="A203" s="65" t="n">
        <v>191</v>
      </c>
      <c r="B203" s="65" t="n">
        <v>190</v>
      </c>
      <c r="C203" s="66" t="n">
        <v>4631.38</v>
      </c>
      <c r="D203" s="66" t="n">
        <v>4587.02905</v>
      </c>
      <c r="E203" s="67">
        <f>C203-D203</f>
        <v/>
      </c>
      <c r="F203" s="67">
        <f>(E203-F757)^2</f>
        <v/>
      </c>
      <c r="G203" s="66">
        <f>(E203-F757)^3</f>
        <v/>
      </c>
      <c r="H203" s="66">
        <f>(E203-F757)^4</f>
        <v/>
      </c>
      <c r="I203" s="65" t="inlineStr"/>
    </row>
    <row r="204">
      <c r="A204" s="68" t="n">
        <v>192</v>
      </c>
      <c r="B204" s="68" t="n">
        <v>191</v>
      </c>
      <c r="C204" s="69" t="n">
        <v>4631.75</v>
      </c>
      <c r="D204" s="69" t="n">
        <v>4587.2315</v>
      </c>
      <c r="E204" s="70">
        <f>C204-D204</f>
        <v/>
      </c>
      <c r="F204" s="70">
        <f>(E204-F757)^2</f>
        <v/>
      </c>
      <c r="G204" s="69">
        <f>(E204-F757)^3</f>
        <v/>
      </c>
      <c r="H204" s="69">
        <f>(E204-F757)^4</f>
        <v/>
      </c>
      <c r="I204" s="68" t="inlineStr"/>
    </row>
    <row r="205">
      <c r="A205" s="65" t="n">
        <v>193</v>
      </c>
      <c r="B205" s="65" t="n">
        <v>192</v>
      </c>
      <c r="C205" s="66" t="n">
        <v>4630.51</v>
      </c>
      <c r="D205" s="66" t="n">
        <v>4587.43394</v>
      </c>
      <c r="E205" s="67">
        <f>C205-D205</f>
        <v/>
      </c>
      <c r="F205" s="67">
        <f>(E205-F757)^2</f>
        <v/>
      </c>
      <c r="G205" s="66">
        <f>(E205-F757)^3</f>
        <v/>
      </c>
      <c r="H205" s="66">
        <f>(E205-F757)^4</f>
        <v/>
      </c>
      <c r="I205" s="65" t="inlineStr"/>
    </row>
    <row r="206">
      <c r="A206" s="68" t="n">
        <v>194</v>
      </c>
      <c r="B206" s="68" t="n">
        <v>193</v>
      </c>
      <c r="C206" s="69" t="n">
        <v>4630.26</v>
      </c>
      <c r="D206" s="69" t="n">
        <v>4587.63639</v>
      </c>
      <c r="E206" s="70">
        <f>C206-D206</f>
        <v/>
      </c>
      <c r="F206" s="70">
        <f>(E206-F757)^2</f>
        <v/>
      </c>
      <c r="G206" s="69">
        <f>(E206-F757)^3</f>
        <v/>
      </c>
      <c r="H206" s="69">
        <f>(E206-F757)^4</f>
        <v/>
      </c>
      <c r="I206" s="68" t="inlineStr"/>
    </row>
    <row r="207">
      <c r="A207" s="65" t="n">
        <v>195</v>
      </c>
      <c r="B207" s="65" t="n">
        <v>194</v>
      </c>
      <c r="C207" s="66" t="n">
        <v>4630.75</v>
      </c>
      <c r="D207" s="66" t="n">
        <v>4587.83884</v>
      </c>
      <c r="E207" s="67">
        <f>C207-D207</f>
        <v/>
      </c>
      <c r="F207" s="67">
        <f>(E207-F757)^2</f>
        <v/>
      </c>
      <c r="G207" s="66">
        <f>(E207-F757)^3</f>
        <v/>
      </c>
      <c r="H207" s="66">
        <f>(E207-F757)^4</f>
        <v/>
      </c>
      <c r="I207" s="65" t="inlineStr"/>
    </row>
    <row r="208">
      <c r="A208" s="68" t="n">
        <v>196</v>
      </c>
      <c r="B208" s="68" t="n">
        <v>195</v>
      </c>
      <c r="C208" s="69" t="n">
        <v>4631.31</v>
      </c>
      <c r="D208" s="69" t="n">
        <v>4588.04128</v>
      </c>
      <c r="E208" s="70">
        <f>C208-D208</f>
        <v/>
      </c>
      <c r="F208" s="70">
        <f>(E208-F757)^2</f>
        <v/>
      </c>
      <c r="G208" s="69">
        <f>(E208-F757)^3</f>
        <v/>
      </c>
      <c r="H208" s="69">
        <f>(E208-F757)^4</f>
        <v/>
      </c>
      <c r="I208" s="68" t="inlineStr"/>
    </row>
    <row r="209">
      <c r="A209" s="65" t="n">
        <v>197</v>
      </c>
      <c r="B209" s="65" t="n">
        <v>196</v>
      </c>
      <c r="C209" s="66" t="n">
        <v>4626.71</v>
      </c>
      <c r="D209" s="66" t="n">
        <v>4588.24373</v>
      </c>
      <c r="E209" s="67">
        <f>C209-D209</f>
        <v/>
      </c>
      <c r="F209" s="67">
        <f>(E209-F757)^2</f>
        <v/>
      </c>
      <c r="G209" s="66">
        <f>(E209-F757)^3</f>
        <v/>
      </c>
      <c r="H209" s="66">
        <f>(E209-F757)^4</f>
        <v/>
      </c>
      <c r="I209" s="65" t="inlineStr"/>
    </row>
    <row r="210">
      <c r="A210" s="68" t="n">
        <v>198</v>
      </c>
      <c r="B210" s="68" t="n">
        <v>197</v>
      </c>
      <c r="C210" s="69" t="n">
        <v>4622.55</v>
      </c>
      <c r="D210" s="69" t="n">
        <v>4588.44617</v>
      </c>
      <c r="E210" s="70">
        <f>C210-D210</f>
        <v/>
      </c>
      <c r="F210" s="70">
        <f>(E210-F757)^2</f>
        <v/>
      </c>
      <c r="G210" s="69">
        <f>(E210-F757)^3</f>
        <v/>
      </c>
      <c r="H210" s="69">
        <f>(E210-F757)^4</f>
        <v/>
      </c>
      <c r="I210" s="68" t="inlineStr"/>
    </row>
    <row r="211">
      <c r="A211" s="65" t="n">
        <v>199</v>
      </c>
      <c r="B211" s="65" t="n">
        <v>198</v>
      </c>
      <c r="C211" s="66" t="n">
        <v>4623.65</v>
      </c>
      <c r="D211" s="66" t="n">
        <v>4588.64862</v>
      </c>
      <c r="E211" s="67">
        <f>C211-D211</f>
        <v/>
      </c>
      <c r="F211" s="67">
        <f>(E211-F757)^2</f>
        <v/>
      </c>
      <c r="G211" s="66">
        <f>(E211-F757)^3</f>
        <v/>
      </c>
      <c r="H211" s="66">
        <f>(E211-F757)^4</f>
        <v/>
      </c>
      <c r="I211" s="65" t="inlineStr"/>
    </row>
    <row r="212">
      <c r="A212" s="68" t="n">
        <v>200</v>
      </c>
      <c r="B212" s="68" t="n">
        <v>199</v>
      </c>
      <c r="C212" s="69" t="n">
        <v>4620.9</v>
      </c>
      <c r="D212" s="69" t="n">
        <v>4588.85106</v>
      </c>
      <c r="E212" s="70">
        <f>C212-D212</f>
        <v/>
      </c>
      <c r="F212" s="70">
        <f>(E212-F757)^2</f>
        <v/>
      </c>
      <c r="G212" s="69">
        <f>(E212-F757)^3</f>
        <v/>
      </c>
      <c r="H212" s="69">
        <f>(E212-F757)^4</f>
        <v/>
      </c>
      <c r="I212" s="68" t="inlineStr"/>
    </row>
    <row r="213">
      <c r="A213" s="65" t="n">
        <v>201</v>
      </c>
      <c r="B213" s="65" t="n">
        <v>200</v>
      </c>
      <c r="C213" s="66" t="n">
        <v>4620.02</v>
      </c>
      <c r="D213" s="66" t="n">
        <v>4589.05351</v>
      </c>
      <c r="E213" s="67">
        <f>C213-D213</f>
        <v/>
      </c>
      <c r="F213" s="67">
        <f>(E213-F757)^2</f>
        <v/>
      </c>
      <c r="G213" s="66">
        <f>(E213-F757)^3</f>
        <v/>
      </c>
      <c r="H213" s="66">
        <f>(E213-F757)^4</f>
        <v/>
      </c>
      <c r="I213" s="65" t="inlineStr"/>
    </row>
    <row r="214">
      <c r="A214" s="68" t="n">
        <v>202</v>
      </c>
      <c r="B214" s="68" t="n">
        <v>201</v>
      </c>
      <c r="C214" s="69" t="n">
        <v>4618.7</v>
      </c>
      <c r="D214" s="69" t="n">
        <v>4589.25596</v>
      </c>
      <c r="E214" s="70">
        <f>C214-D214</f>
        <v/>
      </c>
      <c r="F214" s="70">
        <f>(E214-F757)^2</f>
        <v/>
      </c>
      <c r="G214" s="69">
        <f>(E214-F757)^3</f>
        <v/>
      </c>
      <c r="H214" s="69">
        <f>(E214-F757)^4</f>
        <v/>
      </c>
      <c r="I214" s="68" t="inlineStr"/>
    </row>
    <row r="215">
      <c r="A215" s="65" t="n">
        <v>203</v>
      </c>
      <c r="B215" s="65" t="n">
        <v>202</v>
      </c>
      <c r="C215" s="66" t="n">
        <v>4616.68</v>
      </c>
      <c r="D215" s="66" t="n">
        <v>4589.4584</v>
      </c>
      <c r="E215" s="67">
        <f>C215-D215</f>
        <v/>
      </c>
      <c r="F215" s="67">
        <f>(E215-F757)^2</f>
        <v/>
      </c>
      <c r="G215" s="66">
        <f>(E215-F757)^3</f>
        <v/>
      </c>
      <c r="H215" s="66">
        <f>(E215-F757)^4</f>
        <v/>
      </c>
      <c r="I215" s="65" t="inlineStr"/>
    </row>
    <row r="216">
      <c r="A216" s="68" t="n">
        <v>204</v>
      </c>
      <c r="B216" s="68" t="n">
        <v>203</v>
      </c>
      <c r="C216" s="69" t="n">
        <v>4620.2</v>
      </c>
      <c r="D216" s="69" t="n">
        <v>4589.66085</v>
      </c>
      <c r="E216" s="70">
        <f>C216-D216</f>
        <v/>
      </c>
      <c r="F216" s="70">
        <f>(E216-F757)^2</f>
        <v/>
      </c>
      <c r="G216" s="69">
        <f>(E216-F757)^3</f>
        <v/>
      </c>
      <c r="H216" s="69">
        <f>(E216-F757)^4</f>
        <v/>
      </c>
      <c r="I216" s="68" t="inlineStr"/>
    </row>
    <row r="217">
      <c r="A217" s="65" t="n">
        <v>205</v>
      </c>
      <c r="B217" s="65" t="n">
        <v>204</v>
      </c>
      <c r="C217" s="66" t="n">
        <v>4621.05</v>
      </c>
      <c r="D217" s="66" t="n">
        <v>4589.86329</v>
      </c>
      <c r="E217" s="67">
        <f>C217-D217</f>
        <v/>
      </c>
      <c r="F217" s="67">
        <f>(E217-F757)^2</f>
        <v/>
      </c>
      <c r="G217" s="66">
        <f>(E217-F757)^3</f>
        <v/>
      </c>
      <c r="H217" s="66">
        <f>(E217-F757)^4</f>
        <v/>
      </c>
      <c r="I217" s="65" t="inlineStr"/>
    </row>
    <row r="218">
      <c r="A218" s="68" t="n">
        <v>206</v>
      </c>
      <c r="B218" s="68" t="n">
        <v>205</v>
      </c>
      <c r="C218" s="69" t="n">
        <v>4630.89</v>
      </c>
      <c r="D218" s="69" t="n">
        <v>4590.06574</v>
      </c>
      <c r="E218" s="70">
        <f>C218-D218</f>
        <v/>
      </c>
      <c r="F218" s="70">
        <f>(E218-F757)^2</f>
        <v/>
      </c>
      <c r="G218" s="69">
        <f>(E218-F757)^3</f>
        <v/>
      </c>
      <c r="H218" s="69">
        <f>(E218-F757)^4</f>
        <v/>
      </c>
      <c r="I218" s="68" t="inlineStr"/>
    </row>
    <row r="219">
      <c r="A219" s="65" t="n">
        <v>207</v>
      </c>
      <c r="B219" s="65" t="n">
        <v>206</v>
      </c>
      <c r="C219" s="66" t="n">
        <v>4629.39</v>
      </c>
      <c r="D219" s="66" t="n">
        <v>4590.26818</v>
      </c>
      <c r="E219" s="67">
        <f>C219-D219</f>
        <v/>
      </c>
      <c r="F219" s="67">
        <f>(E219-F757)^2</f>
        <v/>
      </c>
      <c r="G219" s="66">
        <f>(E219-F757)^3</f>
        <v/>
      </c>
      <c r="H219" s="66">
        <f>(E219-F757)^4</f>
        <v/>
      </c>
      <c r="I219" s="65" t="inlineStr"/>
    </row>
    <row r="220">
      <c r="A220" s="68" t="n">
        <v>208</v>
      </c>
      <c r="B220" s="68" t="n">
        <v>207</v>
      </c>
      <c r="C220" s="69" t="n">
        <v>4624.38</v>
      </c>
      <c r="D220" s="69" t="n">
        <v>4590.47063</v>
      </c>
      <c r="E220" s="70">
        <f>C220-D220</f>
        <v/>
      </c>
      <c r="F220" s="70">
        <f>(E220-F757)^2</f>
        <v/>
      </c>
      <c r="G220" s="69">
        <f>(E220-F757)^3</f>
        <v/>
      </c>
      <c r="H220" s="69">
        <f>(E220-F757)^4</f>
        <v/>
      </c>
      <c r="I220" s="68" t="inlineStr"/>
    </row>
    <row r="221">
      <c r="A221" s="65" t="n">
        <v>209</v>
      </c>
      <c r="B221" s="65" t="n">
        <v>208</v>
      </c>
      <c r="C221" s="66" t="n">
        <v>4619.15</v>
      </c>
      <c r="D221" s="66" t="n">
        <v>4590.67308</v>
      </c>
      <c r="E221" s="67">
        <f>C221-D221</f>
        <v/>
      </c>
      <c r="F221" s="67">
        <f>(E221-F757)^2</f>
        <v/>
      </c>
      <c r="G221" s="66">
        <f>(E221-F757)^3</f>
        <v/>
      </c>
      <c r="H221" s="66">
        <f>(E221-F757)^4</f>
        <v/>
      </c>
      <c r="I221" s="65" t="inlineStr"/>
    </row>
    <row r="222">
      <c r="A222" s="68" t="n">
        <v>210</v>
      </c>
      <c r="B222" s="68" t="n">
        <v>209</v>
      </c>
      <c r="C222" s="69" t="n">
        <v>4620.85</v>
      </c>
      <c r="D222" s="69" t="n">
        <v>4590.87552</v>
      </c>
      <c r="E222" s="70">
        <f>C222-D222</f>
        <v/>
      </c>
      <c r="F222" s="70">
        <f>(E222-F757)^2</f>
        <v/>
      </c>
      <c r="G222" s="69">
        <f>(E222-F757)^3</f>
        <v/>
      </c>
      <c r="H222" s="69">
        <f>(E222-F757)^4</f>
        <v/>
      </c>
      <c r="I222" s="68" t="inlineStr"/>
    </row>
    <row r="223">
      <c r="A223" s="65" t="n">
        <v>211</v>
      </c>
      <c r="B223" s="65" t="n">
        <v>210</v>
      </c>
      <c r="C223" s="66" t="n">
        <v>4626.13</v>
      </c>
      <c r="D223" s="66" t="n">
        <v>4591.07797</v>
      </c>
      <c r="E223" s="67">
        <f>C223-D223</f>
        <v/>
      </c>
      <c r="F223" s="67">
        <f>(E223-F757)^2</f>
        <v/>
      </c>
      <c r="G223" s="66">
        <f>(E223-F757)^3</f>
        <v/>
      </c>
      <c r="H223" s="66">
        <f>(E223-F757)^4</f>
        <v/>
      </c>
      <c r="I223" s="65" t="inlineStr"/>
    </row>
    <row r="224">
      <c r="A224" s="68" t="n">
        <v>212</v>
      </c>
      <c r="B224" s="68" t="n">
        <v>211</v>
      </c>
      <c r="C224" s="69" t="n">
        <v>4626.21</v>
      </c>
      <c r="D224" s="69" t="n">
        <v>4591.28041</v>
      </c>
      <c r="E224" s="70">
        <f>C224-D224</f>
        <v/>
      </c>
      <c r="F224" s="70">
        <f>(E224-F757)^2</f>
        <v/>
      </c>
      <c r="G224" s="69">
        <f>(E224-F757)^3</f>
        <v/>
      </c>
      <c r="H224" s="69">
        <f>(E224-F757)^4</f>
        <v/>
      </c>
      <c r="I224" s="68" t="inlineStr"/>
    </row>
    <row r="225">
      <c r="A225" s="65" t="n">
        <v>213</v>
      </c>
      <c r="B225" s="65" t="n">
        <v>212</v>
      </c>
      <c r="C225" s="66" t="n">
        <v>4626.67</v>
      </c>
      <c r="D225" s="66" t="n">
        <v>4591.48286</v>
      </c>
      <c r="E225" s="67">
        <f>C225-D225</f>
        <v/>
      </c>
      <c r="F225" s="67">
        <f>(E225-F757)^2</f>
        <v/>
      </c>
      <c r="G225" s="66">
        <f>(E225-F757)^3</f>
        <v/>
      </c>
      <c r="H225" s="66">
        <f>(E225-F757)^4</f>
        <v/>
      </c>
      <c r="I225" s="65" t="inlineStr"/>
    </row>
    <row r="226">
      <c r="A226" s="68" t="n">
        <v>214</v>
      </c>
      <c r="B226" s="68" t="n">
        <v>213</v>
      </c>
      <c r="C226" s="69" t="n">
        <v>4621.93</v>
      </c>
      <c r="D226" s="69" t="n">
        <v>4591.6853</v>
      </c>
      <c r="E226" s="70">
        <f>C226-D226</f>
        <v/>
      </c>
      <c r="F226" s="70">
        <f>(E226-F757)^2</f>
        <v/>
      </c>
      <c r="G226" s="69">
        <f>(E226-F757)^3</f>
        <v/>
      </c>
      <c r="H226" s="69">
        <f>(E226-F757)^4</f>
        <v/>
      </c>
      <c r="I226" s="68" t="inlineStr"/>
    </row>
    <row r="227">
      <c r="A227" s="65" t="n">
        <v>215</v>
      </c>
      <c r="B227" s="65" t="n">
        <v>214</v>
      </c>
      <c r="C227" s="66" t="n">
        <v>4617.53</v>
      </c>
      <c r="D227" s="66" t="n">
        <v>4591.88775</v>
      </c>
      <c r="E227" s="67">
        <f>C227-D227</f>
        <v/>
      </c>
      <c r="F227" s="67">
        <f>(E227-F757)^2</f>
        <v/>
      </c>
      <c r="G227" s="66">
        <f>(E227-F757)^3</f>
        <v/>
      </c>
      <c r="H227" s="66">
        <f>(E227-F757)^4</f>
        <v/>
      </c>
      <c r="I227" s="65" t="inlineStr"/>
    </row>
    <row r="228">
      <c r="A228" s="68" t="n">
        <v>216</v>
      </c>
      <c r="B228" s="68" t="n">
        <v>215</v>
      </c>
      <c r="C228" s="69" t="n">
        <v>4613.51</v>
      </c>
      <c r="D228" s="69" t="n">
        <v>4592.0902</v>
      </c>
      <c r="E228" s="70">
        <f>C228-D228</f>
        <v/>
      </c>
      <c r="F228" s="70">
        <f>(E228-F757)^2</f>
        <v/>
      </c>
      <c r="G228" s="69">
        <f>(E228-F757)^3</f>
        <v/>
      </c>
      <c r="H228" s="69">
        <f>(E228-F757)^4</f>
        <v/>
      </c>
      <c r="I228" s="68" t="inlineStr"/>
    </row>
    <row r="229">
      <c r="A229" s="65" t="n">
        <v>217</v>
      </c>
      <c r="B229" s="65" t="n">
        <v>216</v>
      </c>
      <c r="C229" s="66" t="n">
        <v>4609.18</v>
      </c>
      <c r="D229" s="66" t="n">
        <v>4592.29264</v>
      </c>
      <c r="E229" s="67">
        <f>C229-D229</f>
        <v/>
      </c>
      <c r="F229" s="67">
        <f>(E229-F757)^2</f>
        <v/>
      </c>
      <c r="G229" s="66">
        <f>(E229-F757)^3</f>
        <v/>
      </c>
      <c r="H229" s="66">
        <f>(E229-F757)^4</f>
        <v/>
      </c>
      <c r="I229" s="65" t="inlineStr"/>
    </row>
    <row r="230">
      <c r="A230" s="68" t="n">
        <v>218</v>
      </c>
      <c r="B230" s="68" t="n">
        <v>217</v>
      </c>
      <c r="C230" s="69" t="n">
        <v>4614.29</v>
      </c>
      <c r="D230" s="69" t="n">
        <v>4592.49509</v>
      </c>
      <c r="E230" s="70">
        <f>C230-D230</f>
        <v/>
      </c>
      <c r="F230" s="70">
        <f>(E230-F757)^2</f>
        <v/>
      </c>
      <c r="G230" s="69">
        <f>(E230-F757)^3</f>
        <v/>
      </c>
      <c r="H230" s="69">
        <f>(E230-F757)^4</f>
        <v/>
      </c>
      <c r="I230" s="68" t="inlineStr"/>
    </row>
    <row r="231">
      <c r="A231" s="65" t="n">
        <v>219</v>
      </c>
      <c r="B231" s="65" t="n">
        <v>218</v>
      </c>
      <c r="C231" s="66" t="n">
        <v>4614.64</v>
      </c>
      <c r="D231" s="66" t="n">
        <v>4592.69753</v>
      </c>
      <c r="E231" s="67">
        <f>C231-D231</f>
        <v/>
      </c>
      <c r="F231" s="67">
        <f>(E231-F757)^2</f>
        <v/>
      </c>
      <c r="G231" s="66">
        <f>(E231-F757)^3</f>
        <v/>
      </c>
      <c r="H231" s="66">
        <f>(E231-F757)^4</f>
        <v/>
      </c>
      <c r="I231" s="65" t="inlineStr"/>
    </row>
    <row r="232">
      <c r="A232" s="68" t="n">
        <v>220</v>
      </c>
      <c r="B232" s="68" t="n">
        <v>219</v>
      </c>
      <c r="C232" s="69" t="n">
        <v>4610</v>
      </c>
      <c r="D232" s="69" t="n">
        <v>4592.89998</v>
      </c>
      <c r="E232" s="70">
        <f>C232-D232</f>
        <v/>
      </c>
      <c r="F232" s="70">
        <f>(E232-F757)^2</f>
        <v/>
      </c>
      <c r="G232" s="69">
        <f>(E232-F757)^3</f>
        <v/>
      </c>
      <c r="H232" s="69">
        <f>(E232-F757)^4</f>
        <v/>
      </c>
      <c r="I232" s="68" t="inlineStr"/>
    </row>
    <row r="233">
      <c r="A233" s="65" t="n">
        <v>221</v>
      </c>
      <c r="B233" s="65" t="n">
        <v>220</v>
      </c>
      <c r="C233" s="66" t="n">
        <v>4605.03</v>
      </c>
      <c r="D233" s="66" t="n">
        <v>4593.10242</v>
      </c>
      <c r="E233" s="67">
        <f>C233-D233</f>
        <v/>
      </c>
      <c r="F233" s="67">
        <f>(E233-F757)^2</f>
        <v/>
      </c>
      <c r="G233" s="66">
        <f>(E233-F757)^3</f>
        <v/>
      </c>
      <c r="H233" s="66">
        <f>(E233-F757)^4</f>
        <v/>
      </c>
      <c r="I233" s="65" t="inlineStr"/>
    </row>
    <row r="234">
      <c r="A234" s="68" t="n">
        <v>222</v>
      </c>
      <c r="B234" s="68" t="n">
        <v>221</v>
      </c>
      <c r="C234" s="69" t="n">
        <v>4601.49</v>
      </c>
      <c r="D234" s="69" t="n">
        <v>4593.30487</v>
      </c>
      <c r="E234" s="70">
        <f>C234-D234</f>
        <v/>
      </c>
      <c r="F234" s="70">
        <f>(E234-F757)^2</f>
        <v/>
      </c>
      <c r="G234" s="69">
        <f>(E234-F757)^3</f>
        <v/>
      </c>
      <c r="H234" s="69">
        <f>(E234-F757)^4</f>
        <v/>
      </c>
      <c r="I234" s="68" t="inlineStr"/>
    </row>
    <row r="235">
      <c r="A235" s="65" t="n">
        <v>223</v>
      </c>
      <c r="B235" s="65" t="n">
        <v>222</v>
      </c>
      <c r="C235" s="66" t="n">
        <v>4593.44</v>
      </c>
      <c r="D235" s="66" t="n">
        <v>4593.50732</v>
      </c>
      <c r="E235" s="67">
        <f>C235-D235</f>
        <v/>
      </c>
      <c r="F235" s="67">
        <f>(E235-F757)^2</f>
        <v/>
      </c>
      <c r="G235" s="66">
        <f>(E235-F757)^3</f>
        <v/>
      </c>
      <c r="H235" s="66">
        <f>(E235-F757)^4</f>
        <v/>
      </c>
      <c r="I235" s="65" t="inlineStr"/>
    </row>
    <row r="236">
      <c r="A236" s="68" t="n">
        <v>224</v>
      </c>
      <c r="B236" s="68" t="n">
        <v>223</v>
      </c>
      <c r="C236" s="69" t="n">
        <v>4593.36</v>
      </c>
      <c r="D236" s="69" t="n">
        <v>4593.70976</v>
      </c>
      <c r="E236" s="70">
        <f>C236-D236</f>
        <v/>
      </c>
      <c r="F236" s="70">
        <f>(E236-F757)^2</f>
        <v/>
      </c>
      <c r="G236" s="69">
        <f>(E236-F757)^3</f>
        <v/>
      </c>
      <c r="H236" s="69">
        <f>(E236-F757)^4</f>
        <v/>
      </c>
      <c r="I236" s="68" t="inlineStr"/>
    </row>
    <row r="237">
      <c r="A237" s="65" t="n">
        <v>225</v>
      </c>
      <c r="B237" s="65" t="n">
        <v>224</v>
      </c>
      <c r="C237" s="66" t="n">
        <v>4594.77</v>
      </c>
      <c r="D237" s="66" t="n">
        <v>4593.91221</v>
      </c>
      <c r="E237" s="67">
        <f>C237-D237</f>
        <v/>
      </c>
      <c r="F237" s="67">
        <f>(E237-F757)^2</f>
        <v/>
      </c>
      <c r="G237" s="66">
        <f>(E237-F757)^3</f>
        <v/>
      </c>
      <c r="H237" s="66">
        <f>(E237-F757)^4</f>
        <v/>
      </c>
      <c r="I237" s="65" t="inlineStr"/>
    </row>
    <row r="238">
      <c r="A238" s="68" t="n">
        <v>226</v>
      </c>
      <c r="B238" s="68" t="n">
        <v>225</v>
      </c>
      <c r="C238" s="69" t="n">
        <v>4595.97</v>
      </c>
      <c r="D238" s="69" t="n">
        <v>4594.11465</v>
      </c>
      <c r="E238" s="70">
        <f>C238-D238</f>
        <v/>
      </c>
      <c r="F238" s="70">
        <f>(E238-F757)^2</f>
        <v/>
      </c>
      <c r="G238" s="69">
        <f>(E238-F757)^3</f>
        <v/>
      </c>
      <c r="H238" s="69">
        <f>(E238-F757)^4</f>
        <v/>
      </c>
      <c r="I238" s="68" t="inlineStr"/>
    </row>
    <row r="239">
      <c r="A239" s="65" t="n">
        <v>227</v>
      </c>
      <c r="B239" s="65" t="n">
        <v>226</v>
      </c>
      <c r="C239" s="66" t="n">
        <v>4592.32</v>
      </c>
      <c r="D239" s="66" t="n">
        <v>4594.3171</v>
      </c>
      <c r="E239" s="67">
        <f>C239-D239</f>
        <v/>
      </c>
      <c r="F239" s="67">
        <f>(E239-F757)^2</f>
        <v/>
      </c>
      <c r="G239" s="66">
        <f>(E239-F757)^3</f>
        <v/>
      </c>
      <c r="H239" s="66">
        <f>(E239-F757)^4</f>
        <v/>
      </c>
      <c r="I239" s="65" t="inlineStr"/>
    </row>
    <row r="240">
      <c r="A240" s="68" t="n">
        <v>228</v>
      </c>
      <c r="B240" s="68" t="n">
        <v>227</v>
      </c>
      <c r="C240" s="69" t="n">
        <v>4585.41</v>
      </c>
      <c r="D240" s="69" t="n">
        <v>4594.51954</v>
      </c>
      <c r="E240" s="70">
        <f>C240-D240</f>
        <v/>
      </c>
      <c r="F240" s="70">
        <f>(E240-F757)^2</f>
        <v/>
      </c>
      <c r="G240" s="69">
        <f>(E240-F757)^3</f>
        <v/>
      </c>
      <c r="H240" s="69">
        <f>(E240-F757)^4</f>
        <v/>
      </c>
      <c r="I240" s="68" t="inlineStr"/>
    </row>
    <row r="241">
      <c r="A241" s="65" t="n">
        <v>229</v>
      </c>
      <c r="B241" s="65" t="n">
        <v>228</v>
      </c>
      <c r="C241" s="66" t="n">
        <v>4578.16</v>
      </c>
      <c r="D241" s="66" t="n">
        <v>4594.72199</v>
      </c>
      <c r="E241" s="67">
        <f>C241-D241</f>
        <v/>
      </c>
      <c r="F241" s="67">
        <f>(E241-F757)^2</f>
        <v/>
      </c>
      <c r="G241" s="66">
        <f>(E241-F757)^3</f>
        <v/>
      </c>
      <c r="H241" s="66">
        <f>(E241-F757)^4</f>
        <v/>
      </c>
      <c r="I241" s="65" t="inlineStr"/>
    </row>
    <row r="242">
      <c r="A242" s="68" t="n">
        <v>230</v>
      </c>
      <c r="B242" s="68" t="n">
        <v>229</v>
      </c>
      <c r="C242" s="69" t="n">
        <v>4574.06</v>
      </c>
      <c r="D242" s="69" t="n">
        <v>4594.92444</v>
      </c>
      <c r="E242" s="70">
        <f>C242-D242</f>
        <v/>
      </c>
      <c r="F242" s="70">
        <f>(E242-F757)^2</f>
        <v/>
      </c>
      <c r="G242" s="69">
        <f>(E242-F757)^3</f>
        <v/>
      </c>
      <c r="H242" s="69">
        <f>(E242-F757)^4</f>
        <v/>
      </c>
      <c r="I242" s="68" t="inlineStr"/>
    </row>
    <row r="243">
      <c r="A243" s="65" t="n">
        <v>231</v>
      </c>
      <c r="B243" s="65" t="n">
        <v>230</v>
      </c>
      <c r="C243" s="66" t="n">
        <v>4567.37</v>
      </c>
      <c r="D243" s="66" t="n">
        <v>4595.12688</v>
      </c>
      <c r="E243" s="67">
        <f>C243-D243</f>
        <v/>
      </c>
      <c r="F243" s="67">
        <f>(E243-F757)^2</f>
        <v/>
      </c>
      <c r="G243" s="66">
        <f>(E243-F757)^3</f>
        <v/>
      </c>
      <c r="H243" s="66">
        <f>(E243-F757)^4</f>
        <v/>
      </c>
      <c r="I243" s="65" t="inlineStr"/>
    </row>
    <row r="244">
      <c r="A244" s="68" t="n">
        <v>232</v>
      </c>
      <c r="B244" s="68" t="n">
        <v>231</v>
      </c>
      <c r="C244" s="69" t="n">
        <v>4571.29</v>
      </c>
      <c r="D244" s="69" t="n">
        <v>4595.32933</v>
      </c>
      <c r="E244" s="70">
        <f>C244-D244</f>
        <v/>
      </c>
      <c r="F244" s="70">
        <f>(E244-F757)^2</f>
        <v/>
      </c>
      <c r="G244" s="69">
        <f>(E244-F757)^3</f>
        <v/>
      </c>
      <c r="H244" s="69">
        <f>(E244-F757)^4</f>
        <v/>
      </c>
      <c r="I244" s="68" t="inlineStr"/>
    </row>
    <row r="245">
      <c r="A245" s="65" t="n">
        <v>233</v>
      </c>
      <c r="B245" s="65" t="n">
        <v>232</v>
      </c>
      <c r="C245" s="66" t="n">
        <v>4568.51</v>
      </c>
      <c r="D245" s="66" t="n">
        <v>4595.53177</v>
      </c>
      <c r="E245" s="67">
        <f>C245-D245</f>
        <v/>
      </c>
      <c r="F245" s="67">
        <f>(E245-F757)^2</f>
        <v/>
      </c>
      <c r="G245" s="66">
        <f>(E245-F757)^3</f>
        <v/>
      </c>
      <c r="H245" s="66">
        <f>(E245-F757)^4</f>
        <v/>
      </c>
      <c r="I245" s="65" t="inlineStr"/>
    </row>
    <row r="246">
      <c r="A246" s="68" t="n">
        <v>234</v>
      </c>
      <c r="B246" s="68" t="n">
        <v>233</v>
      </c>
      <c r="C246" s="69" t="n">
        <v>4565.87</v>
      </c>
      <c r="D246" s="69" t="n">
        <v>4595.73422</v>
      </c>
      <c r="E246" s="70">
        <f>C246-D246</f>
        <v/>
      </c>
      <c r="F246" s="70">
        <f>(E246-F757)^2</f>
        <v/>
      </c>
      <c r="G246" s="69">
        <f>(E246-F757)^3</f>
        <v/>
      </c>
      <c r="H246" s="69">
        <f>(E246-F757)^4</f>
        <v/>
      </c>
      <c r="I246" s="68" t="inlineStr"/>
    </row>
    <row r="247">
      <c r="A247" s="65" t="n">
        <v>235</v>
      </c>
      <c r="B247" s="65" t="n">
        <v>234</v>
      </c>
      <c r="C247" s="66" t="n">
        <v>4569.29</v>
      </c>
      <c r="D247" s="66" t="n">
        <v>4595.93666</v>
      </c>
      <c r="E247" s="67">
        <f>C247-D247</f>
        <v/>
      </c>
      <c r="F247" s="67">
        <f>(E247-F757)^2</f>
        <v/>
      </c>
      <c r="G247" s="66">
        <f>(E247-F757)^3</f>
        <v/>
      </c>
      <c r="H247" s="66">
        <f>(E247-F757)^4</f>
        <v/>
      </c>
      <c r="I247" s="65" t="inlineStr"/>
    </row>
    <row r="248">
      <c r="A248" s="68" t="n">
        <v>236</v>
      </c>
      <c r="B248" s="68" t="n">
        <v>235</v>
      </c>
      <c r="C248" s="69" t="n">
        <v>4570.62</v>
      </c>
      <c r="D248" s="69" t="n">
        <v>4596.13911</v>
      </c>
      <c r="E248" s="70">
        <f>C248-D248</f>
        <v/>
      </c>
      <c r="F248" s="70">
        <f>(E248-F757)^2</f>
        <v/>
      </c>
      <c r="G248" s="69">
        <f>(E248-F757)^3</f>
        <v/>
      </c>
      <c r="H248" s="69">
        <f>(E248-F757)^4</f>
        <v/>
      </c>
      <c r="I248" s="68" t="inlineStr"/>
    </row>
    <row r="249">
      <c r="A249" s="65" t="n">
        <v>237</v>
      </c>
      <c r="B249" s="65" t="n">
        <v>236</v>
      </c>
      <c r="C249" s="66" t="n">
        <v>4563.12</v>
      </c>
      <c r="D249" s="66" t="n">
        <v>4596.34156</v>
      </c>
      <c r="E249" s="67">
        <f>C249-D249</f>
        <v/>
      </c>
      <c r="F249" s="67">
        <f>(E249-F757)^2</f>
        <v/>
      </c>
      <c r="G249" s="66">
        <f>(E249-F757)^3</f>
        <v/>
      </c>
      <c r="H249" s="66">
        <f>(E249-F757)^4</f>
        <v/>
      </c>
      <c r="I249" s="65" t="inlineStr"/>
    </row>
    <row r="250">
      <c r="A250" s="68" t="n">
        <v>238</v>
      </c>
      <c r="B250" s="68" t="n">
        <v>237</v>
      </c>
      <c r="C250" s="69" t="n">
        <v>4566.78</v>
      </c>
      <c r="D250" s="69" t="n">
        <v>4596.544</v>
      </c>
      <c r="E250" s="70">
        <f>C250-D250</f>
        <v/>
      </c>
      <c r="F250" s="70">
        <f>(E250-F757)^2</f>
        <v/>
      </c>
      <c r="G250" s="69">
        <f>(E250-F757)^3</f>
        <v/>
      </c>
      <c r="H250" s="69">
        <f>(E250-F757)^4</f>
        <v/>
      </c>
      <c r="I250" s="68" t="inlineStr"/>
    </row>
    <row r="251">
      <c r="A251" s="65" t="n">
        <v>239</v>
      </c>
      <c r="B251" s="65" t="n">
        <v>238</v>
      </c>
      <c r="C251" s="66" t="n">
        <v>4572.18</v>
      </c>
      <c r="D251" s="66" t="n">
        <v>4596.74645</v>
      </c>
      <c r="E251" s="67">
        <f>C251-D251</f>
        <v/>
      </c>
      <c r="F251" s="67">
        <f>(E251-F757)^2</f>
        <v/>
      </c>
      <c r="G251" s="66">
        <f>(E251-F757)^3</f>
        <v/>
      </c>
      <c r="H251" s="66">
        <f>(E251-F757)^4</f>
        <v/>
      </c>
      <c r="I251" s="65" t="inlineStr"/>
    </row>
    <row r="252">
      <c r="A252" s="68" t="n">
        <v>240</v>
      </c>
      <c r="B252" s="68" t="n">
        <v>239</v>
      </c>
      <c r="C252" s="69" t="n">
        <v>4570.49</v>
      </c>
      <c r="D252" s="69" t="n">
        <v>4596.94889</v>
      </c>
      <c r="E252" s="70">
        <f>C252-D252</f>
        <v/>
      </c>
      <c r="F252" s="70">
        <f>(E252-F757)^2</f>
        <v/>
      </c>
      <c r="G252" s="69">
        <f>(E252-F757)^3</f>
        <v/>
      </c>
      <c r="H252" s="69">
        <f>(E252-F757)^4</f>
        <v/>
      </c>
      <c r="I252" s="68" t="inlineStr"/>
    </row>
    <row r="253">
      <c r="A253" s="65" t="n">
        <v>241</v>
      </c>
      <c r="B253" s="65" t="n">
        <v>240</v>
      </c>
      <c r="C253" s="66" t="n">
        <v>4566.67</v>
      </c>
      <c r="D253" s="66" t="n">
        <v>4597.15134</v>
      </c>
      <c r="E253" s="67">
        <f>C253-D253</f>
        <v/>
      </c>
      <c r="F253" s="67">
        <f>(E253-F757)^2</f>
        <v/>
      </c>
      <c r="G253" s="66">
        <f>(E253-F757)^3</f>
        <v/>
      </c>
      <c r="H253" s="66">
        <f>(E253-F757)^4</f>
        <v/>
      </c>
      <c r="I253" s="65" t="inlineStr"/>
    </row>
    <row r="254">
      <c r="A254" s="68" t="n">
        <v>242</v>
      </c>
      <c r="B254" s="68" t="n">
        <v>241</v>
      </c>
      <c r="C254" s="69" t="n">
        <v>4565.94</v>
      </c>
      <c r="D254" s="69" t="n">
        <v>4597.35378</v>
      </c>
      <c r="E254" s="70">
        <f>C254-D254</f>
        <v/>
      </c>
      <c r="F254" s="70">
        <f>(E254-F757)^2</f>
        <v/>
      </c>
      <c r="G254" s="69">
        <f>(E254-F757)^3</f>
        <v/>
      </c>
      <c r="H254" s="69">
        <f>(E254-F757)^4</f>
        <v/>
      </c>
      <c r="I254" s="68" t="inlineStr"/>
    </row>
    <row r="255">
      <c r="A255" s="65" t="n">
        <v>243</v>
      </c>
      <c r="B255" s="65" t="n">
        <v>242</v>
      </c>
      <c r="C255" s="66" t="n">
        <v>4572.03</v>
      </c>
      <c r="D255" s="66" t="n">
        <v>4597.55623</v>
      </c>
      <c r="E255" s="67">
        <f>C255-D255</f>
        <v/>
      </c>
      <c r="F255" s="67">
        <f>(E255-F757)^2</f>
        <v/>
      </c>
      <c r="G255" s="66">
        <f>(E255-F757)^3</f>
        <v/>
      </c>
      <c r="H255" s="66">
        <f>(E255-F757)^4</f>
        <v/>
      </c>
      <c r="I255" s="65" t="inlineStr"/>
    </row>
    <row r="256">
      <c r="A256" s="68" t="n">
        <v>244</v>
      </c>
      <c r="B256" s="68" t="n">
        <v>243</v>
      </c>
      <c r="C256" s="69" t="n">
        <v>4575.75</v>
      </c>
      <c r="D256" s="69" t="n">
        <v>4597.75868</v>
      </c>
      <c r="E256" s="70">
        <f>C256-D256</f>
        <v/>
      </c>
      <c r="F256" s="70">
        <f>(E256-F757)^2</f>
        <v/>
      </c>
      <c r="G256" s="69">
        <f>(E256-F757)^3</f>
        <v/>
      </c>
      <c r="H256" s="69">
        <f>(E256-F757)^4</f>
        <v/>
      </c>
      <c r="I256" s="68" t="inlineStr"/>
    </row>
    <row r="257">
      <c r="A257" s="65" t="n">
        <v>245</v>
      </c>
      <c r="B257" s="65" t="n">
        <v>244</v>
      </c>
      <c r="C257" s="66" t="n">
        <v>4578.84</v>
      </c>
      <c r="D257" s="66" t="n">
        <v>4597.96112</v>
      </c>
      <c r="E257" s="67">
        <f>C257-D257</f>
        <v/>
      </c>
      <c r="F257" s="67">
        <f>(E257-F757)^2</f>
        <v/>
      </c>
      <c r="G257" s="66">
        <f>(E257-F757)^3</f>
        <v/>
      </c>
      <c r="H257" s="66">
        <f>(E257-F757)^4</f>
        <v/>
      </c>
      <c r="I257" s="65" t="inlineStr"/>
    </row>
    <row r="258">
      <c r="A258" s="68" t="n">
        <v>246</v>
      </c>
      <c r="B258" s="68" t="n">
        <v>245</v>
      </c>
      <c r="C258" s="69" t="n">
        <v>4584.86</v>
      </c>
      <c r="D258" s="69" t="n">
        <v>4598.16357</v>
      </c>
      <c r="E258" s="70">
        <f>C258-D258</f>
        <v/>
      </c>
      <c r="F258" s="70">
        <f>(E258-F757)^2</f>
        <v/>
      </c>
      <c r="G258" s="69">
        <f>(E258-F757)^3</f>
        <v/>
      </c>
      <c r="H258" s="69">
        <f>(E258-F757)^4</f>
        <v/>
      </c>
      <c r="I258" s="68" t="inlineStr"/>
    </row>
    <row r="259">
      <c r="A259" s="65" t="n">
        <v>247</v>
      </c>
      <c r="B259" s="65" t="n">
        <v>246</v>
      </c>
      <c r="C259" s="66" t="n">
        <v>4602.95</v>
      </c>
      <c r="D259" s="66" t="n">
        <v>4598.36601</v>
      </c>
      <c r="E259" s="67">
        <f>C259-D259</f>
        <v/>
      </c>
      <c r="F259" s="67">
        <f>(E259-F757)^2</f>
        <v/>
      </c>
      <c r="G259" s="66">
        <f>(E259-F757)^3</f>
        <v/>
      </c>
      <c r="H259" s="66">
        <f>(E259-F757)^4</f>
        <v/>
      </c>
      <c r="I259" s="65" t="inlineStr"/>
    </row>
    <row r="260">
      <c r="A260" s="68" t="n">
        <v>248</v>
      </c>
      <c r="B260" s="68" t="n">
        <v>247</v>
      </c>
      <c r="C260" s="69" t="n">
        <v>4591.95</v>
      </c>
      <c r="D260" s="69" t="n">
        <v>4598.56846</v>
      </c>
      <c r="E260" s="70">
        <f>C260-D260</f>
        <v/>
      </c>
      <c r="F260" s="70">
        <f>(E260-F757)^2</f>
        <v/>
      </c>
      <c r="G260" s="69">
        <f>(E260-F757)^3</f>
        <v/>
      </c>
      <c r="H260" s="69">
        <f>(E260-F757)^4</f>
        <v/>
      </c>
      <c r="I260" s="68" t="inlineStr"/>
    </row>
    <row r="261">
      <c r="A261" s="65" t="n">
        <v>249</v>
      </c>
      <c r="B261" s="65" t="n">
        <v>248</v>
      </c>
      <c r="C261" s="66" t="n">
        <v>4591.18</v>
      </c>
      <c r="D261" s="66" t="n">
        <v>4598.7709</v>
      </c>
      <c r="E261" s="67">
        <f>C261-D261</f>
        <v/>
      </c>
      <c r="F261" s="67">
        <f>(E261-F757)^2</f>
        <v/>
      </c>
      <c r="G261" s="66">
        <f>(E261-F757)^3</f>
        <v/>
      </c>
      <c r="H261" s="66">
        <f>(E261-F757)^4</f>
        <v/>
      </c>
      <c r="I261" s="65" t="inlineStr"/>
    </row>
    <row r="262">
      <c r="A262" s="68" t="n">
        <v>250</v>
      </c>
      <c r="B262" s="68" t="n">
        <v>249</v>
      </c>
      <c r="C262" s="69" t="n">
        <v>4591.32</v>
      </c>
      <c r="D262" s="69" t="n">
        <v>4598.97335</v>
      </c>
      <c r="E262" s="70">
        <f>C262-D262</f>
        <v/>
      </c>
      <c r="F262" s="70">
        <f>(E262-F757)^2</f>
        <v/>
      </c>
      <c r="G262" s="69">
        <f>(E262-F757)^3</f>
        <v/>
      </c>
      <c r="H262" s="69">
        <f>(E262-F757)^4</f>
        <v/>
      </c>
      <c r="I262" s="68" t="inlineStr"/>
    </row>
    <row r="263">
      <c r="A263" s="65" t="n">
        <v>251</v>
      </c>
      <c r="B263" s="65" t="n">
        <v>250</v>
      </c>
      <c r="C263" s="66" t="n">
        <v>4589.2</v>
      </c>
      <c r="D263" s="66" t="n">
        <v>4599.1758</v>
      </c>
      <c r="E263" s="67">
        <f>C263-D263</f>
        <v/>
      </c>
      <c r="F263" s="67">
        <f>(E263-F757)^2</f>
        <v/>
      </c>
      <c r="G263" s="66">
        <f>(E263-F757)^3</f>
        <v/>
      </c>
      <c r="H263" s="66">
        <f>(E263-F757)^4</f>
        <v/>
      </c>
      <c r="I263" s="65" t="inlineStr"/>
    </row>
    <row r="264">
      <c r="A264" s="68" t="n">
        <v>252</v>
      </c>
      <c r="B264" s="68" t="n">
        <v>251</v>
      </c>
      <c r="C264" s="69" t="n">
        <v>4608.07</v>
      </c>
      <c r="D264" s="69" t="n">
        <v>4599.37824</v>
      </c>
      <c r="E264" s="70">
        <f>C264-D264</f>
        <v/>
      </c>
      <c r="F264" s="70">
        <f>(E264-F757)^2</f>
        <v/>
      </c>
      <c r="G264" s="69">
        <f>(E264-F757)^3</f>
        <v/>
      </c>
      <c r="H264" s="69">
        <f>(E264-F757)^4</f>
        <v/>
      </c>
      <c r="I264" s="68" t="inlineStr"/>
    </row>
    <row r="265">
      <c r="A265" s="65" t="n">
        <v>253</v>
      </c>
      <c r="B265" s="65" t="n">
        <v>252</v>
      </c>
      <c r="C265" s="66" t="n">
        <v>4625.7</v>
      </c>
      <c r="D265" s="66" t="n">
        <v>4599.58069</v>
      </c>
      <c r="E265" s="67">
        <f>C265-D265</f>
        <v/>
      </c>
      <c r="F265" s="67">
        <f>(E265-F757)^2</f>
        <v/>
      </c>
      <c r="G265" s="66">
        <f>(E265-F757)^3</f>
        <v/>
      </c>
      <c r="H265" s="66">
        <f>(E265-F757)^4</f>
        <v/>
      </c>
      <c r="I265" s="65" t="inlineStr"/>
    </row>
    <row r="266">
      <c r="A266" s="68" t="n">
        <v>254</v>
      </c>
      <c r="B266" s="68" t="n">
        <v>253</v>
      </c>
      <c r="C266" s="69" t="n">
        <v>4656.06</v>
      </c>
      <c r="D266" s="69" t="n">
        <v>4599.78313</v>
      </c>
      <c r="E266" s="70">
        <f>C266-D266</f>
        <v/>
      </c>
      <c r="F266" s="70">
        <f>(E266-F757)^2</f>
        <v/>
      </c>
      <c r="G266" s="69">
        <f>(E266-F757)^3</f>
        <v/>
      </c>
      <c r="H266" s="69">
        <f>(E266-F757)^4</f>
        <v/>
      </c>
      <c r="I266" s="68" t="inlineStr"/>
    </row>
    <row r="267">
      <c r="A267" s="65" t="n">
        <v>255</v>
      </c>
      <c r="B267" s="65" t="n">
        <v>254</v>
      </c>
      <c r="C267" s="66" t="n">
        <v>4644.67</v>
      </c>
      <c r="D267" s="66" t="n">
        <v>4599.98558</v>
      </c>
      <c r="E267" s="67">
        <f>C267-D267</f>
        <v/>
      </c>
      <c r="F267" s="67">
        <f>(E267-F757)^2</f>
        <v/>
      </c>
      <c r="G267" s="66">
        <f>(E267-F757)^3</f>
        <v/>
      </c>
      <c r="H267" s="66">
        <f>(E267-F757)^4</f>
        <v/>
      </c>
      <c r="I267" s="65" t="inlineStr"/>
    </row>
    <row r="268">
      <c r="A268" s="68" t="n">
        <v>256</v>
      </c>
      <c r="B268" s="68" t="n">
        <v>255</v>
      </c>
      <c r="C268" s="69" t="n">
        <v>4633.23</v>
      </c>
      <c r="D268" s="69" t="n">
        <v>4600.18802</v>
      </c>
      <c r="E268" s="70">
        <f>C268-D268</f>
        <v/>
      </c>
      <c r="F268" s="70">
        <f>(E268-F757)^2</f>
        <v/>
      </c>
      <c r="G268" s="69">
        <f>(E268-F757)^3</f>
        <v/>
      </c>
      <c r="H268" s="69">
        <f>(E268-F757)^4</f>
        <v/>
      </c>
      <c r="I268" s="68" t="inlineStr"/>
    </row>
    <row r="269">
      <c r="A269" s="65" t="n">
        <v>257</v>
      </c>
      <c r="B269" s="65" t="n">
        <v>256</v>
      </c>
      <c r="C269" s="66" t="n">
        <v>4632.21</v>
      </c>
      <c r="D269" s="66" t="n">
        <v>4600.39047</v>
      </c>
      <c r="E269" s="67">
        <f>C269-D269</f>
        <v/>
      </c>
      <c r="F269" s="67">
        <f>(E269-F757)^2</f>
        <v/>
      </c>
      <c r="G269" s="66">
        <f>(E269-F757)^3</f>
        <v/>
      </c>
      <c r="H269" s="66">
        <f>(E269-F757)^4</f>
        <v/>
      </c>
      <c r="I269" s="65" t="inlineStr"/>
    </row>
    <row r="270">
      <c r="A270" s="68" t="n">
        <v>258</v>
      </c>
      <c r="B270" s="68" t="n">
        <v>257</v>
      </c>
      <c r="C270" s="69" t="n">
        <v>4636.58</v>
      </c>
      <c r="D270" s="69" t="n">
        <v>4600.59291</v>
      </c>
      <c r="E270" s="70">
        <f>C270-D270</f>
        <v/>
      </c>
      <c r="F270" s="70">
        <f>(E270-F757)^2</f>
        <v/>
      </c>
      <c r="G270" s="69">
        <f>(E270-F757)^3</f>
        <v/>
      </c>
      <c r="H270" s="69">
        <f>(E270-F757)^4</f>
        <v/>
      </c>
      <c r="I270" s="68" t="inlineStr"/>
    </row>
    <row r="271">
      <c r="A271" s="65" t="n">
        <v>259</v>
      </c>
      <c r="B271" s="65" t="n">
        <v>258</v>
      </c>
      <c r="C271" s="66" t="n">
        <v>4636.46</v>
      </c>
      <c r="D271" s="66" t="n">
        <v>4600.79536</v>
      </c>
      <c r="E271" s="67">
        <f>C271-D271</f>
        <v/>
      </c>
      <c r="F271" s="67">
        <f>(E271-F757)^2</f>
        <v/>
      </c>
      <c r="G271" s="66">
        <f>(E271-F757)^3</f>
        <v/>
      </c>
      <c r="H271" s="66">
        <f>(E271-F757)^4</f>
        <v/>
      </c>
      <c r="I271" s="65" t="inlineStr"/>
    </row>
    <row r="272">
      <c r="A272" s="68" t="n">
        <v>260</v>
      </c>
      <c r="B272" s="68" t="n">
        <v>259</v>
      </c>
      <c r="C272" s="69" t="n">
        <v>4643.6</v>
      </c>
      <c r="D272" s="69" t="n">
        <v>4600.99781</v>
      </c>
      <c r="E272" s="70">
        <f>C272-D272</f>
        <v/>
      </c>
      <c r="F272" s="70">
        <f>(E272-F757)^2</f>
        <v/>
      </c>
      <c r="G272" s="69">
        <f>(E272-F757)^3</f>
        <v/>
      </c>
      <c r="H272" s="69">
        <f>(E272-F757)^4</f>
        <v/>
      </c>
      <c r="I272" s="68" t="inlineStr"/>
    </row>
    <row r="273">
      <c r="A273" s="65" t="n">
        <v>261</v>
      </c>
      <c r="B273" s="65" t="n">
        <v>260</v>
      </c>
      <c r="C273" s="66" t="n">
        <v>4643.3</v>
      </c>
      <c r="D273" s="66" t="n">
        <v>4601.20025</v>
      </c>
      <c r="E273" s="67">
        <f>C273-D273</f>
        <v/>
      </c>
      <c r="F273" s="67">
        <f>(E273-F757)^2</f>
        <v/>
      </c>
      <c r="G273" s="66">
        <f>(E273-F757)^3</f>
        <v/>
      </c>
      <c r="H273" s="66">
        <f>(E273-F757)^4</f>
        <v/>
      </c>
      <c r="I273" s="65" t="inlineStr"/>
    </row>
    <row r="274">
      <c r="A274" s="68" t="n">
        <v>262</v>
      </c>
      <c r="B274" s="68" t="n">
        <v>261</v>
      </c>
      <c r="C274" s="69" t="n">
        <v>4642.75</v>
      </c>
      <c r="D274" s="69" t="n">
        <v>4601.4027</v>
      </c>
      <c r="E274" s="70">
        <f>C274-D274</f>
        <v/>
      </c>
      <c r="F274" s="70">
        <f>(E274-F757)^2</f>
        <v/>
      </c>
      <c r="G274" s="69">
        <f>(E274-F757)^3</f>
        <v/>
      </c>
      <c r="H274" s="69">
        <f>(E274-F757)^4</f>
        <v/>
      </c>
      <c r="I274" s="68" t="inlineStr"/>
    </row>
    <row r="275">
      <c r="A275" s="65" t="n">
        <v>263</v>
      </c>
      <c r="B275" s="65" t="n">
        <v>262</v>
      </c>
      <c r="C275" s="66" t="n">
        <v>4637.96</v>
      </c>
      <c r="D275" s="66" t="n">
        <v>4601.60514</v>
      </c>
      <c r="E275" s="67">
        <f>C275-D275</f>
        <v/>
      </c>
      <c r="F275" s="67">
        <f>(E275-F757)^2</f>
        <v/>
      </c>
      <c r="G275" s="66">
        <f>(E275-F757)^3</f>
        <v/>
      </c>
      <c r="H275" s="66">
        <f>(E275-F757)^4</f>
        <v/>
      </c>
      <c r="I275" s="65" t="inlineStr"/>
    </row>
    <row r="276">
      <c r="A276" s="68" t="n">
        <v>264</v>
      </c>
      <c r="B276" s="68" t="n">
        <v>263</v>
      </c>
      <c r="C276" s="69" t="n">
        <v>4638.86</v>
      </c>
      <c r="D276" s="69" t="n">
        <v>4601.80759</v>
      </c>
      <c r="E276" s="70">
        <f>C276-D276</f>
        <v/>
      </c>
      <c r="F276" s="70">
        <f>(E276-F757)^2</f>
        <v/>
      </c>
      <c r="G276" s="69">
        <f>(E276-F757)^3</f>
        <v/>
      </c>
      <c r="H276" s="69">
        <f>(E276-F757)^4</f>
        <v/>
      </c>
      <c r="I276" s="68" t="inlineStr"/>
    </row>
    <row r="277">
      <c r="A277" s="65" t="n">
        <v>265</v>
      </c>
      <c r="B277" s="65" t="n">
        <v>264</v>
      </c>
      <c r="C277" s="66" t="n">
        <v>4638.72</v>
      </c>
      <c r="D277" s="66" t="n">
        <v>4602.01003</v>
      </c>
      <c r="E277" s="67">
        <f>C277-D277</f>
        <v/>
      </c>
      <c r="F277" s="67">
        <f>(E277-F757)^2</f>
        <v/>
      </c>
      <c r="G277" s="66">
        <f>(E277-F757)^3</f>
        <v/>
      </c>
      <c r="H277" s="66">
        <f>(E277-F757)^4</f>
        <v/>
      </c>
      <c r="I277" s="65" t="inlineStr"/>
    </row>
    <row r="278">
      <c r="A278" s="68" t="n">
        <v>266</v>
      </c>
      <c r="B278" s="68" t="n">
        <v>265</v>
      </c>
      <c r="C278" s="69" t="n">
        <v>4639.73</v>
      </c>
      <c r="D278" s="69" t="n">
        <v>4602.21248</v>
      </c>
      <c r="E278" s="70">
        <f>C278-D278</f>
        <v/>
      </c>
      <c r="F278" s="70">
        <f>(E278-F757)^2</f>
        <v/>
      </c>
      <c r="G278" s="69">
        <f>(E278-F757)^3</f>
        <v/>
      </c>
      <c r="H278" s="69">
        <f>(E278-F757)^4</f>
        <v/>
      </c>
      <c r="I278" s="68" t="inlineStr"/>
    </row>
    <row r="279">
      <c r="A279" s="65" t="n">
        <v>267</v>
      </c>
      <c r="B279" s="65" t="n">
        <v>266</v>
      </c>
      <c r="C279" s="66" t="n">
        <v>4631.67</v>
      </c>
      <c r="D279" s="66" t="n">
        <v>4602.41493</v>
      </c>
      <c r="E279" s="67">
        <f>C279-D279</f>
        <v/>
      </c>
      <c r="F279" s="67">
        <f>(E279-F757)^2</f>
        <v/>
      </c>
      <c r="G279" s="66">
        <f>(E279-F757)^3</f>
        <v/>
      </c>
      <c r="H279" s="66">
        <f>(E279-F757)^4</f>
        <v/>
      </c>
      <c r="I279" s="65" t="inlineStr"/>
    </row>
    <row r="280">
      <c r="A280" s="68" t="n">
        <v>268</v>
      </c>
      <c r="B280" s="68" t="n">
        <v>267</v>
      </c>
      <c r="C280" s="69" t="n">
        <v>4628</v>
      </c>
      <c r="D280" s="69" t="n">
        <v>4602.61737</v>
      </c>
      <c r="E280" s="70">
        <f>C280-D280</f>
        <v/>
      </c>
      <c r="F280" s="70">
        <f>(E280-F757)^2</f>
        <v/>
      </c>
      <c r="G280" s="69">
        <f>(E280-F757)^3</f>
        <v/>
      </c>
      <c r="H280" s="69">
        <f>(E280-F757)^4</f>
        <v/>
      </c>
      <c r="I280" s="68" t="inlineStr"/>
    </row>
    <row r="281">
      <c r="A281" s="65" t="n">
        <v>269</v>
      </c>
      <c r="B281" s="65" t="n">
        <v>268</v>
      </c>
      <c r="C281" s="66" t="n">
        <v>4629.43</v>
      </c>
      <c r="D281" s="66" t="n">
        <v>4602.81982</v>
      </c>
      <c r="E281" s="67">
        <f>C281-D281</f>
        <v/>
      </c>
      <c r="F281" s="67">
        <f>(E281-F757)^2</f>
        <v/>
      </c>
      <c r="G281" s="66">
        <f>(E281-F757)^3</f>
        <v/>
      </c>
      <c r="H281" s="66">
        <f>(E281-F757)^4</f>
        <v/>
      </c>
      <c r="I281" s="65" t="inlineStr"/>
    </row>
    <row r="282">
      <c r="A282" s="68" t="n">
        <v>270</v>
      </c>
      <c r="B282" s="68" t="n">
        <v>269</v>
      </c>
      <c r="C282" s="69" t="n">
        <v>4615.72</v>
      </c>
      <c r="D282" s="69" t="n">
        <v>4603.02226</v>
      </c>
      <c r="E282" s="70">
        <f>C282-D282</f>
        <v/>
      </c>
      <c r="F282" s="70">
        <f>(E282-F757)^2</f>
        <v/>
      </c>
      <c r="G282" s="69">
        <f>(E282-F757)^3</f>
        <v/>
      </c>
      <c r="H282" s="69">
        <f>(E282-F757)^4</f>
        <v/>
      </c>
      <c r="I282" s="68" t="inlineStr"/>
    </row>
    <row r="283">
      <c r="A283" s="65" t="n">
        <v>271</v>
      </c>
      <c r="B283" s="65" t="n">
        <v>270</v>
      </c>
      <c r="C283" s="66" t="n">
        <v>4623.48</v>
      </c>
      <c r="D283" s="66" t="n">
        <v>4603.22471</v>
      </c>
      <c r="E283" s="67">
        <f>C283-D283</f>
        <v/>
      </c>
      <c r="F283" s="67">
        <f>(E283-F757)^2</f>
        <v/>
      </c>
      <c r="G283" s="66">
        <f>(E283-F757)^3</f>
        <v/>
      </c>
      <c r="H283" s="66">
        <f>(E283-F757)^4</f>
        <v/>
      </c>
      <c r="I283" s="65" t="inlineStr"/>
    </row>
    <row r="284">
      <c r="A284" s="68" t="n">
        <v>272</v>
      </c>
      <c r="B284" s="68" t="n">
        <v>271</v>
      </c>
      <c r="C284" s="69" t="n">
        <v>4622.32</v>
      </c>
      <c r="D284" s="69" t="n">
        <v>4603.42715</v>
      </c>
      <c r="E284" s="70">
        <f>C284-D284</f>
        <v/>
      </c>
      <c r="F284" s="70">
        <f>(E284-F757)^2</f>
        <v/>
      </c>
      <c r="G284" s="69">
        <f>(E284-F757)^3</f>
        <v/>
      </c>
      <c r="H284" s="69">
        <f>(E284-F757)^4</f>
        <v/>
      </c>
      <c r="I284" s="68" t="inlineStr"/>
    </row>
    <row r="285">
      <c r="A285" s="65" t="n">
        <v>273</v>
      </c>
      <c r="B285" s="65" t="n">
        <v>272</v>
      </c>
      <c r="C285" s="66" t="n">
        <v>4624.35</v>
      </c>
      <c r="D285" s="66" t="n">
        <v>4603.6296</v>
      </c>
      <c r="E285" s="67">
        <f>C285-D285</f>
        <v/>
      </c>
      <c r="F285" s="67">
        <f>(E285-F757)^2</f>
        <v/>
      </c>
      <c r="G285" s="66">
        <f>(E285-F757)^3</f>
        <v/>
      </c>
      <c r="H285" s="66">
        <f>(E285-F757)^4</f>
        <v/>
      </c>
      <c r="I285" s="65" t="inlineStr"/>
    </row>
    <row r="286">
      <c r="A286" s="68" t="n">
        <v>274</v>
      </c>
      <c r="B286" s="68" t="n">
        <v>273</v>
      </c>
      <c r="C286" s="69" t="n">
        <v>4626.3</v>
      </c>
      <c r="D286" s="69" t="n">
        <v>4603.83205</v>
      </c>
      <c r="E286" s="70">
        <f>C286-D286</f>
        <v/>
      </c>
      <c r="F286" s="70">
        <f>(E286-F757)^2</f>
        <v/>
      </c>
      <c r="G286" s="69">
        <f>(E286-F757)^3</f>
        <v/>
      </c>
      <c r="H286" s="69">
        <f>(E286-F757)^4</f>
        <v/>
      </c>
      <c r="I286" s="68" t="inlineStr"/>
    </row>
    <row r="287">
      <c r="A287" s="65" t="n">
        <v>275</v>
      </c>
      <c r="B287" s="65" t="n">
        <v>274</v>
      </c>
      <c r="C287" s="66" t="n">
        <v>4624.4</v>
      </c>
      <c r="D287" s="66" t="n">
        <v>4604.03449</v>
      </c>
      <c r="E287" s="67">
        <f>C287-D287</f>
        <v/>
      </c>
      <c r="F287" s="67">
        <f>(E287-F757)^2</f>
        <v/>
      </c>
      <c r="G287" s="66">
        <f>(E287-F757)^3</f>
        <v/>
      </c>
      <c r="H287" s="66">
        <f>(E287-F757)^4</f>
        <v/>
      </c>
      <c r="I287" s="65" t="inlineStr"/>
    </row>
    <row r="288">
      <c r="A288" s="68" t="n">
        <v>276</v>
      </c>
      <c r="B288" s="68" t="n">
        <v>275</v>
      </c>
      <c r="C288" s="69" t="n">
        <v>4611.78</v>
      </c>
      <c r="D288" s="69" t="n">
        <v>4604.23694</v>
      </c>
      <c r="E288" s="70">
        <f>C288-D288</f>
        <v/>
      </c>
      <c r="F288" s="70">
        <f>(E288-F757)^2</f>
        <v/>
      </c>
      <c r="G288" s="69">
        <f>(E288-F757)^3</f>
        <v/>
      </c>
      <c r="H288" s="69">
        <f>(E288-F757)^4</f>
        <v/>
      </c>
      <c r="I288" s="68" t="inlineStr"/>
    </row>
    <row r="289">
      <c r="A289" s="65" t="n">
        <v>277</v>
      </c>
      <c r="B289" s="65" t="n">
        <v>276</v>
      </c>
      <c r="C289" s="66" t="n">
        <v>4610.06</v>
      </c>
      <c r="D289" s="66" t="n">
        <v>4604.43938</v>
      </c>
      <c r="E289" s="67">
        <f>C289-D289</f>
        <v/>
      </c>
      <c r="F289" s="67">
        <f>(E289-F757)^2</f>
        <v/>
      </c>
      <c r="G289" s="66">
        <f>(E289-F757)^3</f>
        <v/>
      </c>
      <c r="H289" s="66">
        <f>(E289-F757)^4</f>
        <v/>
      </c>
      <c r="I289" s="65" t="inlineStr"/>
    </row>
    <row r="290">
      <c r="A290" s="68" t="n">
        <v>278</v>
      </c>
      <c r="B290" s="68" t="n">
        <v>277</v>
      </c>
      <c r="C290" s="69" t="n">
        <v>4611.41</v>
      </c>
      <c r="D290" s="69" t="n">
        <v>4604.64183</v>
      </c>
      <c r="E290" s="70">
        <f>C290-D290</f>
        <v/>
      </c>
      <c r="F290" s="70">
        <f>(E290-F757)^2</f>
        <v/>
      </c>
      <c r="G290" s="69">
        <f>(E290-F757)^3</f>
        <v/>
      </c>
      <c r="H290" s="69">
        <f>(E290-F757)^4</f>
        <v/>
      </c>
      <c r="I290" s="68" t="inlineStr"/>
    </row>
    <row r="291">
      <c r="A291" s="65" t="n">
        <v>279</v>
      </c>
      <c r="B291" s="65" t="n">
        <v>278</v>
      </c>
      <c r="C291" s="66" t="n">
        <v>4613.3</v>
      </c>
      <c r="D291" s="66" t="n">
        <v>4604.84427</v>
      </c>
      <c r="E291" s="67">
        <f>C291-D291</f>
        <v/>
      </c>
      <c r="F291" s="67">
        <f>(E291-F757)^2</f>
        <v/>
      </c>
      <c r="G291" s="66">
        <f>(E291-F757)^3</f>
        <v/>
      </c>
      <c r="H291" s="66">
        <f>(E291-F757)^4</f>
        <v/>
      </c>
      <c r="I291" s="65" t="inlineStr"/>
    </row>
    <row r="292">
      <c r="A292" s="68" t="n">
        <v>280</v>
      </c>
      <c r="B292" s="68" t="n">
        <v>279</v>
      </c>
      <c r="C292" s="69" t="n">
        <v>4613.77</v>
      </c>
      <c r="D292" s="69" t="n">
        <v>4605.04672</v>
      </c>
      <c r="E292" s="70">
        <f>C292-D292</f>
        <v/>
      </c>
      <c r="F292" s="70">
        <f>(E292-F757)^2</f>
        <v/>
      </c>
      <c r="G292" s="69">
        <f>(E292-F757)^3</f>
        <v/>
      </c>
      <c r="H292" s="69">
        <f>(E292-F757)^4</f>
        <v/>
      </c>
      <c r="I292" s="68" t="inlineStr"/>
    </row>
    <row r="293">
      <c r="A293" s="65" t="n">
        <v>281</v>
      </c>
      <c r="B293" s="65" t="n">
        <v>280</v>
      </c>
      <c r="C293" s="66" t="n">
        <v>4613.98</v>
      </c>
      <c r="D293" s="66" t="n">
        <v>4605.24917</v>
      </c>
      <c r="E293" s="67">
        <f>C293-D293</f>
        <v/>
      </c>
      <c r="F293" s="67">
        <f>(E293-F757)^2</f>
        <v/>
      </c>
      <c r="G293" s="66">
        <f>(E293-F757)^3</f>
        <v/>
      </c>
      <c r="H293" s="66">
        <f>(E293-F757)^4</f>
        <v/>
      </c>
      <c r="I293" s="65" t="inlineStr"/>
    </row>
    <row r="294">
      <c r="A294" s="68" t="n">
        <v>282</v>
      </c>
      <c r="B294" s="68" t="n">
        <v>281</v>
      </c>
      <c r="C294" s="69" t="n">
        <v>4623.11</v>
      </c>
      <c r="D294" s="69" t="n">
        <v>4605.45161</v>
      </c>
      <c r="E294" s="70">
        <f>C294-D294</f>
        <v/>
      </c>
      <c r="F294" s="70">
        <f>(E294-F757)^2</f>
        <v/>
      </c>
      <c r="G294" s="69">
        <f>(E294-F757)^3</f>
        <v/>
      </c>
      <c r="H294" s="69">
        <f>(E294-F757)^4</f>
        <v/>
      </c>
      <c r="I294" s="68" t="inlineStr"/>
    </row>
    <row r="295">
      <c r="A295" s="65" t="n">
        <v>283</v>
      </c>
      <c r="B295" s="65" t="n">
        <v>282</v>
      </c>
      <c r="C295" s="66" t="n">
        <v>4620.91</v>
      </c>
      <c r="D295" s="66" t="n">
        <v>4605.65406</v>
      </c>
      <c r="E295" s="67">
        <f>C295-D295</f>
        <v/>
      </c>
      <c r="F295" s="67">
        <f>(E295-F757)^2</f>
        <v/>
      </c>
      <c r="G295" s="66">
        <f>(E295-F757)^3</f>
        <v/>
      </c>
      <c r="H295" s="66">
        <f>(E295-F757)^4</f>
        <v/>
      </c>
      <c r="I295" s="65" t="inlineStr"/>
    </row>
    <row r="296">
      <c r="A296" s="68" t="n">
        <v>284</v>
      </c>
      <c r="B296" s="68" t="n">
        <v>283</v>
      </c>
      <c r="C296" s="69" t="n">
        <v>4628.2</v>
      </c>
      <c r="D296" s="69" t="n">
        <v>4605.8565</v>
      </c>
      <c r="E296" s="70">
        <f>C296-D296</f>
        <v/>
      </c>
      <c r="F296" s="70">
        <f>(E296-F757)^2</f>
        <v/>
      </c>
      <c r="G296" s="69">
        <f>(E296-F757)^3</f>
        <v/>
      </c>
      <c r="H296" s="69">
        <f>(E296-F757)^4</f>
        <v/>
      </c>
      <c r="I296" s="68" t="inlineStr"/>
    </row>
    <row r="297">
      <c r="A297" s="65" t="n">
        <v>285</v>
      </c>
      <c r="B297" s="65" t="n">
        <v>284</v>
      </c>
      <c r="C297" s="66" t="n">
        <v>4618.95</v>
      </c>
      <c r="D297" s="66" t="n">
        <v>4606.05895</v>
      </c>
      <c r="E297" s="67">
        <f>C297-D297</f>
        <v/>
      </c>
      <c r="F297" s="67">
        <f>(E297-F757)^2</f>
        <v/>
      </c>
      <c r="G297" s="66">
        <f>(E297-F757)^3</f>
        <v/>
      </c>
      <c r="H297" s="66">
        <f>(E297-F757)^4</f>
        <v/>
      </c>
      <c r="I297" s="65" t="inlineStr"/>
    </row>
    <row r="298">
      <c r="A298" s="68" t="n">
        <v>286</v>
      </c>
      <c r="B298" s="68" t="n">
        <v>285</v>
      </c>
      <c r="C298" s="69" t="n">
        <v>4615.08</v>
      </c>
      <c r="D298" s="69" t="n">
        <v>4606.26139</v>
      </c>
      <c r="E298" s="70">
        <f>C298-D298</f>
        <v/>
      </c>
      <c r="F298" s="70">
        <f>(E298-F757)^2</f>
        <v/>
      </c>
      <c r="G298" s="69">
        <f>(E298-F757)^3</f>
        <v/>
      </c>
      <c r="H298" s="69">
        <f>(E298-F757)^4</f>
        <v/>
      </c>
      <c r="I298" s="68" t="inlineStr"/>
    </row>
    <row r="299">
      <c r="A299" s="65" t="n">
        <v>287</v>
      </c>
      <c r="B299" s="65" t="n">
        <v>286</v>
      </c>
      <c r="C299" s="66" t="n">
        <v>4617.09</v>
      </c>
      <c r="D299" s="66" t="n">
        <v>4606.46384</v>
      </c>
      <c r="E299" s="67">
        <f>C299-D299</f>
        <v/>
      </c>
      <c r="F299" s="67">
        <f>(E299-F757)^2</f>
        <v/>
      </c>
      <c r="G299" s="66">
        <f>(E299-F757)^3</f>
        <v/>
      </c>
      <c r="H299" s="66">
        <f>(E299-F757)^4</f>
        <v/>
      </c>
      <c r="I299" s="65" t="inlineStr"/>
    </row>
    <row r="300">
      <c r="A300" s="68" t="n">
        <v>288</v>
      </c>
      <c r="B300" s="68" t="n">
        <v>287</v>
      </c>
      <c r="C300" s="69" t="n">
        <v>4613.63</v>
      </c>
      <c r="D300" s="69" t="n">
        <v>4606.66629</v>
      </c>
      <c r="E300" s="70">
        <f>C300-D300</f>
        <v/>
      </c>
      <c r="F300" s="70">
        <f>(E300-F757)^2</f>
        <v/>
      </c>
      <c r="G300" s="69">
        <f>(E300-F757)^3</f>
        <v/>
      </c>
      <c r="H300" s="69">
        <f>(E300-F757)^4</f>
        <v/>
      </c>
      <c r="I300" s="68" t="inlineStr"/>
    </row>
    <row r="301">
      <c r="A301" s="65" t="n">
        <v>289</v>
      </c>
      <c r="B301" s="65" t="n">
        <v>288</v>
      </c>
      <c r="C301" s="66" t="n">
        <v>4613.86</v>
      </c>
      <c r="D301" s="66" t="n">
        <v>4606.86873</v>
      </c>
      <c r="E301" s="67">
        <f>C301-D301</f>
        <v/>
      </c>
      <c r="F301" s="67">
        <f>(E301-F757)^2</f>
        <v/>
      </c>
      <c r="G301" s="66">
        <f>(E301-F757)^3</f>
        <v/>
      </c>
      <c r="H301" s="66">
        <f>(E301-F757)^4</f>
        <v/>
      </c>
      <c r="I301" s="65" t="inlineStr"/>
    </row>
    <row r="302">
      <c r="A302" s="68" t="n">
        <v>290</v>
      </c>
      <c r="B302" s="68" t="n">
        <v>289</v>
      </c>
      <c r="C302" s="69" t="n">
        <v>4612.3</v>
      </c>
      <c r="D302" s="69" t="n">
        <v>4607.07118</v>
      </c>
      <c r="E302" s="70">
        <f>C302-D302</f>
        <v/>
      </c>
      <c r="F302" s="70">
        <f>(E302-F757)^2</f>
        <v/>
      </c>
      <c r="G302" s="69">
        <f>(E302-F757)^3</f>
        <v/>
      </c>
      <c r="H302" s="69">
        <f>(E302-F757)^4</f>
        <v/>
      </c>
      <c r="I302" s="68" t="inlineStr"/>
    </row>
    <row r="303">
      <c r="A303" s="65" t="n">
        <v>291</v>
      </c>
      <c r="B303" s="65" t="n">
        <v>290</v>
      </c>
      <c r="C303" s="66" t="n">
        <v>4606.13</v>
      </c>
      <c r="D303" s="66" t="n">
        <v>4607.27362</v>
      </c>
      <c r="E303" s="67">
        <f>C303-D303</f>
        <v/>
      </c>
      <c r="F303" s="67">
        <f>(E303-F757)^2</f>
        <v/>
      </c>
      <c r="G303" s="66">
        <f>(E303-F757)^3</f>
        <v/>
      </c>
      <c r="H303" s="66">
        <f>(E303-F757)^4</f>
        <v/>
      </c>
      <c r="I303" s="65" t="inlineStr"/>
    </row>
    <row r="304">
      <c r="A304" s="68" t="n">
        <v>292</v>
      </c>
      <c r="B304" s="68" t="n">
        <v>291</v>
      </c>
      <c r="C304" s="69" t="n">
        <v>4605.86</v>
      </c>
      <c r="D304" s="69" t="n">
        <v>4607.47607</v>
      </c>
      <c r="E304" s="70">
        <f>C304-D304</f>
        <v/>
      </c>
      <c r="F304" s="70">
        <f>(E304-F757)^2</f>
        <v/>
      </c>
      <c r="G304" s="69">
        <f>(E304-F757)^3</f>
        <v/>
      </c>
      <c r="H304" s="69">
        <f>(E304-F757)^4</f>
        <v/>
      </c>
      <c r="I304" s="68" t="inlineStr"/>
    </row>
    <row r="305">
      <c r="A305" s="65" t="n">
        <v>293</v>
      </c>
      <c r="B305" s="65" t="n">
        <v>292</v>
      </c>
      <c r="C305" s="66" t="n">
        <v>4613.01</v>
      </c>
      <c r="D305" s="66" t="n">
        <v>4607.67851</v>
      </c>
      <c r="E305" s="67">
        <f>C305-D305</f>
        <v/>
      </c>
      <c r="F305" s="67">
        <f>(E305-F757)^2</f>
        <v/>
      </c>
      <c r="G305" s="66">
        <f>(E305-F757)^3</f>
        <v/>
      </c>
      <c r="H305" s="66">
        <f>(E305-F757)^4</f>
        <v/>
      </c>
      <c r="I305" s="65" t="inlineStr"/>
    </row>
    <row r="306">
      <c r="A306" s="68" t="n">
        <v>294</v>
      </c>
      <c r="B306" s="68" t="n">
        <v>293</v>
      </c>
      <c r="C306" s="69" t="n">
        <v>4600.58</v>
      </c>
      <c r="D306" s="69" t="n">
        <v>4607.88096</v>
      </c>
      <c r="E306" s="70">
        <f>C306-D306</f>
        <v/>
      </c>
      <c r="F306" s="70">
        <f>(E306-F757)^2</f>
        <v/>
      </c>
      <c r="G306" s="69">
        <f>(E306-F757)^3</f>
        <v/>
      </c>
      <c r="H306" s="69">
        <f>(E306-F757)^4</f>
        <v/>
      </c>
      <c r="I306" s="68" t="inlineStr"/>
    </row>
    <row r="307">
      <c r="A307" s="65" t="n">
        <v>295</v>
      </c>
      <c r="B307" s="65" t="n">
        <v>294</v>
      </c>
      <c r="C307" s="66" t="n">
        <v>4594.65</v>
      </c>
      <c r="D307" s="66" t="n">
        <v>4608.08341</v>
      </c>
      <c r="E307" s="67">
        <f>C307-D307</f>
        <v/>
      </c>
      <c r="F307" s="67">
        <f>(E307-F757)^2</f>
        <v/>
      </c>
      <c r="G307" s="66">
        <f>(E307-F757)^3</f>
        <v/>
      </c>
      <c r="H307" s="66">
        <f>(E307-F757)^4</f>
        <v/>
      </c>
      <c r="I307" s="65" t="inlineStr"/>
    </row>
    <row r="308">
      <c r="A308" s="68" t="n">
        <v>296</v>
      </c>
      <c r="B308" s="68" t="n">
        <v>295</v>
      </c>
      <c r="C308" s="69" t="n">
        <v>4601.59</v>
      </c>
      <c r="D308" s="69" t="n">
        <v>4608.28585</v>
      </c>
      <c r="E308" s="70">
        <f>C308-D308</f>
        <v/>
      </c>
      <c r="F308" s="70">
        <f>(E308-F757)^2</f>
        <v/>
      </c>
      <c r="G308" s="69">
        <f>(E308-F757)^3</f>
        <v/>
      </c>
      <c r="H308" s="69">
        <f>(E308-F757)^4</f>
        <v/>
      </c>
      <c r="I308" s="68" t="inlineStr"/>
    </row>
    <row r="309">
      <c r="A309" s="65" t="n">
        <v>297</v>
      </c>
      <c r="B309" s="65" t="n">
        <v>296</v>
      </c>
      <c r="C309" s="66" t="n">
        <v>4613.14</v>
      </c>
      <c r="D309" s="66" t="n">
        <v>4608.4883</v>
      </c>
      <c r="E309" s="67">
        <f>C309-D309</f>
        <v/>
      </c>
      <c r="F309" s="67">
        <f>(E309-F757)^2</f>
        <v/>
      </c>
      <c r="G309" s="66">
        <f>(E309-F757)^3</f>
        <v/>
      </c>
      <c r="H309" s="66">
        <f>(E309-F757)^4</f>
        <v/>
      </c>
      <c r="I309" s="65" t="inlineStr"/>
    </row>
    <row r="310">
      <c r="A310" s="68" t="n">
        <v>298</v>
      </c>
      <c r="B310" s="68" t="n">
        <v>297</v>
      </c>
      <c r="C310" s="69" t="n">
        <v>4608.34</v>
      </c>
      <c r="D310" s="69" t="n">
        <v>4608.69074</v>
      </c>
      <c r="E310" s="70">
        <f>C310-D310</f>
        <v/>
      </c>
      <c r="F310" s="70">
        <f>(E310-F757)^2</f>
        <v/>
      </c>
      <c r="G310" s="69">
        <f>(E310-F757)^3</f>
        <v/>
      </c>
      <c r="H310" s="69">
        <f>(E310-F757)^4</f>
        <v/>
      </c>
      <c r="I310" s="68" t="inlineStr"/>
    </row>
    <row r="311">
      <c r="A311" s="65" t="n">
        <v>299</v>
      </c>
      <c r="B311" s="65" t="n">
        <v>298</v>
      </c>
      <c r="C311" s="66" t="n">
        <v>4593.09</v>
      </c>
      <c r="D311" s="66" t="n">
        <v>4608.89319</v>
      </c>
      <c r="E311" s="67">
        <f>C311-D311</f>
        <v/>
      </c>
      <c r="F311" s="67">
        <f>(E311-F757)^2</f>
        <v/>
      </c>
      <c r="G311" s="66">
        <f>(E311-F757)^3</f>
        <v/>
      </c>
      <c r="H311" s="66">
        <f>(E311-F757)^4</f>
        <v/>
      </c>
      <c r="I311" s="65" t="inlineStr"/>
    </row>
    <row r="312">
      <c r="A312" s="68" t="n">
        <v>300</v>
      </c>
      <c r="B312" s="68" t="n">
        <v>299</v>
      </c>
      <c r="C312" s="69" t="n">
        <v>4603.32</v>
      </c>
      <c r="D312" s="69" t="n">
        <v>4609.09563</v>
      </c>
      <c r="E312" s="70">
        <f>C312-D312</f>
        <v/>
      </c>
      <c r="F312" s="70">
        <f>(E312-F757)^2</f>
        <v/>
      </c>
      <c r="G312" s="69">
        <f>(E312-F757)^3</f>
        <v/>
      </c>
      <c r="H312" s="69">
        <f>(E312-F757)^4</f>
        <v/>
      </c>
      <c r="I312" s="68" t="inlineStr"/>
    </row>
    <row r="313">
      <c r="A313" s="65" t="n">
        <v>301</v>
      </c>
      <c r="B313" s="65" t="n">
        <v>300</v>
      </c>
      <c r="C313" s="66" t="n">
        <v>4605.77</v>
      </c>
      <c r="D313" s="66" t="n">
        <v>4609.29808</v>
      </c>
      <c r="E313" s="67">
        <f>C313-D313</f>
        <v/>
      </c>
      <c r="F313" s="67">
        <f>(E313-F757)^2</f>
        <v/>
      </c>
      <c r="G313" s="66">
        <f>(E313-F757)^3</f>
        <v/>
      </c>
      <c r="H313" s="66">
        <f>(E313-F757)^4</f>
        <v/>
      </c>
      <c r="I313" s="65" t="inlineStr"/>
    </row>
    <row r="314">
      <c r="A314" s="68" t="n">
        <v>302</v>
      </c>
      <c r="B314" s="68" t="n">
        <v>301</v>
      </c>
      <c r="C314" s="69" t="n">
        <v>4610.07</v>
      </c>
      <c r="D314" s="69" t="n">
        <v>4609.50053</v>
      </c>
      <c r="E314" s="70">
        <f>C314-D314</f>
        <v/>
      </c>
      <c r="F314" s="70">
        <f>(E314-F757)^2</f>
        <v/>
      </c>
      <c r="G314" s="69">
        <f>(E314-F757)^3</f>
        <v/>
      </c>
      <c r="H314" s="69">
        <f>(E314-F757)^4</f>
        <v/>
      </c>
      <c r="I314" s="68" t="inlineStr"/>
    </row>
    <row r="315">
      <c r="A315" s="65" t="n">
        <v>303</v>
      </c>
      <c r="B315" s="65" t="n">
        <v>302</v>
      </c>
      <c r="C315" s="66" t="n">
        <v>4610.27</v>
      </c>
      <c r="D315" s="66" t="n">
        <v>4609.70297</v>
      </c>
      <c r="E315" s="67">
        <f>C315-D315</f>
        <v/>
      </c>
      <c r="F315" s="67">
        <f>(E315-F757)^2</f>
        <v/>
      </c>
      <c r="G315" s="66">
        <f>(E315-F757)^3</f>
        <v/>
      </c>
      <c r="H315" s="66">
        <f>(E315-F757)^4</f>
        <v/>
      </c>
      <c r="I315" s="65" t="inlineStr"/>
    </row>
    <row r="316">
      <c r="A316" s="68" t="n">
        <v>304</v>
      </c>
      <c r="B316" s="68" t="n">
        <v>303</v>
      </c>
      <c r="C316" s="69" t="n">
        <v>4605.07</v>
      </c>
      <c r="D316" s="69" t="n">
        <v>4609.90542</v>
      </c>
      <c r="E316" s="70">
        <f>C316-D316</f>
        <v/>
      </c>
      <c r="F316" s="70">
        <f>(E316-F757)^2</f>
        <v/>
      </c>
      <c r="G316" s="69">
        <f>(E316-F757)^3</f>
        <v/>
      </c>
      <c r="H316" s="69">
        <f>(E316-F757)^4</f>
        <v/>
      </c>
      <c r="I316" s="68" t="inlineStr"/>
    </row>
    <row r="317">
      <c r="A317" s="65" t="n">
        <v>305</v>
      </c>
      <c r="B317" s="65" t="n">
        <v>304</v>
      </c>
      <c r="C317" s="66" t="n">
        <v>4615.09</v>
      </c>
      <c r="D317" s="66" t="n">
        <v>4610.10786</v>
      </c>
      <c r="E317" s="67">
        <f>C317-D317</f>
        <v/>
      </c>
      <c r="F317" s="67">
        <f>(E317-F757)^2</f>
        <v/>
      </c>
      <c r="G317" s="66">
        <f>(E317-F757)^3</f>
        <v/>
      </c>
      <c r="H317" s="66">
        <f>(E317-F757)^4</f>
        <v/>
      </c>
      <c r="I317" s="65" t="inlineStr"/>
    </row>
    <row r="318">
      <c r="A318" s="68" t="n">
        <v>306</v>
      </c>
      <c r="B318" s="68" t="n">
        <v>305</v>
      </c>
      <c r="C318" s="69" t="n">
        <v>4611.19</v>
      </c>
      <c r="D318" s="69" t="n">
        <v>4610.31031</v>
      </c>
      <c r="E318" s="70">
        <f>C318-D318</f>
        <v/>
      </c>
      <c r="F318" s="70">
        <f>(E318-F757)^2</f>
        <v/>
      </c>
      <c r="G318" s="69">
        <f>(E318-F757)^3</f>
        <v/>
      </c>
      <c r="H318" s="69">
        <f>(E318-F757)^4</f>
        <v/>
      </c>
      <c r="I318" s="68" t="inlineStr"/>
    </row>
    <row r="319">
      <c r="A319" s="65" t="n">
        <v>307</v>
      </c>
      <c r="B319" s="65" t="n">
        <v>306</v>
      </c>
      <c r="C319" s="66" t="n">
        <v>4608.12</v>
      </c>
      <c r="D319" s="66" t="n">
        <v>4610.51275</v>
      </c>
      <c r="E319" s="67">
        <f>C319-D319</f>
        <v/>
      </c>
      <c r="F319" s="67">
        <f>(E319-F757)^2</f>
        <v/>
      </c>
      <c r="G319" s="66">
        <f>(E319-F757)^3</f>
        <v/>
      </c>
      <c r="H319" s="66">
        <f>(E319-F757)^4</f>
        <v/>
      </c>
      <c r="I319" s="65" t="inlineStr"/>
    </row>
    <row r="320">
      <c r="A320" s="68" t="n">
        <v>308</v>
      </c>
      <c r="B320" s="68" t="n">
        <v>307</v>
      </c>
      <c r="C320" s="69" t="n">
        <v>4609.32</v>
      </c>
      <c r="D320" s="69" t="n">
        <v>4610.7152</v>
      </c>
      <c r="E320" s="70">
        <f>C320-D320</f>
        <v/>
      </c>
      <c r="F320" s="70">
        <f>(E320-F757)^2</f>
        <v/>
      </c>
      <c r="G320" s="69">
        <f>(E320-F757)^3</f>
        <v/>
      </c>
      <c r="H320" s="69">
        <f>(E320-F757)^4</f>
        <v/>
      </c>
      <c r="I320" s="68" t="inlineStr"/>
    </row>
    <row r="321">
      <c r="A321" s="65" t="n">
        <v>309</v>
      </c>
      <c r="B321" s="65" t="n">
        <v>308</v>
      </c>
      <c r="C321" s="66" t="n">
        <v>4606</v>
      </c>
      <c r="D321" s="66" t="n">
        <v>4610.91765</v>
      </c>
      <c r="E321" s="67">
        <f>C321-D321</f>
        <v/>
      </c>
      <c r="F321" s="67">
        <f>(E321-F757)^2</f>
        <v/>
      </c>
      <c r="G321" s="66">
        <f>(E321-F757)^3</f>
        <v/>
      </c>
      <c r="H321" s="66">
        <f>(E321-F757)^4</f>
        <v/>
      </c>
      <c r="I321" s="65" t="inlineStr"/>
    </row>
    <row r="322">
      <c r="A322" s="68" t="n">
        <v>310</v>
      </c>
      <c r="B322" s="68" t="n">
        <v>309</v>
      </c>
      <c r="C322" s="69" t="n">
        <v>4603.74</v>
      </c>
      <c r="D322" s="69" t="n">
        <v>4611.12009</v>
      </c>
      <c r="E322" s="70">
        <f>C322-D322</f>
        <v/>
      </c>
      <c r="F322" s="70">
        <f>(E322-F757)^2</f>
        <v/>
      </c>
      <c r="G322" s="69">
        <f>(E322-F757)^3</f>
        <v/>
      </c>
      <c r="H322" s="69">
        <f>(E322-F757)^4</f>
        <v/>
      </c>
      <c r="I322" s="68" t="inlineStr"/>
    </row>
    <row r="323">
      <c r="A323" s="65" t="n">
        <v>311</v>
      </c>
      <c r="B323" s="65" t="n">
        <v>310</v>
      </c>
      <c r="C323" s="66" t="n">
        <v>4596.32</v>
      </c>
      <c r="D323" s="66" t="n">
        <v>4611.32254</v>
      </c>
      <c r="E323" s="67">
        <f>C323-D323</f>
        <v/>
      </c>
      <c r="F323" s="67">
        <f>(E323-F757)^2</f>
        <v/>
      </c>
      <c r="G323" s="66">
        <f>(E323-F757)^3</f>
        <v/>
      </c>
      <c r="H323" s="66">
        <f>(E323-F757)^4</f>
        <v/>
      </c>
      <c r="I323" s="65" t="inlineStr"/>
    </row>
    <row r="324">
      <c r="A324" s="68" t="n">
        <v>312</v>
      </c>
      <c r="B324" s="68" t="n">
        <v>311</v>
      </c>
      <c r="C324" s="69" t="n">
        <v>4598.85</v>
      </c>
      <c r="D324" s="69" t="n">
        <v>4611.52498</v>
      </c>
      <c r="E324" s="70">
        <f>C324-D324</f>
        <v/>
      </c>
      <c r="F324" s="70">
        <f>(E324-F757)^2</f>
        <v/>
      </c>
      <c r="G324" s="69">
        <f>(E324-F757)^3</f>
        <v/>
      </c>
      <c r="H324" s="69">
        <f>(E324-F757)^4</f>
        <v/>
      </c>
      <c r="I324" s="68" t="inlineStr"/>
    </row>
    <row r="325">
      <c r="A325" s="65" t="n">
        <v>313</v>
      </c>
      <c r="B325" s="65" t="n">
        <v>312</v>
      </c>
      <c r="C325" s="66" t="n">
        <v>4599.12</v>
      </c>
      <c r="D325" s="66" t="n">
        <v>4611.72743</v>
      </c>
      <c r="E325" s="67">
        <f>C325-D325</f>
        <v/>
      </c>
      <c r="F325" s="67">
        <f>(E325-F757)^2</f>
        <v/>
      </c>
      <c r="G325" s="66">
        <f>(E325-F757)^3</f>
        <v/>
      </c>
      <c r="H325" s="66">
        <f>(E325-F757)^4</f>
        <v/>
      </c>
      <c r="I325" s="65" t="inlineStr"/>
    </row>
    <row r="326">
      <c r="A326" s="68" t="n">
        <v>314</v>
      </c>
      <c r="B326" s="68" t="n">
        <v>313</v>
      </c>
      <c r="C326" s="69" t="n">
        <v>4597.44</v>
      </c>
      <c r="D326" s="69" t="n">
        <v>4611.92987</v>
      </c>
      <c r="E326" s="70">
        <f>C326-D326</f>
        <v/>
      </c>
      <c r="F326" s="70">
        <f>(E326-F757)^2</f>
        <v/>
      </c>
      <c r="G326" s="69">
        <f>(E326-F757)^3</f>
        <v/>
      </c>
      <c r="H326" s="69">
        <f>(E326-F757)^4</f>
        <v/>
      </c>
      <c r="I326" s="68" t="inlineStr"/>
    </row>
    <row r="327">
      <c r="A327" s="65" t="n">
        <v>315</v>
      </c>
      <c r="B327" s="65" t="n">
        <v>314</v>
      </c>
      <c r="C327" s="66" t="n">
        <v>4594.08</v>
      </c>
      <c r="D327" s="66" t="n">
        <v>4612.13232</v>
      </c>
      <c r="E327" s="67">
        <f>C327-D327</f>
        <v/>
      </c>
      <c r="F327" s="67">
        <f>(E327-F757)^2</f>
        <v/>
      </c>
      <c r="G327" s="66">
        <f>(E327-F757)^3</f>
        <v/>
      </c>
      <c r="H327" s="66">
        <f>(E327-F757)^4</f>
        <v/>
      </c>
      <c r="I327" s="65" t="inlineStr"/>
    </row>
    <row r="328">
      <c r="A328" s="68" t="n">
        <v>316</v>
      </c>
      <c r="B328" s="68" t="n">
        <v>315</v>
      </c>
      <c r="C328" s="69" t="n">
        <v>4585.46</v>
      </c>
      <c r="D328" s="69" t="n">
        <v>4612.33477</v>
      </c>
      <c r="E328" s="70">
        <f>C328-D328</f>
        <v/>
      </c>
      <c r="F328" s="70">
        <f>(E328-F757)^2</f>
        <v/>
      </c>
      <c r="G328" s="69">
        <f>(E328-F757)^3</f>
        <v/>
      </c>
      <c r="H328" s="69">
        <f>(E328-F757)^4</f>
        <v/>
      </c>
      <c r="I328" s="68" t="inlineStr"/>
    </row>
    <row r="329">
      <c r="A329" s="65" t="n">
        <v>317</v>
      </c>
      <c r="B329" s="65" t="n">
        <v>316</v>
      </c>
      <c r="C329" s="66" t="n">
        <v>4588.54</v>
      </c>
      <c r="D329" s="66" t="n">
        <v>4612.53721</v>
      </c>
      <c r="E329" s="67">
        <f>C329-D329</f>
        <v/>
      </c>
      <c r="F329" s="67">
        <f>(E329-F757)^2</f>
        <v/>
      </c>
      <c r="G329" s="66">
        <f>(E329-F757)^3</f>
        <v/>
      </c>
      <c r="H329" s="66">
        <f>(E329-F757)^4</f>
        <v/>
      </c>
      <c r="I329" s="65" t="inlineStr"/>
    </row>
    <row r="330">
      <c r="A330" s="68" t="n">
        <v>318</v>
      </c>
      <c r="B330" s="68" t="n">
        <v>317</v>
      </c>
      <c r="C330" s="69" t="n">
        <v>4592.16</v>
      </c>
      <c r="D330" s="69" t="n">
        <v>4612.73966</v>
      </c>
      <c r="E330" s="70">
        <f>C330-D330</f>
        <v/>
      </c>
      <c r="F330" s="70">
        <f>(E330-F757)^2</f>
        <v/>
      </c>
      <c r="G330" s="69">
        <f>(E330-F757)^3</f>
        <v/>
      </c>
      <c r="H330" s="69">
        <f>(E330-F757)^4</f>
        <v/>
      </c>
      <c r="I330" s="68" t="inlineStr"/>
    </row>
    <row r="331">
      <c r="A331" s="65" t="n">
        <v>319</v>
      </c>
      <c r="B331" s="65" t="n">
        <v>318</v>
      </c>
      <c r="C331" s="66" t="n">
        <v>4585.82</v>
      </c>
      <c r="D331" s="66" t="n">
        <v>4612.9421</v>
      </c>
      <c r="E331" s="67">
        <f>C331-D331</f>
        <v/>
      </c>
      <c r="F331" s="67">
        <f>(E331-F757)^2</f>
        <v/>
      </c>
      <c r="G331" s="66">
        <f>(E331-F757)^3</f>
        <v/>
      </c>
      <c r="H331" s="66">
        <f>(E331-F757)^4</f>
        <v/>
      </c>
      <c r="I331" s="65" t="inlineStr"/>
    </row>
    <row r="332">
      <c r="A332" s="68" t="n">
        <v>320</v>
      </c>
      <c r="B332" s="68" t="n">
        <v>319</v>
      </c>
      <c r="C332" s="69" t="n">
        <v>4587.99</v>
      </c>
      <c r="D332" s="69" t="n">
        <v>4613.14455</v>
      </c>
      <c r="E332" s="70">
        <f>C332-D332</f>
        <v/>
      </c>
      <c r="F332" s="70">
        <f>(E332-F757)^2</f>
        <v/>
      </c>
      <c r="G332" s="69">
        <f>(E332-F757)^3</f>
        <v/>
      </c>
      <c r="H332" s="69">
        <f>(E332-F757)^4</f>
        <v/>
      </c>
      <c r="I332" s="68" t="inlineStr"/>
    </row>
    <row r="333">
      <c r="A333" s="65" t="n">
        <v>321</v>
      </c>
      <c r="B333" s="65" t="n">
        <v>320</v>
      </c>
      <c r="C333" s="66" t="n">
        <v>4579.06</v>
      </c>
      <c r="D333" s="66" t="n">
        <v>4613.34699</v>
      </c>
      <c r="E333" s="67">
        <f>C333-D333</f>
        <v/>
      </c>
      <c r="F333" s="67">
        <f>(E333-F757)^2</f>
        <v/>
      </c>
      <c r="G333" s="66">
        <f>(E333-F757)^3</f>
        <v/>
      </c>
      <c r="H333" s="66">
        <f>(E333-F757)^4</f>
        <v/>
      </c>
      <c r="I333" s="65" t="inlineStr"/>
    </row>
    <row r="334">
      <c r="A334" s="68" t="n">
        <v>322</v>
      </c>
      <c r="B334" s="68" t="n">
        <v>321</v>
      </c>
      <c r="C334" s="69" t="n">
        <v>4580.25</v>
      </c>
      <c r="D334" s="69" t="n">
        <v>4613.54944</v>
      </c>
      <c r="E334" s="70">
        <f>C334-D334</f>
        <v/>
      </c>
      <c r="F334" s="70">
        <f>(E334-F757)^2</f>
        <v/>
      </c>
      <c r="G334" s="69">
        <f>(E334-F757)^3</f>
        <v/>
      </c>
      <c r="H334" s="69">
        <f>(E334-F757)^4</f>
        <v/>
      </c>
      <c r="I334" s="68" t="inlineStr"/>
    </row>
    <row r="335">
      <c r="A335" s="65" t="n">
        <v>323</v>
      </c>
      <c r="B335" s="65" t="n">
        <v>322</v>
      </c>
      <c r="C335" s="66" t="n">
        <v>4575.07</v>
      </c>
      <c r="D335" s="66" t="n">
        <v>4613.75189</v>
      </c>
      <c r="E335" s="67">
        <f>C335-D335</f>
        <v/>
      </c>
      <c r="F335" s="67">
        <f>(E335-F757)^2</f>
        <v/>
      </c>
      <c r="G335" s="66">
        <f>(E335-F757)^3</f>
        <v/>
      </c>
      <c r="H335" s="66">
        <f>(E335-F757)^4</f>
        <v/>
      </c>
      <c r="I335" s="65" t="inlineStr"/>
    </row>
    <row r="336">
      <c r="A336" s="68" t="n">
        <v>324</v>
      </c>
      <c r="B336" s="68" t="n">
        <v>323</v>
      </c>
      <c r="C336" s="69" t="n">
        <v>4578.09</v>
      </c>
      <c r="D336" s="69" t="n">
        <v>4613.95433</v>
      </c>
      <c r="E336" s="70">
        <f>C336-D336</f>
        <v/>
      </c>
      <c r="F336" s="70">
        <f>(E336-F757)^2</f>
        <v/>
      </c>
      <c r="G336" s="69">
        <f>(E336-F757)^3</f>
        <v/>
      </c>
      <c r="H336" s="69">
        <f>(E336-F757)^4</f>
        <v/>
      </c>
      <c r="I336" s="68" t="inlineStr"/>
    </row>
    <row r="337">
      <c r="A337" s="65" t="n">
        <v>325</v>
      </c>
      <c r="B337" s="65" t="n">
        <v>324</v>
      </c>
      <c r="C337" s="66" t="n">
        <v>4577.11</v>
      </c>
      <c r="D337" s="66" t="n">
        <v>4614.15678</v>
      </c>
      <c r="E337" s="67">
        <f>C337-D337</f>
        <v/>
      </c>
      <c r="F337" s="67">
        <f>(E337-F757)^2</f>
        <v/>
      </c>
      <c r="G337" s="66">
        <f>(E337-F757)^3</f>
        <v/>
      </c>
      <c r="H337" s="66">
        <f>(E337-F757)^4</f>
        <v/>
      </c>
      <c r="I337" s="65" t="inlineStr"/>
    </row>
    <row r="338">
      <c r="A338" s="68" t="n">
        <v>326</v>
      </c>
      <c r="B338" s="68" t="n">
        <v>325</v>
      </c>
      <c r="C338" s="69" t="n">
        <v>4584.21</v>
      </c>
      <c r="D338" s="69" t="n">
        <v>4614.35922</v>
      </c>
      <c r="E338" s="70">
        <f>C338-D338</f>
        <v/>
      </c>
      <c r="F338" s="70">
        <f>(E338-F757)^2</f>
        <v/>
      </c>
      <c r="G338" s="69">
        <f>(E338-F757)^3</f>
        <v/>
      </c>
      <c r="H338" s="69">
        <f>(E338-F757)^4</f>
        <v/>
      </c>
      <c r="I338" s="68" t="inlineStr"/>
    </row>
    <row r="339">
      <c r="A339" s="65" t="n">
        <v>327</v>
      </c>
      <c r="B339" s="65" t="n">
        <v>326</v>
      </c>
      <c r="C339" s="66" t="n">
        <v>4581.15</v>
      </c>
      <c r="D339" s="66" t="n">
        <v>4614.56167</v>
      </c>
      <c r="E339" s="67">
        <f>C339-D339</f>
        <v/>
      </c>
      <c r="F339" s="67">
        <f>(E339-F757)^2</f>
        <v/>
      </c>
      <c r="G339" s="66">
        <f>(E339-F757)^3</f>
        <v/>
      </c>
      <c r="H339" s="66">
        <f>(E339-F757)^4</f>
        <v/>
      </c>
      <c r="I339" s="65" t="inlineStr"/>
    </row>
    <row r="340">
      <c r="A340" s="68" t="n">
        <v>328</v>
      </c>
      <c r="B340" s="68" t="n">
        <v>327</v>
      </c>
      <c r="C340" s="69" t="n">
        <v>4581.26</v>
      </c>
      <c r="D340" s="69" t="n">
        <v>4614.76411</v>
      </c>
      <c r="E340" s="70">
        <f>C340-D340</f>
        <v/>
      </c>
      <c r="F340" s="70">
        <f>(E340-F757)^2</f>
        <v/>
      </c>
      <c r="G340" s="69">
        <f>(E340-F757)^3</f>
        <v/>
      </c>
      <c r="H340" s="69">
        <f>(E340-F757)^4</f>
        <v/>
      </c>
      <c r="I340" s="68" t="inlineStr"/>
    </row>
    <row r="341">
      <c r="A341" s="65" t="n">
        <v>329</v>
      </c>
      <c r="B341" s="65" t="n">
        <v>328</v>
      </c>
      <c r="C341" s="66" t="n">
        <v>4575.47</v>
      </c>
      <c r="D341" s="66" t="n">
        <v>4614.96656</v>
      </c>
      <c r="E341" s="67">
        <f>C341-D341</f>
        <v/>
      </c>
      <c r="F341" s="67">
        <f>(E341-F757)^2</f>
        <v/>
      </c>
      <c r="G341" s="66">
        <f>(E341-F757)^3</f>
        <v/>
      </c>
      <c r="H341" s="66">
        <f>(E341-F757)^4</f>
        <v/>
      </c>
      <c r="I341" s="65" t="inlineStr"/>
    </row>
    <row r="342">
      <c r="A342" s="68" t="n">
        <v>330</v>
      </c>
      <c r="B342" s="68" t="n">
        <v>329</v>
      </c>
      <c r="C342" s="69" t="n">
        <v>4541.79</v>
      </c>
      <c r="D342" s="69" t="n">
        <v>4615.169</v>
      </c>
      <c r="E342" s="70">
        <f>C342-D342</f>
        <v/>
      </c>
      <c r="F342" s="70">
        <f>(E342-F757)^2</f>
        <v/>
      </c>
      <c r="G342" s="69">
        <f>(E342-F757)^3</f>
        <v/>
      </c>
      <c r="H342" s="69">
        <f>(E342-F757)^4</f>
        <v/>
      </c>
      <c r="I342" s="68" t="inlineStr"/>
    </row>
    <row r="343">
      <c r="A343" s="65" t="n">
        <v>331</v>
      </c>
      <c r="B343" s="65" t="n">
        <v>330</v>
      </c>
      <c r="C343" s="66" t="n">
        <v>4545</v>
      </c>
      <c r="D343" s="66" t="n">
        <v>4615.37145</v>
      </c>
      <c r="E343" s="67">
        <f>C343-D343</f>
        <v/>
      </c>
      <c r="F343" s="67">
        <f>(E343-F757)^2</f>
        <v/>
      </c>
      <c r="G343" s="66">
        <f>(E343-F757)^3</f>
        <v/>
      </c>
      <c r="H343" s="66">
        <f>(E343-F757)^4</f>
        <v/>
      </c>
      <c r="I343" s="65" t="inlineStr"/>
    </row>
    <row r="344">
      <c r="A344" s="68" t="n">
        <v>332</v>
      </c>
      <c r="B344" s="68" t="n">
        <v>331</v>
      </c>
      <c r="C344" s="69" t="n">
        <v>4558.64</v>
      </c>
      <c r="D344" s="69" t="n">
        <v>4615.5739</v>
      </c>
      <c r="E344" s="70">
        <f>C344-D344</f>
        <v/>
      </c>
      <c r="F344" s="70">
        <f>(E344-F757)^2</f>
        <v/>
      </c>
      <c r="G344" s="69">
        <f>(E344-F757)^3</f>
        <v/>
      </c>
      <c r="H344" s="69">
        <f>(E344-F757)^4</f>
        <v/>
      </c>
      <c r="I344" s="68" t="inlineStr"/>
    </row>
    <row r="345">
      <c r="A345" s="65" t="n">
        <v>333</v>
      </c>
      <c r="B345" s="65" t="n">
        <v>332</v>
      </c>
      <c r="C345" s="66" t="n">
        <v>4562.67</v>
      </c>
      <c r="D345" s="66" t="n">
        <v>4615.77634</v>
      </c>
      <c r="E345" s="67">
        <f>C345-D345</f>
        <v/>
      </c>
      <c r="F345" s="67">
        <f>(E345-F757)^2</f>
        <v/>
      </c>
      <c r="G345" s="66">
        <f>(E345-F757)^3</f>
        <v/>
      </c>
      <c r="H345" s="66">
        <f>(E345-F757)^4</f>
        <v/>
      </c>
      <c r="I345" s="65" t="inlineStr"/>
    </row>
    <row r="346">
      <c r="A346" s="68" t="n">
        <v>334</v>
      </c>
      <c r="B346" s="68" t="n">
        <v>333</v>
      </c>
      <c r="C346" s="69" t="n">
        <v>4565.34</v>
      </c>
      <c r="D346" s="69" t="n">
        <v>4615.97879</v>
      </c>
      <c r="E346" s="70">
        <f>C346-D346</f>
        <v/>
      </c>
      <c r="F346" s="70">
        <f>(E346-F757)^2</f>
        <v/>
      </c>
      <c r="G346" s="69">
        <f>(E346-F757)^3</f>
        <v/>
      </c>
      <c r="H346" s="69">
        <f>(E346-F757)^4</f>
        <v/>
      </c>
      <c r="I346" s="68" t="inlineStr"/>
    </row>
    <row r="347">
      <c r="A347" s="65" t="n">
        <v>335</v>
      </c>
      <c r="B347" s="65" t="n">
        <v>334</v>
      </c>
      <c r="C347" s="66" t="n">
        <v>4562.26</v>
      </c>
      <c r="D347" s="66" t="n">
        <v>4616.18123</v>
      </c>
      <c r="E347" s="67">
        <f>C347-D347</f>
        <v/>
      </c>
      <c r="F347" s="67">
        <f>(E347-F757)^2</f>
        <v/>
      </c>
      <c r="G347" s="66">
        <f>(E347-F757)^3</f>
        <v/>
      </c>
      <c r="H347" s="66">
        <f>(E347-F757)^4</f>
        <v/>
      </c>
      <c r="I347" s="65" t="inlineStr"/>
    </row>
    <row r="348">
      <c r="A348" s="68" t="n">
        <v>336</v>
      </c>
      <c r="B348" s="68" t="n">
        <v>335</v>
      </c>
      <c r="C348" s="69" t="n">
        <v>4553.65</v>
      </c>
      <c r="D348" s="69" t="n">
        <v>4616.38368</v>
      </c>
      <c r="E348" s="70">
        <f>C348-D348</f>
        <v/>
      </c>
      <c r="F348" s="70">
        <f>(E348-F757)^2</f>
        <v/>
      </c>
      <c r="G348" s="69">
        <f>(E348-F757)^3</f>
        <v/>
      </c>
      <c r="H348" s="69">
        <f>(E348-F757)^4</f>
        <v/>
      </c>
      <c r="I348" s="68" t="inlineStr"/>
    </row>
    <row r="349">
      <c r="A349" s="65" t="n">
        <v>337</v>
      </c>
      <c r="B349" s="65" t="n">
        <v>336</v>
      </c>
      <c r="C349" s="66" t="n">
        <v>4559.94</v>
      </c>
      <c r="D349" s="66" t="n">
        <v>4616.58612</v>
      </c>
      <c r="E349" s="67">
        <f>C349-D349</f>
        <v/>
      </c>
      <c r="F349" s="67">
        <f>(E349-F757)^2</f>
        <v/>
      </c>
      <c r="G349" s="66">
        <f>(E349-F757)^3</f>
        <v/>
      </c>
      <c r="H349" s="66">
        <f>(E349-F757)^4</f>
        <v/>
      </c>
      <c r="I349" s="65" t="inlineStr"/>
    </row>
    <row r="350">
      <c r="A350" s="68" t="n">
        <v>338</v>
      </c>
      <c r="B350" s="68" t="n">
        <v>337</v>
      </c>
      <c r="C350" s="69" t="n">
        <v>4563.67</v>
      </c>
      <c r="D350" s="69" t="n">
        <v>4616.78857</v>
      </c>
      <c r="E350" s="70">
        <f>C350-D350</f>
        <v/>
      </c>
      <c r="F350" s="70">
        <f>(E350-F757)^2</f>
        <v/>
      </c>
      <c r="G350" s="69">
        <f>(E350-F757)^3</f>
        <v/>
      </c>
      <c r="H350" s="69">
        <f>(E350-F757)^4</f>
        <v/>
      </c>
      <c r="I350" s="68" t="inlineStr"/>
    </row>
    <row r="351">
      <c r="A351" s="65" t="n">
        <v>339</v>
      </c>
      <c r="B351" s="65" t="n">
        <v>338</v>
      </c>
      <c r="C351" s="66" t="n">
        <v>4568.68</v>
      </c>
      <c r="D351" s="66" t="n">
        <v>4616.99102</v>
      </c>
      <c r="E351" s="67">
        <f>C351-D351</f>
        <v/>
      </c>
      <c r="F351" s="67">
        <f>(E351-F757)^2</f>
        <v/>
      </c>
      <c r="G351" s="66">
        <f>(E351-F757)^3</f>
        <v/>
      </c>
      <c r="H351" s="66">
        <f>(E351-F757)^4</f>
        <v/>
      </c>
      <c r="I351" s="65" t="inlineStr"/>
    </row>
    <row r="352">
      <c r="A352" s="68" t="n">
        <v>340</v>
      </c>
      <c r="B352" s="68" t="n">
        <v>339</v>
      </c>
      <c r="C352" s="69" t="n">
        <v>4570.1</v>
      </c>
      <c r="D352" s="69" t="n">
        <v>4617.19346</v>
      </c>
      <c r="E352" s="70">
        <f>C352-D352</f>
        <v/>
      </c>
      <c r="F352" s="70">
        <f>(E352-F757)^2</f>
        <v/>
      </c>
      <c r="G352" s="69">
        <f>(E352-F757)^3</f>
        <v/>
      </c>
      <c r="H352" s="69">
        <f>(E352-F757)^4</f>
        <v/>
      </c>
      <c r="I352" s="68" t="inlineStr"/>
    </row>
    <row r="353">
      <c r="A353" s="65" t="n">
        <v>341</v>
      </c>
      <c r="B353" s="65" t="n">
        <v>340</v>
      </c>
      <c r="C353" s="66" t="n">
        <v>4568.79</v>
      </c>
      <c r="D353" s="66" t="n">
        <v>4617.39591</v>
      </c>
      <c r="E353" s="67">
        <f>C353-D353</f>
        <v/>
      </c>
      <c r="F353" s="67">
        <f>(E353-F757)^2</f>
        <v/>
      </c>
      <c r="G353" s="66">
        <f>(E353-F757)^3</f>
        <v/>
      </c>
      <c r="H353" s="66">
        <f>(E353-F757)^4</f>
        <v/>
      </c>
      <c r="I353" s="65" t="inlineStr"/>
    </row>
    <row r="354">
      <c r="A354" s="68" t="n">
        <v>342</v>
      </c>
      <c r="B354" s="68" t="n">
        <v>341</v>
      </c>
      <c r="C354" s="69" t="n">
        <v>4565.98</v>
      </c>
      <c r="D354" s="69" t="n">
        <v>4617.59835</v>
      </c>
      <c r="E354" s="70">
        <f>C354-D354</f>
        <v/>
      </c>
      <c r="F354" s="70">
        <f>(E354-F757)^2</f>
        <v/>
      </c>
      <c r="G354" s="69">
        <f>(E354-F757)^3</f>
        <v/>
      </c>
      <c r="H354" s="69">
        <f>(E354-F757)^4</f>
        <v/>
      </c>
      <c r="I354" s="68" t="inlineStr"/>
    </row>
    <row r="355">
      <c r="A355" s="65" t="n">
        <v>343</v>
      </c>
      <c r="B355" s="65" t="n">
        <v>342</v>
      </c>
      <c r="C355" s="66" t="n">
        <v>4561.09</v>
      </c>
      <c r="D355" s="66" t="n">
        <v>4617.8008</v>
      </c>
      <c r="E355" s="67">
        <f>C355-D355</f>
        <v/>
      </c>
      <c r="F355" s="67">
        <f>(E355-F757)^2</f>
        <v/>
      </c>
      <c r="G355" s="66">
        <f>(E355-F757)^3</f>
        <v/>
      </c>
      <c r="H355" s="66">
        <f>(E355-F757)^4</f>
        <v/>
      </c>
      <c r="I355" s="65" t="inlineStr"/>
    </row>
    <row r="356">
      <c r="A356" s="68" t="n">
        <v>344</v>
      </c>
      <c r="B356" s="68" t="n">
        <v>343</v>
      </c>
      <c r="C356" s="69" t="n">
        <v>4565.51</v>
      </c>
      <c r="D356" s="69" t="n">
        <v>4618.00324</v>
      </c>
      <c r="E356" s="70">
        <f>C356-D356</f>
        <v/>
      </c>
      <c r="F356" s="70">
        <f>(E356-F757)^2</f>
        <v/>
      </c>
      <c r="G356" s="69">
        <f>(E356-F757)^3</f>
        <v/>
      </c>
      <c r="H356" s="69">
        <f>(E356-F757)^4</f>
        <v/>
      </c>
      <c r="I356" s="68" t="inlineStr"/>
    </row>
    <row r="357">
      <c r="A357" s="65" t="n">
        <v>345</v>
      </c>
      <c r="B357" s="65" t="n">
        <v>344</v>
      </c>
      <c r="C357" s="66" t="n">
        <v>4563.85</v>
      </c>
      <c r="D357" s="66" t="n">
        <v>4618.20569</v>
      </c>
      <c r="E357" s="67">
        <f>C357-D357</f>
        <v/>
      </c>
      <c r="F357" s="67">
        <f>(E357-F757)^2</f>
        <v/>
      </c>
      <c r="G357" s="66">
        <f>(E357-F757)^3</f>
        <v/>
      </c>
      <c r="H357" s="66">
        <f>(E357-F757)^4</f>
        <v/>
      </c>
      <c r="I357" s="65" t="inlineStr"/>
    </row>
    <row r="358">
      <c r="A358" s="68" t="n">
        <v>346</v>
      </c>
      <c r="B358" s="68" t="n">
        <v>345</v>
      </c>
      <c r="C358" s="69" t="n">
        <v>4560.18</v>
      </c>
      <c r="D358" s="69" t="n">
        <v>4618.40814</v>
      </c>
      <c r="E358" s="70">
        <f>C358-D358</f>
        <v/>
      </c>
      <c r="F358" s="70">
        <f>(E358-F757)^2</f>
        <v/>
      </c>
      <c r="G358" s="69">
        <f>(E358-F757)^3</f>
        <v/>
      </c>
      <c r="H358" s="69">
        <f>(E358-F757)^4</f>
        <v/>
      </c>
      <c r="I358" s="68" t="inlineStr"/>
    </row>
    <row r="359">
      <c r="A359" s="65" t="n">
        <v>347</v>
      </c>
      <c r="B359" s="65" t="n">
        <v>346</v>
      </c>
      <c r="C359" s="66" t="n">
        <v>4571.2</v>
      </c>
      <c r="D359" s="66" t="n">
        <v>4618.61058</v>
      </c>
      <c r="E359" s="67">
        <f>C359-D359</f>
        <v/>
      </c>
      <c r="F359" s="67">
        <f>(E359-F757)^2</f>
        <v/>
      </c>
      <c r="G359" s="66">
        <f>(E359-F757)^3</f>
        <v/>
      </c>
      <c r="H359" s="66">
        <f>(E359-F757)^4</f>
        <v/>
      </c>
      <c r="I359" s="65" t="inlineStr"/>
    </row>
    <row r="360">
      <c r="A360" s="68" t="n">
        <v>348</v>
      </c>
      <c r="B360" s="68" t="n">
        <v>347</v>
      </c>
      <c r="C360" s="69" t="n">
        <v>4574.38</v>
      </c>
      <c r="D360" s="69" t="n">
        <v>4618.81303</v>
      </c>
      <c r="E360" s="70">
        <f>C360-D360</f>
        <v/>
      </c>
      <c r="F360" s="70">
        <f>(E360-F757)^2</f>
        <v/>
      </c>
      <c r="G360" s="69">
        <f>(E360-F757)^3</f>
        <v/>
      </c>
      <c r="H360" s="69">
        <f>(E360-F757)^4</f>
        <v/>
      </c>
      <c r="I360" s="68" t="inlineStr"/>
    </row>
    <row r="361">
      <c r="A361" s="65" t="n">
        <v>349</v>
      </c>
      <c r="B361" s="65" t="n">
        <v>348</v>
      </c>
      <c r="C361" s="66" t="n">
        <v>4561.26</v>
      </c>
      <c r="D361" s="66" t="n">
        <v>4619.01547</v>
      </c>
      <c r="E361" s="67">
        <f>C361-D361</f>
        <v/>
      </c>
      <c r="F361" s="67">
        <f>(E361-F757)^2</f>
        <v/>
      </c>
      <c r="G361" s="66">
        <f>(E361-F757)^3</f>
        <v/>
      </c>
      <c r="H361" s="66">
        <f>(E361-F757)^4</f>
        <v/>
      </c>
      <c r="I361" s="65" t="inlineStr"/>
    </row>
    <row r="362">
      <c r="A362" s="68" t="n">
        <v>350</v>
      </c>
      <c r="B362" s="68" t="n">
        <v>349</v>
      </c>
      <c r="C362" s="69" t="n">
        <v>4548.46</v>
      </c>
      <c r="D362" s="69" t="n">
        <v>4619.21792</v>
      </c>
      <c r="E362" s="70">
        <f>C362-D362</f>
        <v/>
      </c>
      <c r="F362" s="70">
        <f>(E362-F757)^2</f>
        <v/>
      </c>
      <c r="G362" s="69">
        <f>(E362-F757)^3</f>
        <v/>
      </c>
      <c r="H362" s="69">
        <f>(E362-F757)^4</f>
        <v/>
      </c>
      <c r="I362" s="68" t="inlineStr"/>
    </row>
    <row r="363">
      <c r="A363" s="65" t="n">
        <v>351</v>
      </c>
      <c r="B363" s="65" t="n">
        <v>350</v>
      </c>
      <c r="C363" s="66" t="n">
        <v>4537.95</v>
      </c>
      <c r="D363" s="66" t="n">
        <v>4619.42036</v>
      </c>
      <c r="E363" s="67">
        <f>C363-D363</f>
        <v/>
      </c>
      <c r="F363" s="67">
        <f>(E363-F757)^2</f>
        <v/>
      </c>
      <c r="G363" s="66">
        <f>(E363-F757)^3</f>
        <v/>
      </c>
      <c r="H363" s="66">
        <f>(E363-F757)^4</f>
        <v/>
      </c>
      <c r="I363" s="65" t="inlineStr"/>
    </row>
    <row r="364">
      <c r="A364" s="68" t="n">
        <v>352</v>
      </c>
      <c r="B364" s="68" t="n">
        <v>351</v>
      </c>
      <c r="C364" s="69" t="n">
        <v>4535.1</v>
      </c>
      <c r="D364" s="69" t="n">
        <v>4619.62281</v>
      </c>
      <c r="E364" s="70">
        <f>C364-D364</f>
        <v/>
      </c>
      <c r="F364" s="70">
        <f>(E364-F757)^2</f>
        <v/>
      </c>
      <c r="G364" s="69">
        <f>(E364-F757)^3</f>
        <v/>
      </c>
      <c r="H364" s="69">
        <f>(E364-F757)^4</f>
        <v/>
      </c>
      <c r="I364" s="68" t="inlineStr"/>
    </row>
    <row r="365">
      <c r="A365" s="65" t="n">
        <v>353</v>
      </c>
      <c r="B365" s="65" t="n">
        <v>352</v>
      </c>
      <c r="C365" s="66" t="n">
        <v>4521.33</v>
      </c>
      <c r="D365" s="66" t="n">
        <v>4619.82526</v>
      </c>
      <c r="E365" s="67">
        <f>C365-D365</f>
        <v/>
      </c>
      <c r="F365" s="67">
        <f>(E365-F757)^2</f>
        <v/>
      </c>
      <c r="G365" s="66">
        <f>(E365-F757)^3</f>
        <v/>
      </c>
      <c r="H365" s="66">
        <f>(E365-F757)^4</f>
        <v/>
      </c>
      <c r="I365" s="65" t="inlineStr"/>
    </row>
    <row r="366">
      <c r="A366" s="68" t="n">
        <v>354</v>
      </c>
      <c r="B366" s="68" t="n">
        <v>353</v>
      </c>
      <c r="C366" s="69" t="n">
        <v>4509.88</v>
      </c>
      <c r="D366" s="69" t="n">
        <v>4620.0277</v>
      </c>
      <c r="E366" s="70">
        <f>C366-D366</f>
        <v/>
      </c>
      <c r="F366" s="70">
        <f>(E366-F757)^2</f>
        <v/>
      </c>
      <c r="G366" s="69">
        <f>(E366-F757)^3</f>
        <v/>
      </c>
      <c r="H366" s="69">
        <f>(E366-F757)^4</f>
        <v/>
      </c>
      <c r="I366" s="68" t="inlineStr"/>
    </row>
    <row r="367">
      <c r="A367" s="65" t="n">
        <v>355</v>
      </c>
      <c r="B367" s="65" t="n">
        <v>354</v>
      </c>
      <c r="C367" s="66" t="n">
        <v>4515.03</v>
      </c>
      <c r="D367" s="66" t="n">
        <v>4620.23015</v>
      </c>
      <c r="E367" s="67">
        <f>C367-D367</f>
        <v/>
      </c>
      <c r="F367" s="67">
        <f>(E367-F757)^2</f>
        <v/>
      </c>
      <c r="G367" s="66">
        <f>(E367-F757)^3</f>
        <v/>
      </c>
      <c r="H367" s="66">
        <f>(E367-F757)^4</f>
        <v/>
      </c>
      <c r="I367" s="65" t="inlineStr"/>
    </row>
    <row r="368">
      <c r="A368" s="68" t="n">
        <v>356</v>
      </c>
      <c r="B368" s="68" t="n">
        <v>355</v>
      </c>
      <c r="C368" s="69" t="n">
        <v>4512.59</v>
      </c>
      <c r="D368" s="69" t="n">
        <v>4620.43259</v>
      </c>
      <c r="E368" s="70">
        <f>C368-D368</f>
        <v/>
      </c>
      <c r="F368" s="70">
        <f>(E368-F757)^2</f>
        <v/>
      </c>
      <c r="G368" s="69">
        <f>(E368-F757)^3</f>
        <v/>
      </c>
      <c r="H368" s="69">
        <f>(E368-F757)^4</f>
        <v/>
      </c>
      <c r="I368" s="68" t="inlineStr"/>
    </row>
    <row r="369">
      <c r="A369" s="65" t="n">
        <v>357</v>
      </c>
      <c r="B369" s="65" t="n">
        <v>356</v>
      </c>
      <c r="C369" s="66" t="n">
        <v>4510.69</v>
      </c>
      <c r="D369" s="66" t="n">
        <v>4620.63504</v>
      </c>
      <c r="E369" s="67">
        <f>C369-D369</f>
        <v/>
      </c>
      <c r="F369" s="67">
        <f>(E369-F757)^2</f>
        <v/>
      </c>
      <c r="G369" s="66">
        <f>(E369-F757)^3</f>
        <v/>
      </c>
      <c r="H369" s="66">
        <f>(E369-F757)^4</f>
        <v/>
      </c>
      <c r="I369" s="65" t="inlineStr"/>
    </row>
    <row r="370">
      <c r="A370" s="68" t="n">
        <v>358</v>
      </c>
      <c r="B370" s="68" t="n">
        <v>357</v>
      </c>
      <c r="C370" s="69" t="n">
        <v>4522.39</v>
      </c>
      <c r="D370" s="69" t="n">
        <v>4620.83748</v>
      </c>
      <c r="E370" s="70">
        <f>C370-D370</f>
        <v/>
      </c>
      <c r="F370" s="70">
        <f>(E370-F757)^2</f>
        <v/>
      </c>
      <c r="G370" s="69">
        <f>(E370-F757)^3</f>
        <v/>
      </c>
      <c r="H370" s="69">
        <f>(E370-F757)^4</f>
        <v/>
      </c>
      <c r="I370" s="68" t="inlineStr"/>
    </row>
    <row r="371">
      <c r="A371" s="65" t="n">
        <v>359</v>
      </c>
      <c r="B371" s="65" t="n">
        <v>358</v>
      </c>
      <c r="C371" s="66" t="n">
        <v>4524.38</v>
      </c>
      <c r="D371" s="66" t="n">
        <v>4621.03993</v>
      </c>
      <c r="E371" s="67">
        <f>C371-D371</f>
        <v/>
      </c>
      <c r="F371" s="67">
        <f>(E371-F757)^2</f>
        <v/>
      </c>
      <c r="G371" s="66">
        <f>(E371-F757)^3</f>
        <v/>
      </c>
      <c r="H371" s="66">
        <f>(E371-F757)^4</f>
        <v/>
      </c>
      <c r="I371" s="65" t="inlineStr"/>
    </row>
    <row r="372">
      <c r="A372" s="68" t="n">
        <v>360</v>
      </c>
      <c r="B372" s="68" t="n">
        <v>359</v>
      </c>
      <c r="C372" s="69" t="n">
        <v>4526.1</v>
      </c>
      <c r="D372" s="69" t="n">
        <v>4621.24238</v>
      </c>
      <c r="E372" s="70">
        <f>C372-D372</f>
        <v/>
      </c>
      <c r="F372" s="70">
        <f>(E372-F757)^2</f>
        <v/>
      </c>
      <c r="G372" s="69">
        <f>(E372-F757)^3</f>
        <v/>
      </c>
      <c r="H372" s="69">
        <f>(E372-F757)^4</f>
        <v/>
      </c>
      <c r="I372" s="68" t="inlineStr"/>
    </row>
    <row r="373">
      <c r="A373" s="65" t="n">
        <v>361</v>
      </c>
      <c r="B373" s="65" t="n">
        <v>360</v>
      </c>
      <c r="C373" s="66" t="n">
        <v>4522.35</v>
      </c>
      <c r="D373" s="66" t="n">
        <v>4621.44482</v>
      </c>
      <c r="E373" s="67">
        <f>C373-D373</f>
        <v/>
      </c>
      <c r="F373" s="67">
        <f>(E373-F757)^2</f>
        <v/>
      </c>
      <c r="G373" s="66">
        <f>(E373-F757)^3</f>
        <v/>
      </c>
      <c r="H373" s="66">
        <f>(E373-F757)^4</f>
        <v/>
      </c>
      <c r="I373" s="65" t="inlineStr"/>
    </row>
    <row r="374">
      <c r="A374" s="68" t="n">
        <v>362</v>
      </c>
      <c r="B374" s="68" t="n">
        <v>361</v>
      </c>
      <c r="C374" s="69" t="n">
        <v>4520.01</v>
      </c>
      <c r="D374" s="69" t="n">
        <v>4621.64727</v>
      </c>
      <c r="E374" s="70">
        <f>C374-D374</f>
        <v/>
      </c>
      <c r="F374" s="70">
        <f>(E374-F757)^2</f>
        <v/>
      </c>
      <c r="G374" s="69">
        <f>(E374-F757)^3</f>
        <v/>
      </c>
      <c r="H374" s="69">
        <f>(E374-F757)^4</f>
        <v/>
      </c>
      <c r="I374" s="68" t="inlineStr"/>
    </row>
    <row r="375">
      <c r="A375" s="65" t="n">
        <v>363</v>
      </c>
      <c r="B375" s="65" t="n">
        <v>362</v>
      </c>
      <c r="C375" s="66" t="n">
        <v>4511.95</v>
      </c>
      <c r="D375" s="66" t="n">
        <v>4621.84971</v>
      </c>
      <c r="E375" s="67">
        <f>C375-D375</f>
        <v/>
      </c>
      <c r="F375" s="67">
        <f>(E375-F757)^2</f>
        <v/>
      </c>
      <c r="G375" s="66">
        <f>(E375-F757)^3</f>
        <v/>
      </c>
      <c r="H375" s="66">
        <f>(E375-F757)^4</f>
        <v/>
      </c>
      <c r="I375" s="65" t="inlineStr"/>
    </row>
    <row r="376">
      <c r="A376" s="68" t="n">
        <v>364</v>
      </c>
      <c r="B376" s="68" t="n">
        <v>363</v>
      </c>
      <c r="C376" s="69" t="n">
        <v>4511.86</v>
      </c>
      <c r="D376" s="69" t="n">
        <v>4622.05216</v>
      </c>
      <c r="E376" s="70">
        <f>C376-D376</f>
        <v/>
      </c>
      <c r="F376" s="70">
        <f>(E376-F757)^2</f>
        <v/>
      </c>
      <c r="G376" s="69">
        <f>(E376-F757)^3</f>
        <v/>
      </c>
      <c r="H376" s="69">
        <f>(E376-F757)^4</f>
        <v/>
      </c>
      <c r="I376" s="68" t="inlineStr"/>
    </row>
    <row r="377">
      <c r="A377" s="65" t="n">
        <v>365</v>
      </c>
      <c r="B377" s="65" t="n">
        <v>364</v>
      </c>
      <c r="C377" s="66" t="n">
        <v>4516.4</v>
      </c>
      <c r="D377" s="66" t="n">
        <v>4622.2546</v>
      </c>
      <c r="E377" s="67">
        <f>C377-D377</f>
        <v/>
      </c>
      <c r="F377" s="67">
        <f>(E377-F757)^2</f>
        <v/>
      </c>
      <c r="G377" s="66">
        <f>(E377-F757)^3</f>
        <v/>
      </c>
      <c r="H377" s="66">
        <f>(E377-F757)^4</f>
        <v/>
      </c>
      <c r="I377" s="65" t="inlineStr"/>
    </row>
    <row r="378">
      <c r="A378" s="68" t="n">
        <v>366</v>
      </c>
      <c r="B378" s="68" t="n">
        <v>365</v>
      </c>
      <c r="C378" s="69" t="n">
        <v>4519.05</v>
      </c>
      <c r="D378" s="69" t="n">
        <v>4622.45705</v>
      </c>
      <c r="E378" s="70">
        <f>C378-D378</f>
        <v/>
      </c>
      <c r="F378" s="70">
        <f>(E378-F757)^2</f>
        <v/>
      </c>
      <c r="G378" s="69">
        <f>(E378-F757)^3</f>
        <v/>
      </c>
      <c r="H378" s="69">
        <f>(E378-F757)^4</f>
        <v/>
      </c>
      <c r="I378" s="68" t="inlineStr"/>
    </row>
    <row r="379">
      <c r="A379" s="65" t="n">
        <v>367</v>
      </c>
      <c r="B379" s="65" t="n">
        <v>366</v>
      </c>
      <c r="C379" s="66" t="n">
        <v>4522.42</v>
      </c>
      <c r="D379" s="66" t="n">
        <v>4622.6595</v>
      </c>
      <c r="E379" s="67">
        <f>C379-D379</f>
        <v/>
      </c>
      <c r="F379" s="67">
        <f>(E379-F757)^2</f>
        <v/>
      </c>
      <c r="G379" s="66">
        <f>(E379-F757)^3</f>
        <v/>
      </c>
      <c r="H379" s="66">
        <f>(E379-F757)^4</f>
        <v/>
      </c>
      <c r="I379" s="65" t="inlineStr"/>
    </row>
    <row r="380">
      <c r="A380" s="68" t="n">
        <v>368</v>
      </c>
      <c r="B380" s="68" t="n">
        <v>367</v>
      </c>
      <c r="C380" s="69" t="n">
        <v>4521.16</v>
      </c>
      <c r="D380" s="69" t="n">
        <v>4622.86194</v>
      </c>
      <c r="E380" s="70">
        <f>C380-D380</f>
        <v/>
      </c>
      <c r="F380" s="70">
        <f>(E380-F757)^2</f>
        <v/>
      </c>
      <c r="G380" s="69">
        <f>(E380-F757)^3</f>
        <v/>
      </c>
      <c r="H380" s="69">
        <f>(E380-F757)^4</f>
        <v/>
      </c>
      <c r="I380" s="68" t="inlineStr"/>
    </row>
    <row r="381">
      <c r="A381" s="65" t="n">
        <v>369</v>
      </c>
      <c r="B381" s="65" t="n">
        <v>368</v>
      </c>
      <c r="C381" s="66" t="n">
        <v>4517.46</v>
      </c>
      <c r="D381" s="66" t="n">
        <v>4623.06439</v>
      </c>
      <c r="E381" s="67">
        <f>C381-D381</f>
        <v/>
      </c>
      <c r="F381" s="67">
        <f>(E381-F757)^2</f>
        <v/>
      </c>
      <c r="G381" s="66">
        <f>(E381-F757)^3</f>
        <v/>
      </c>
      <c r="H381" s="66">
        <f>(E381-F757)^4</f>
        <v/>
      </c>
      <c r="I381" s="65" t="inlineStr"/>
    </row>
    <row r="382">
      <c r="A382" s="68" t="n">
        <v>370</v>
      </c>
      <c r="B382" s="68" t="n">
        <v>369</v>
      </c>
      <c r="C382" s="69" t="n">
        <v>4514.74</v>
      </c>
      <c r="D382" s="69" t="n">
        <v>4623.26683</v>
      </c>
      <c r="E382" s="70">
        <f>C382-D382</f>
        <v/>
      </c>
      <c r="F382" s="70">
        <f>(E382-F757)^2</f>
        <v/>
      </c>
      <c r="G382" s="69">
        <f>(E382-F757)^3</f>
        <v/>
      </c>
      <c r="H382" s="69">
        <f>(E382-F757)^4</f>
        <v/>
      </c>
      <c r="I382" s="68" t="inlineStr"/>
    </row>
    <row r="383">
      <c r="A383" s="65" t="n">
        <v>371</v>
      </c>
      <c r="B383" s="65" t="n">
        <v>370</v>
      </c>
      <c r="C383" s="66" t="n">
        <v>4515.21</v>
      </c>
      <c r="D383" s="66" t="n">
        <v>4623.46928</v>
      </c>
      <c r="E383" s="67">
        <f>C383-D383</f>
        <v/>
      </c>
      <c r="F383" s="67">
        <f>(E383-F757)^2</f>
        <v/>
      </c>
      <c r="G383" s="66">
        <f>(E383-F757)^3</f>
        <v/>
      </c>
      <c r="H383" s="66">
        <f>(E383-F757)^4</f>
        <v/>
      </c>
      <c r="I383" s="65" t="inlineStr"/>
    </row>
    <row r="384">
      <c r="A384" s="68" t="n">
        <v>372</v>
      </c>
      <c r="B384" s="68" t="n">
        <v>371</v>
      </c>
      <c r="C384" s="69" t="n">
        <v>4518.75</v>
      </c>
      <c r="D384" s="69" t="n">
        <v>4623.67172</v>
      </c>
      <c r="E384" s="70">
        <f>C384-D384</f>
        <v/>
      </c>
      <c r="F384" s="70">
        <f>(E384-F757)^2</f>
        <v/>
      </c>
      <c r="G384" s="69">
        <f>(E384-F757)^3</f>
        <v/>
      </c>
      <c r="H384" s="69">
        <f>(E384-F757)^4</f>
        <v/>
      </c>
      <c r="I384" s="68" t="inlineStr"/>
    </row>
    <row r="385">
      <c r="A385" s="65" t="n">
        <v>373</v>
      </c>
      <c r="B385" s="65" t="n">
        <v>372</v>
      </c>
      <c r="C385" s="66" t="n">
        <v>4523.84</v>
      </c>
      <c r="D385" s="66" t="n">
        <v>4623.87417</v>
      </c>
      <c r="E385" s="67">
        <f>C385-D385</f>
        <v/>
      </c>
      <c r="F385" s="67">
        <f>(E385-F757)^2</f>
        <v/>
      </c>
      <c r="G385" s="66">
        <f>(E385-F757)^3</f>
        <v/>
      </c>
      <c r="H385" s="66">
        <f>(E385-F757)^4</f>
        <v/>
      </c>
      <c r="I385" s="65" t="inlineStr"/>
    </row>
    <row r="386">
      <c r="A386" s="68" t="n">
        <v>374</v>
      </c>
      <c r="B386" s="68" t="n">
        <v>373</v>
      </c>
      <c r="C386" s="69" t="n">
        <v>4521.1</v>
      </c>
      <c r="D386" s="69" t="n">
        <v>4624.07662</v>
      </c>
      <c r="E386" s="70">
        <f>C386-D386</f>
        <v/>
      </c>
      <c r="F386" s="70">
        <f>(E386-F757)^2</f>
        <v/>
      </c>
      <c r="G386" s="69">
        <f>(E386-F757)^3</f>
        <v/>
      </c>
      <c r="H386" s="69">
        <f>(E386-F757)^4</f>
        <v/>
      </c>
      <c r="I386" s="68" t="inlineStr"/>
    </row>
    <row r="387">
      <c r="A387" s="65" t="n">
        <v>375</v>
      </c>
      <c r="B387" s="65" t="n">
        <v>374</v>
      </c>
      <c r="C387" s="66" t="n">
        <v>4519.66</v>
      </c>
      <c r="D387" s="66" t="n">
        <v>4624.27906</v>
      </c>
      <c r="E387" s="67">
        <f>C387-D387</f>
        <v/>
      </c>
      <c r="F387" s="67">
        <f>(E387-F757)^2</f>
        <v/>
      </c>
      <c r="G387" s="66">
        <f>(E387-F757)^3</f>
        <v/>
      </c>
      <c r="H387" s="66">
        <f>(E387-F757)^4</f>
        <v/>
      </c>
      <c r="I387" s="65" t="inlineStr"/>
    </row>
    <row r="388">
      <c r="A388" s="68" t="n">
        <v>376</v>
      </c>
      <c r="B388" s="68" t="n">
        <v>375</v>
      </c>
      <c r="C388" s="69" t="n">
        <v>4519.02</v>
      </c>
      <c r="D388" s="69" t="n">
        <v>4624.48151</v>
      </c>
      <c r="E388" s="70">
        <f>C388-D388</f>
        <v/>
      </c>
      <c r="F388" s="70">
        <f>(E388-F757)^2</f>
        <v/>
      </c>
      <c r="G388" s="69">
        <f>(E388-F757)^3</f>
        <v/>
      </c>
      <c r="H388" s="69">
        <f>(E388-F757)^4</f>
        <v/>
      </c>
      <c r="I388" s="68" t="inlineStr"/>
    </row>
    <row r="389">
      <c r="A389" s="65" t="n">
        <v>377</v>
      </c>
      <c r="B389" s="65" t="n">
        <v>376</v>
      </c>
      <c r="C389" s="66" t="n">
        <v>4517.52</v>
      </c>
      <c r="D389" s="66" t="n">
        <v>4624.68395</v>
      </c>
      <c r="E389" s="67">
        <f>C389-D389</f>
        <v/>
      </c>
      <c r="F389" s="67">
        <f>(E389-F757)^2</f>
        <v/>
      </c>
      <c r="G389" s="66">
        <f>(E389-F757)^3</f>
        <v/>
      </c>
      <c r="H389" s="66">
        <f>(E389-F757)^4</f>
        <v/>
      </c>
      <c r="I389" s="65" t="inlineStr"/>
    </row>
    <row r="390">
      <c r="A390" s="68" t="n">
        <v>378</v>
      </c>
      <c r="B390" s="68" t="n">
        <v>377</v>
      </c>
      <c r="C390" s="69" t="n">
        <v>4520.44</v>
      </c>
      <c r="D390" s="69" t="n">
        <v>4624.8864</v>
      </c>
      <c r="E390" s="70">
        <f>C390-D390</f>
        <v/>
      </c>
      <c r="F390" s="70">
        <f>(E390-F757)^2</f>
        <v/>
      </c>
      <c r="G390" s="69">
        <f>(E390-F757)^3</f>
        <v/>
      </c>
      <c r="H390" s="69">
        <f>(E390-F757)^4</f>
        <v/>
      </c>
      <c r="I390" s="68" t="inlineStr"/>
    </row>
    <row r="391">
      <c r="A391" s="65" t="n">
        <v>379</v>
      </c>
      <c r="B391" s="65" t="n">
        <v>378</v>
      </c>
      <c r="C391" s="66" t="n">
        <v>4521.13</v>
      </c>
      <c r="D391" s="66" t="n">
        <v>4625.08884</v>
      </c>
      <c r="E391" s="67">
        <f>C391-D391</f>
        <v/>
      </c>
      <c r="F391" s="67">
        <f>(E391-F757)^2</f>
        <v/>
      </c>
      <c r="G391" s="66">
        <f>(E391-F757)^3</f>
        <v/>
      </c>
      <c r="H391" s="66">
        <f>(E391-F757)^4</f>
        <v/>
      </c>
      <c r="I391" s="65" t="inlineStr"/>
    </row>
    <row r="392">
      <c r="A392" s="68" t="n">
        <v>380</v>
      </c>
      <c r="B392" s="68" t="n">
        <v>379</v>
      </c>
      <c r="C392" s="69" t="n">
        <v>4518.52</v>
      </c>
      <c r="D392" s="69" t="n">
        <v>4625.29129</v>
      </c>
      <c r="E392" s="70">
        <f>C392-D392</f>
        <v/>
      </c>
      <c r="F392" s="70">
        <f>(E392-F757)^2</f>
        <v/>
      </c>
      <c r="G392" s="69">
        <f>(E392-F757)^3</f>
        <v/>
      </c>
      <c r="H392" s="69">
        <f>(E392-F757)^4</f>
        <v/>
      </c>
      <c r="I392" s="68" t="inlineStr"/>
    </row>
    <row r="393">
      <c r="A393" s="65" t="n">
        <v>381</v>
      </c>
      <c r="B393" s="65" t="n">
        <v>380</v>
      </c>
      <c r="C393" s="66" t="n">
        <v>4519.04</v>
      </c>
      <c r="D393" s="66" t="n">
        <v>4625.49374</v>
      </c>
      <c r="E393" s="67">
        <f>C393-D393</f>
        <v/>
      </c>
      <c r="F393" s="67">
        <f>(E393-F757)^2</f>
        <v/>
      </c>
      <c r="G393" s="66">
        <f>(E393-F757)^3</f>
        <v/>
      </c>
      <c r="H393" s="66">
        <f>(E393-F757)^4</f>
        <v/>
      </c>
      <c r="I393" s="65" t="inlineStr"/>
    </row>
    <row r="394">
      <c r="A394" s="68" t="n">
        <v>382</v>
      </c>
      <c r="B394" s="68" t="n">
        <v>381</v>
      </c>
      <c r="C394" s="69" t="n">
        <v>4527.77</v>
      </c>
      <c r="D394" s="69" t="n">
        <v>4625.69618</v>
      </c>
      <c r="E394" s="70">
        <f>C394-D394</f>
        <v/>
      </c>
      <c r="F394" s="70">
        <f>(E394-F757)^2</f>
        <v/>
      </c>
      <c r="G394" s="69">
        <f>(E394-F757)^3</f>
        <v/>
      </c>
      <c r="H394" s="69">
        <f>(E394-F757)^4</f>
        <v/>
      </c>
      <c r="I394" s="68" t="inlineStr"/>
    </row>
    <row r="395">
      <c r="A395" s="65" t="n">
        <v>383</v>
      </c>
      <c r="B395" s="65" t="n">
        <v>382</v>
      </c>
      <c r="C395" s="66" t="n">
        <v>4517.12</v>
      </c>
      <c r="D395" s="66" t="n">
        <v>4625.89863</v>
      </c>
      <c r="E395" s="67">
        <f>C395-D395</f>
        <v/>
      </c>
      <c r="F395" s="67">
        <f>(E395-F757)^2</f>
        <v/>
      </c>
      <c r="G395" s="66">
        <f>(E395-F757)^3</f>
        <v/>
      </c>
      <c r="H395" s="66">
        <f>(E395-F757)^4</f>
        <v/>
      </c>
      <c r="I395" s="65" t="inlineStr"/>
    </row>
    <row r="396">
      <c r="A396" s="68" t="n">
        <v>384</v>
      </c>
      <c r="B396" s="68" t="n">
        <v>383</v>
      </c>
      <c r="C396" s="69" t="n">
        <v>4523.87</v>
      </c>
      <c r="D396" s="69" t="n">
        <v>4626.10107</v>
      </c>
      <c r="E396" s="70">
        <f>C396-D396</f>
        <v/>
      </c>
      <c r="F396" s="70">
        <f>(E396-F757)^2</f>
        <v/>
      </c>
      <c r="G396" s="69">
        <f>(E396-F757)^3</f>
        <v/>
      </c>
      <c r="H396" s="69">
        <f>(E396-F757)^4</f>
        <v/>
      </c>
      <c r="I396" s="68" t="inlineStr"/>
    </row>
    <row r="397">
      <c r="A397" s="65" t="n">
        <v>385</v>
      </c>
      <c r="B397" s="65" t="n">
        <v>384</v>
      </c>
      <c r="C397" s="66" t="n">
        <v>4530.12</v>
      </c>
      <c r="D397" s="66" t="n">
        <v>4626.30352</v>
      </c>
      <c r="E397" s="67">
        <f>C397-D397</f>
        <v/>
      </c>
      <c r="F397" s="67">
        <f>(E397-F757)^2</f>
        <v/>
      </c>
      <c r="G397" s="66">
        <f>(E397-F757)^3</f>
        <v/>
      </c>
      <c r="H397" s="66">
        <f>(E397-F757)^4</f>
        <v/>
      </c>
      <c r="I397" s="65" t="inlineStr"/>
    </row>
    <row r="398">
      <c r="A398" s="68" t="n">
        <v>386</v>
      </c>
      <c r="B398" s="68" t="n">
        <v>385</v>
      </c>
      <c r="C398" s="69" t="n">
        <v>4538.86</v>
      </c>
      <c r="D398" s="69" t="n">
        <v>4626.50596</v>
      </c>
      <c r="E398" s="70">
        <f>C398-D398</f>
        <v/>
      </c>
      <c r="F398" s="70">
        <f>(E398-F757)^2</f>
        <v/>
      </c>
      <c r="G398" s="69">
        <f>(E398-F757)^3</f>
        <v/>
      </c>
      <c r="H398" s="69">
        <f>(E398-F757)^4</f>
        <v/>
      </c>
      <c r="I398" s="68" t="inlineStr"/>
    </row>
    <row r="399">
      <c r="A399" s="65" t="n">
        <v>387</v>
      </c>
      <c r="B399" s="65" t="n">
        <v>386</v>
      </c>
      <c r="C399" s="66" t="n">
        <v>4537.8</v>
      </c>
      <c r="D399" s="66" t="n">
        <v>4626.70841</v>
      </c>
      <c r="E399" s="67">
        <f>C399-D399</f>
        <v/>
      </c>
      <c r="F399" s="67">
        <f>(E399-F757)^2</f>
        <v/>
      </c>
      <c r="G399" s="66">
        <f>(E399-F757)^3</f>
        <v/>
      </c>
      <c r="H399" s="66">
        <f>(E399-F757)^4</f>
        <v/>
      </c>
      <c r="I399" s="65" t="inlineStr"/>
    </row>
    <row r="400">
      <c r="A400" s="68" t="n">
        <v>388</v>
      </c>
      <c r="B400" s="68" t="n">
        <v>387</v>
      </c>
      <c r="C400" s="69" t="n">
        <v>4536.92</v>
      </c>
      <c r="D400" s="69" t="n">
        <v>4626.91086</v>
      </c>
      <c r="E400" s="70">
        <f>C400-D400</f>
        <v/>
      </c>
      <c r="F400" s="70">
        <f>(E400-F757)^2</f>
        <v/>
      </c>
      <c r="G400" s="69">
        <f>(E400-F757)^3</f>
        <v/>
      </c>
      <c r="H400" s="69">
        <f>(E400-F757)^4</f>
        <v/>
      </c>
      <c r="I400" s="68" t="inlineStr"/>
    </row>
    <row r="401">
      <c r="A401" s="65" t="n">
        <v>389</v>
      </c>
      <c r="B401" s="65" t="n">
        <v>388</v>
      </c>
      <c r="C401" s="66" t="n">
        <v>4541.02</v>
      </c>
      <c r="D401" s="66" t="n">
        <v>4627.1133</v>
      </c>
      <c r="E401" s="67">
        <f>C401-D401</f>
        <v/>
      </c>
      <c r="F401" s="67">
        <f>(E401-F757)^2</f>
        <v/>
      </c>
      <c r="G401" s="66">
        <f>(E401-F757)^3</f>
        <v/>
      </c>
      <c r="H401" s="66">
        <f>(E401-F757)^4</f>
        <v/>
      </c>
      <c r="I401" s="65" t="inlineStr"/>
    </row>
    <row r="402">
      <c r="A402" s="68" t="n">
        <v>390</v>
      </c>
      <c r="B402" s="68" t="n">
        <v>389</v>
      </c>
      <c r="C402" s="69" t="n">
        <v>4538.55</v>
      </c>
      <c r="D402" s="69" t="n">
        <v>4627.31575</v>
      </c>
      <c r="E402" s="70">
        <f>C402-D402</f>
        <v/>
      </c>
      <c r="F402" s="70">
        <f>(E402-F757)^2</f>
        <v/>
      </c>
      <c r="G402" s="69">
        <f>(E402-F757)^3</f>
        <v/>
      </c>
      <c r="H402" s="69">
        <f>(E402-F757)^4</f>
        <v/>
      </c>
      <c r="I402" s="68" t="inlineStr"/>
    </row>
    <row r="403">
      <c r="A403" s="65" t="n">
        <v>391</v>
      </c>
      <c r="B403" s="65" t="n">
        <v>390</v>
      </c>
      <c r="C403" s="66" t="n">
        <v>4541.49</v>
      </c>
      <c r="D403" s="66" t="n">
        <v>4627.51819</v>
      </c>
      <c r="E403" s="67">
        <f>C403-D403</f>
        <v/>
      </c>
      <c r="F403" s="67">
        <f>(E403-F757)^2</f>
        <v/>
      </c>
      <c r="G403" s="66">
        <f>(E403-F757)^3</f>
        <v/>
      </c>
      <c r="H403" s="66">
        <f>(E403-F757)^4</f>
        <v/>
      </c>
      <c r="I403" s="65" t="inlineStr"/>
    </row>
    <row r="404">
      <c r="A404" s="68" t="n">
        <v>392</v>
      </c>
      <c r="B404" s="68" t="n">
        <v>391</v>
      </c>
      <c r="C404" s="69" t="n">
        <v>4544.58</v>
      </c>
      <c r="D404" s="69" t="n">
        <v>4627.72064</v>
      </c>
      <c r="E404" s="70">
        <f>C404-D404</f>
        <v/>
      </c>
      <c r="F404" s="70">
        <f>(E404-F757)^2</f>
        <v/>
      </c>
      <c r="G404" s="69">
        <f>(E404-F757)^3</f>
        <v/>
      </c>
      <c r="H404" s="69">
        <f>(E404-F757)^4</f>
        <v/>
      </c>
      <c r="I404" s="68" t="inlineStr"/>
    </row>
    <row r="405">
      <c r="A405" s="65" t="n">
        <v>393</v>
      </c>
      <c r="B405" s="65" t="n">
        <v>392</v>
      </c>
      <c r="C405" s="66" t="n">
        <v>4539.17</v>
      </c>
      <c r="D405" s="66" t="n">
        <v>4627.92308</v>
      </c>
      <c r="E405" s="67">
        <f>C405-D405</f>
        <v/>
      </c>
      <c r="F405" s="67">
        <f>(E405-F757)^2</f>
        <v/>
      </c>
      <c r="G405" s="66">
        <f>(E405-F757)^3</f>
        <v/>
      </c>
      <c r="H405" s="66">
        <f>(E405-F757)^4</f>
        <v/>
      </c>
      <c r="I405" s="65" t="inlineStr"/>
    </row>
    <row r="406">
      <c r="A406" s="68" t="n">
        <v>394</v>
      </c>
      <c r="B406" s="68" t="n">
        <v>393</v>
      </c>
      <c r="C406" s="69" t="n">
        <v>4542.12</v>
      </c>
      <c r="D406" s="69" t="n">
        <v>4628.12553</v>
      </c>
      <c r="E406" s="70">
        <f>C406-D406</f>
        <v/>
      </c>
      <c r="F406" s="70">
        <f>(E406-F757)^2</f>
        <v/>
      </c>
      <c r="G406" s="69">
        <f>(E406-F757)^3</f>
        <v/>
      </c>
      <c r="H406" s="69">
        <f>(E406-F757)^4</f>
        <v/>
      </c>
      <c r="I406" s="68" t="inlineStr"/>
    </row>
    <row r="407">
      <c r="A407" s="65" t="n">
        <v>395</v>
      </c>
      <c r="B407" s="65" t="n">
        <v>394</v>
      </c>
      <c r="C407" s="66" t="n">
        <v>4538.07</v>
      </c>
      <c r="D407" s="66" t="n">
        <v>4628.32798</v>
      </c>
      <c r="E407" s="67">
        <f>C407-D407</f>
        <v/>
      </c>
      <c r="F407" s="67">
        <f>(E407-F757)^2</f>
        <v/>
      </c>
      <c r="G407" s="66">
        <f>(E407-F757)^3</f>
        <v/>
      </c>
      <c r="H407" s="66">
        <f>(E407-F757)^4</f>
        <v/>
      </c>
      <c r="I407" s="65" t="inlineStr"/>
    </row>
    <row r="408">
      <c r="A408" s="68" t="n">
        <v>396</v>
      </c>
      <c r="B408" s="68" t="n">
        <v>395</v>
      </c>
      <c r="C408" s="69" t="n">
        <v>4535.98</v>
      </c>
      <c r="D408" s="69" t="n">
        <v>4628.53042</v>
      </c>
      <c r="E408" s="70">
        <f>C408-D408</f>
        <v/>
      </c>
      <c r="F408" s="70">
        <f>(E408-F757)^2</f>
        <v/>
      </c>
      <c r="G408" s="69">
        <f>(E408-F757)^3</f>
        <v/>
      </c>
      <c r="H408" s="69">
        <f>(E408-F757)^4</f>
        <v/>
      </c>
      <c r="I408" s="68" t="inlineStr"/>
    </row>
    <row r="409">
      <c r="A409" s="65" t="n">
        <v>397</v>
      </c>
      <c r="B409" s="65" t="n">
        <v>396</v>
      </c>
      <c r="C409" s="66" t="n">
        <v>4534.67</v>
      </c>
      <c r="D409" s="66" t="n">
        <v>4628.73287</v>
      </c>
      <c r="E409" s="67">
        <f>C409-D409</f>
        <v/>
      </c>
      <c r="F409" s="67">
        <f>(E409-F757)^2</f>
        <v/>
      </c>
      <c r="G409" s="66">
        <f>(E409-F757)^3</f>
        <v/>
      </c>
      <c r="H409" s="66">
        <f>(E409-F757)^4</f>
        <v/>
      </c>
      <c r="I409" s="65" t="inlineStr"/>
    </row>
    <row r="410">
      <c r="A410" s="68" t="n">
        <v>398</v>
      </c>
      <c r="B410" s="68" t="n">
        <v>397</v>
      </c>
      <c r="C410" s="69" t="n">
        <v>4532.97</v>
      </c>
      <c r="D410" s="69" t="n">
        <v>4628.93531</v>
      </c>
      <c r="E410" s="70">
        <f>C410-D410</f>
        <v/>
      </c>
      <c r="F410" s="70">
        <f>(E410-F757)^2</f>
        <v/>
      </c>
      <c r="G410" s="69">
        <f>(E410-F757)^3</f>
        <v/>
      </c>
      <c r="H410" s="69">
        <f>(E410-F757)^4</f>
        <v/>
      </c>
      <c r="I410" s="68" t="inlineStr"/>
    </row>
    <row r="411">
      <c r="A411" s="65" t="n">
        <v>399</v>
      </c>
      <c r="B411" s="65" t="n">
        <v>398</v>
      </c>
      <c r="C411" s="66" t="n">
        <v>4529.71</v>
      </c>
      <c r="D411" s="66" t="n">
        <v>4629.13776</v>
      </c>
      <c r="E411" s="67">
        <f>C411-D411</f>
        <v/>
      </c>
      <c r="F411" s="67">
        <f>(E411-F757)^2</f>
        <v/>
      </c>
      <c r="G411" s="66">
        <f>(E411-F757)^3</f>
        <v/>
      </c>
      <c r="H411" s="66">
        <f>(E411-F757)^4</f>
        <v/>
      </c>
      <c r="I411" s="65" t="inlineStr"/>
    </row>
    <row r="412">
      <c r="A412" s="68" t="n">
        <v>400</v>
      </c>
      <c r="B412" s="68" t="n">
        <v>399</v>
      </c>
      <c r="C412" s="69" t="n">
        <v>4531.71</v>
      </c>
      <c r="D412" s="69" t="n">
        <v>4629.3402</v>
      </c>
      <c r="E412" s="70">
        <f>C412-D412</f>
        <v/>
      </c>
      <c r="F412" s="70">
        <f>(E412-F757)^2</f>
        <v/>
      </c>
      <c r="G412" s="69">
        <f>(E412-F757)^3</f>
        <v/>
      </c>
      <c r="H412" s="69">
        <f>(E412-F757)^4</f>
        <v/>
      </c>
      <c r="I412" s="68" t="inlineStr"/>
    </row>
    <row r="413">
      <c r="A413" s="65" t="n">
        <v>401</v>
      </c>
      <c r="B413" s="65" t="n">
        <v>400</v>
      </c>
      <c r="C413" s="66" t="n">
        <v>4533.58</v>
      </c>
      <c r="D413" s="66" t="n">
        <v>4629.54265</v>
      </c>
      <c r="E413" s="67">
        <f>C413-D413</f>
        <v/>
      </c>
      <c r="F413" s="67">
        <f>(E413-F757)^2</f>
        <v/>
      </c>
      <c r="G413" s="66">
        <f>(E413-F757)^3</f>
        <v/>
      </c>
      <c r="H413" s="66">
        <f>(E413-F757)^4</f>
        <v/>
      </c>
      <c r="I413" s="65" t="inlineStr"/>
    </row>
    <row r="414">
      <c r="A414" s="68" t="n">
        <v>402</v>
      </c>
      <c r="B414" s="68" t="n">
        <v>401</v>
      </c>
      <c r="C414" s="69" t="n">
        <v>4540.2</v>
      </c>
      <c r="D414" s="69" t="n">
        <v>4629.7451</v>
      </c>
      <c r="E414" s="70">
        <f>C414-D414</f>
        <v/>
      </c>
      <c r="F414" s="70">
        <f>(E414-F757)^2</f>
        <v/>
      </c>
      <c r="G414" s="69">
        <f>(E414-F757)^3</f>
        <v/>
      </c>
      <c r="H414" s="69">
        <f>(E414-F757)^4</f>
        <v/>
      </c>
      <c r="I414" s="68" t="inlineStr"/>
    </row>
    <row r="415">
      <c r="A415" s="65" t="n">
        <v>403</v>
      </c>
      <c r="B415" s="65" t="n">
        <v>402</v>
      </c>
      <c r="C415" s="66" t="n">
        <v>4540.11</v>
      </c>
      <c r="D415" s="66" t="n">
        <v>4629.94754</v>
      </c>
      <c r="E415" s="67">
        <f>C415-D415</f>
        <v/>
      </c>
      <c r="F415" s="67">
        <f>(E415-F757)^2</f>
        <v/>
      </c>
      <c r="G415" s="66">
        <f>(E415-F757)^3</f>
        <v/>
      </c>
      <c r="H415" s="66">
        <f>(E415-F757)^4</f>
        <v/>
      </c>
      <c r="I415" s="65" t="inlineStr"/>
    </row>
    <row r="416">
      <c r="A416" s="68" t="n">
        <v>404</v>
      </c>
      <c r="B416" s="68" t="n">
        <v>403</v>
      </c>
      <c r="C416" s="69" t="n">
        <v>4545.86</v>
      </c>
      <c r="D416" s="69" t="n">
        <v>4630.14999</v>
      </c>
      <c r="E416" s="70">
        <f>C416-D416</f>
        <v/>
      </c>
      <c r="F416" s="70">
        <f>(E416-F757)^2</f>
        <v/>
      </c>
      <c r="G416" s="69">
        <f>(E416-F757)^3</f>
        <v/>
      </c>
      <c r="H416" s="69">
        <f>(E416-F757)^4</f>
        <v/>
      </c>
      <c r="I416" s="68" t="inlineStr"/>
    </row>
    <row r="417">
      <c r="A417" s="65" t="n">
        <v>405</v>
      </c>
      <c r="B417" s="65" t="n">
        <v>404</v>
      </c>
      <c r="C417" s="66" t="n">
        <v>4545.73</v>
      </c>
      <c r="D417" s="66" t="n">
        <v>4630.35243</v>
      </c>
      <c r="E417" s="67">
        <f>C417-D417</f>
        <v/>
      </c>
      <c r="F417" s="67">
        <f>(E417-F757)^2</f>
        <v/>
      </c>
      <c r="G417" s="66">
        <f>(E417-F757)^3</f>
        <v/>
      </c>
      <c r="H417" s="66">
        <f>(E417-F757)^4</f>
        <v/>
      </c>
      <c r="I417" s="65" t="inlineStr"/>
    </row>
    <row r="418">
      <c r="A418" s="68" t="n">
        <v>406</v>
      </c>
      <c r="B418" s="68" t="n">
        <v>405</v>
      </c>
      <c r="C418" s="69" t="n">
        <v>4543.66</v>
      </c>
      <c r="D418" s="69" t="n">
        <v>4630.55488</v>
      </c>
      <c r="E418" s="70">
        <f>C418-D418</f>
        <v/>
      </c>
      <c r="F418" s="70">
        <f>(E418-F757)^2</f>
        <v/>
      </c>
      <c r="G418" s="69">
        <f>(E418-F757)^3</f>
        <v/>
      </c>
      <c r="H418" s="69">
        <f>(E418-F757)^4</f>
        <v/>
      </c>
      <c r="I418" s="68" t="inlineStr"/>
    </row>
    <row r="419">
      <c r="A419" s="65" t="n">
        <v>407</v>
      </c>
      <c r="B419" s="65" t="n">
        <v>406</v>
      </c>
      <c r="C419" s="66" t="n">
        <v>4536.86</v>
      </c>
      <c r="D419" s="66" t="n">
        <v>4630.75732</v>
      </c>
      <c r="E419" s="67">
        <f>C419-D419</f>
        <v/>
      </c>
      <c r="F419" s="67">
        <f>(E419-F757)^2</f>
        <v/>
      </c>
      <c r="G419" s="66">
        <f>(E419-F757)^3</f>
        <v/>
      </c>
      <c r="H419" s="66">
        <f>(E419-F757)^4</f>
        <v/>
      </c>
      <c r="I419" s="65" t="inlineStr"/>
    </row>
    <row r="420">
      <c r="A420" s="68" t="n">
        <v>408</v>
      </c>
      <c r="B420" s="68" t="n">
        <v>407</v>
      </c>
      <c r="C420" s="69" t="n">
        <v>4546.17</v>
      </c>
      <c r="D420" s="69" t="n">
        <v>4630.95977</v>
      </c>
      <c r="E420" s="70">
        <f>C420-D420</f>
        <v/>
      </c>
      <c r="F420" s="70">
        <f>(E420-F757)^2</f>
        <v/>
      </c>
      <c r="G420" s="69">
        <f>(E420-F757)^3</f>
        <v/>
      </c>
      <c r="H420" s="69">
        <f>(E420-F757)^4</f>
        <v/>
      </c>
      <c r="I420" s="68" t="inlineStr"/>
    </row>
    <row r="421">
      <c r="A421" s="65" t="n">
        <v>409</v>
      </c>
      <c r="B421" s="65" t="n">
        <v>408</v>
      </c>
      <c r="C421" s="66" t="n">
        <v>4548.12</v>
      </c>
      <c r="D421" s="66" t="n">
        <v>4631.16221</v>
      </c>
      <c r="E421" s="67">
        <f>C421-D421</f>
        <v/>
      </c>
      <c r="F421" s="67">
        <f>(E421-F757)^2</f>
        <v/>
      </c>
      <c r="G421" s="66">
        <f>(E421-F757)^3</f>
        <v/>
      </c>
      <c r="H421" s="66">
        <f>(E421-F757)^4</f>
        <v/>
      </c>
      <c r="I421" s="65" t="inlineStr"/>
    </row>
    <row r="422">
      <c r="A422" s="68" t="n">
        <v>410</v>
      </c>
      <c r="B422" s="68" t="n">
        <v>409</v>
      </c>
      <c r="C422" s="69" t="n">
        <v>4554.04</v>
      </c>
      <c r="D422" s="69" t="n">
        <v>4631.36466</v>
      </c>
      <c r="E422" s="70">
        <f>C422-D422</f>
        <v/>
      </c>
      <c r="F422" s="70">
        <f>(E422-F757)^2</f>
        <v/>
      </c>
      <c r="G422" s="69">
        <f>(E422-F757)^3</f>
        <v/>
      </c>
      <c r="H422" s="69">
        <f>(E422-F757)^4</f>
        <v/>
      </c>
      <c r="I422" s="68" t="inlineStr"/>
    </row>
    <row r="423">
      <c r="A423" s="65" t="n">
        <v>411</v>
      </c>
      <c r="B423" s="65" t="n">
        <v>410</v>
      </c>
      <c r="C423" s="66" t="n">
        <v>4548.94</v>
      </c>
      <c r="D423" s="66" t="n">
        <v>4631.56711</v>
      </c>
      <c r="E423" s="67">
        <f>C423-D423</f>
        <v/>
      </c>
      <c r="F423" s="67">
        <f>(E423-F757)^2</f>
        <v/>
      </c>
      <c r="G423" s="66">
        <f>(E423-F757)^3</f>
        <v/>
      </c>
      <c r="H423" s="66">
        <f>(E423-F757)^4</f>
        <v/>
      </c>
      <c r="I423" s="65" t="inlineStr"/>
    </row>
    <row r="424">
      <c r="A424" s="68" t="n">
        <v>412</v>
      </c>
      <c r="B424" s="68" t="n">
        <v>411</v>
      </c>
      <c r="C424" s="69" t="n">
        <v>4551.29</v>
      </c>
      <c r="D424" s="69" t="n">
        <v>4631.76955</v>
      </c>
      <c r="E424" s="70">
        <f>C424-D424</f>
        <v/>
      </c>
      <c r="F424" s="70">
        <f>(E424-F757)^2</f>
        <v/>
      </c>
      <c r="G424" s="69">
        <f>(E424-F757)^3</f>
        <v/>
      </c>
      <c r="H424" s="69">
        <f>(E424-F757)^4</f>
        <v/>
      </c>
      <c r="I424" s="68" t="inlineStr"/>
    </row>
    <row r="425">
      <c r="A425" s="65" t="n">
        <v>413</v>
      </c>
      <c r="B425" s="65" t="n">
        <v>412</v>
      </c>
      <c r="C425" s="66" t="n">
        <v>4545.57</v>
      </c>
      <c r="D425" s="66" t="n">
        <v>4631.972</v>
      </c>
      <c r="E425" s="67">
        <f>C425-D425</f>
        <v/>
      </c>
      <c r="F425" s="67">
        <f>(E425-F757)^2</f>
        <v/>
      </c>
      <c r="G425" s="66">
        <f>(E425-F757)^3</f>
        <v/>
      </c>
      <c r="H425" s="66">
        <f>(E425-F757)^4</f>
        <v/>
      </c>
      <c r="I425" s="65" t="inlineStr"/>
    </row>
    <row r="426">
      <c r="A426" s="68" t="n">
        <v>414</v>
      </c>
      <c r="B426" s="68" t="n">
        <v>413</v>
      </c>
      <c r="C426" s="69" t="n">
        <v>4551.12</v>
      </c>
      <c r="D426" s="69" t="n">
        <v>4632.17444</v>
      </c>
      <c r="E426" s="70">
        <f>C426-D426</f>
        <v/>
      </c>
      <c r="F426" s="70">
        <f>(E426-F757)^2</f>
        <v/>
      </c>
      <c r="G426" s="69">
        <f>(E426-F757)^3</f>
        <v/>
      </c>
      <c r="H426" s="69">
        <f>(E426-F757)^4</f>
        <v/>
      </c>
      <c r="I426" s="68" t="inlineStr"/>
    </row>
    <row r="427">
      <c r="A427" s="65" t="n">
        <v>415</v>
      </c>
      <c r="B427" s="65" t="n">
        <v>414</v>
      </c>
      <c r="C427" s="66" t="n">
        <v>4551.48</v>
      </c>
      <c r="D427" s="66" t="n">
        <v>4632.37689</v>
      </c>
      <c r="E427" s="67">
        <f>C427-D427</f>
        <v/>
      </c>
      <c r="F427" s="67">
        <f>(E427-F757)^2</f>
        <v/>
      </c>
      <c r="G427" s="66">
        <f>(E427-F757)^3</f>
        <v/>
      </c>
      <c r="H427" s="66">
        <f>(E427-F757)^4</f>
        <v/>
      </c>
      <c r="I427" s="65" t="inlineStr"/>
    </row>
    <row r="428">
      <c r="A428" s="68" t="n">
        <v>416</v>
      </c>
      <c r="B428" s="68" t="n">
        <v>415</v>
      </c>
      <c r="C428" s="69" t="n">
        <v>4550.32</v>
      </c>
      <c r="D428" s="69" t="n">
        <v>4632.57933</v>
      </c>
      <c r="E428" s="70">
        <f>C428-D428</f>
        <v/>
      </c>
      <c r="F428" s="70">
        <f>(E428-F757)^2</f>
        <v/>
      </c>
      <c r="G428" s="69">
        <f>(E428-F757)^3</f>
        <v/>
      </c>
      <c r="H428" s="69">
        <f>(E428-F757)^4</f>
        <v/>
      </c>
      <c r="I428" s="68" t="inlineStr"/>
    </row>
    <row r="429">
      <c r="A429" s="65" t="n">
        <v>417</v>
      </c>
      <c r="B429" s="65" t="n">
        <v>416</v>
      </c>
      <c r="C429" s="66" t="n">
        <v>4558.34</v>
      </c>
      <c r="D429" s="66" t="n">
        <v>4632.78178</v>
      </c>
      <c r="E429" s="67">
        <f>C429-D429</f>
        <v/>
      </c>
      <c r="F429" s="67">
        <f>(E429-F757)^2</f>
        <v/>
      </c>
      <c r="G429" s="66">
        <f>(E429-F757)^3</f>
        <v/>
      </c>
      <c r="H429" s="66">
        <f>(E429-F757)^4</f>
        <v/>
      </c>
      <c r="I429" s="65" t="inlineStr"/>
    </row>
    <row r="430">
      <c r="A430" s="68" t="n">
        <v>418</v>
      </c>
      <c r="B430" s="68" t="n">
        <v>417</v>
      </c>
      <c r="C430" s="69" t="n">
        <v>4557.61</v>
      </c>
      <c r="D430" s="69" t="n">
        <v>4632.98423</v>
      </c>
      <c r="E430" s="70">
        <f>C430-D430</f>
        <v/>
      </c>
      <c r="F430" s="70">
        <f>(E430-F757)^2</f>
        <v/>
      </c>
      <c r="G430" s="69">
        <f>(E430-F757)^3</f>
        <v/>
      </c>
      <c r="H430" s="69">
        <f>(E430-F757)^4</f>
        <v/>
      </c>
      <c r="I430" s="68" t="inlineStr"/>
    </row>
    <row r="431">
      <c r="A431" s="65" t="n">
        <v>419</v>
      </c>
      <c r="B431" s="65" t="n">
        <v>418</v>
      </c>
      <c r="C431" s="66" t="n">
        <v>4552.3</v>
      </c>
      <c r="D431" s="66" t="n">
        <v>4633.18667</v>
      </c>
      <c r="E431" s="67">
        <f>C431-D431</f>
        <v/>
      </c>
      <c r="F431" s="67">
        <f>(E431-F757)^2</f>
        <v/>
      </c>
      <c r="G431" s="66">
        <f>(E431-F757)^3</f>
        <v/>
      </c>
      <c r="H431" s="66">
        <f>(E431-F757)^4</f>
        <v/>
      </c>
      <c r="I431" s="65" t="inlineStr"/>
    </row>
    <row r="432">
      <c r="A432" s="68" t="n">
        <v>420</v>
      </c>
      <c r="B432" s="68" t="n">
        <v>419</v>
      </c>
      <c r="C432" s="69" t="n">
        <v>4555.5</v>
      </c>
      <c r="D432" s="69" t="n">
        <v>4633.38912</v>
      </c>
      <c r="E432" s="70">
        <f>C432-D432</f>
        <v/>
      </c>
      <c r="F432" s="70">
        <f>(E432-F757)^2</f>
        <v/>
      </c>
      <c r="G432" s="69">
        <f>(E432-F757)^3</f>
        <v/>
      </c>
      <c r="H432" s="69">
        <f>(E432-F757)^4</f>
        <v/>
      </c>
      <c r="I432" s="68" t="inlineStr"/>
    </row>
    <row r="433">
      <c r="A433" s="65" t="n">
        <v>421</v>
      </c>
      <c r="B433" s="65" t="n">
        <v>420</v>
      </c>
      <c r="C433" s="66" t="n">
        <v>4556.21</v>
      </c>
      <c r="D433" s="66" t="n">
        <v>4633.59156</v>
      </c>
      <c r="E433" s="67">
        <f>C433-D433</f>
        <v/>
      </c>
      <c r="F433" s="67">
        <f>(E433-F757)^2</f>
        <v/>
      </c>
      <c r="G433" s="66">
        <f>(E433-F757)^3</f>
        <v/>
      </c>
      <c r="H433" s="66">
        <f>(E433-F757)^4</f>
        <v/>
      </c>
      <c r="I433" s="65" t="inlineStr"/>
    </row>
    <row r="434">
      <c r="A434" s="68" t="n">
        <v>422</v>
      </c>
      <c r="B434" s="68" t="n">
        <v>421</v>
      </c>
      <c r="C434" s="69" t="n">
        <v>4553.01</v>
      </c>
      <c r="D434" s="69" t="n">
        <v>4633.79401</v>
      </c>
      <c r="E434" s="70">
        <f>C434-D434</f>
        <v/>
      </c>
      <c r="F434" s="70">
        <f>(E434-F757)^2</f>
        <v/>
      </c>
      <c r="G434" s="69">
        <f>(E434-F757)^3</f>
        <v/>
      </c>
      <c r="H434" s="69">
        <f>(E434-F757)^4</f>
        <v/>
      </c>
      <c r="I434" s="68" t="inlineStr"/>
    </row>
    <row r="435">
      <c r="A435" s="65" t="n">
        <v>423</v>
      </c>
      <c r="B435" s="65" t="n">
        <v>422</v>
      </c>
      <c r="C435" s="66" t="n">
        <v>4547.92</v>
      </c>
      <c r="D435" s="66" t="n">
        <v>4633.99645</v>
      </c>
      <c r="E435" s="67">
        <f>C435-D435</f>
        <v/>
      </c>
      <c r="F435" s="67">
        <f>(E435-F757)^2</f>
        <v/>
      </c>
      <c r="G435" s="66">
        <f>(E435-F757)^3</f>
        <v/>
      </c>
      <c r="H435" s="66">
        <f>(E435-F757)^4</f>
        <v/>
      </c>
      <c r="I435" s="65" t="inlineStr"/>
    </row>
    <row r="436">
      <c r="A436" s="68" t="n">
        <v>424</v>
      </c>
      <c r="B436" s="68" t="n">
        <v>423</v>
      </c>
      <c r="C436" s="69" t="n">
        <v>4545.13</v>
      </c>
      <c r="D436" s="69" t="n">
        <v>4634.1989</v>
      </c>
      <c r="E436" s="70">
        <f>C436-D436</f>
        <v/>
      </c>
      <c r="F436" s="70">
        <f>(E436-F757)^2</f>
        <v/>
      </c>
      <c r="G436" s="69">
        <f>(E436-F757)^3</f>
        <v/>
      </c>
      <c r="H436" s="69">
        <f>(E436-F757)^4</f>
        <v/>
      </c>
      <c r="I436" s="68" t="inlineStr"/>
    </row>
    <row r="437">
      <c r="A437" s="65" t="n">
        <v>425</v>
      </c>
      <c r="B437" s="65" t="n">
        <v>424</v>
      </c>
      <c r="C437" s="66" t="n">
        <v>4543.73</v>
      </c>
      <c r="D437" s="66" t="n">
        <v>4634.40135</v>
      </c>
      <c r="E437" s="67">
        <f>C437-D437</f>
        <v/>
      </c>
      <c r="F437" s="67">
        <f>(E437-F757)^2</f>
        <v/>
      </c>
      <c r="G437" s="66">
        <f>(E437-F757)^3</f>
        <v/>
      </c>
      <c r="H437" s="66">
        <f>(E437-F757)^4</f>
        <v/>
      </c>
      <c r="I437" s="65" t="inlineStr"/>
    </row>
    <row r="438">
      <c r="A438" s="68" t="n">
        <v>426</v>
      </c>
      <c r="B438" s="68" t="n">
        <v>425</v>
      </c>
      <c r="C438" s="69" t="n">
        <v>4552.62</v>
      </c>
      <c r="D438" s="69" t="n">
        <v>4634.60379</v>
      </c>
      <c r="E438" s="70">
        <f>C438-D438</f>
        <v/>
      </c>
      <c r="F438" s="70">
        <f>(E438-F757)^2</f>
        <v/>
      </c>
      <c r="G438" s="69">
        <f>(E438-F757)^3</f>
        <v/>
      </c>
      <c r="H438" s="69">
        <f>(E438-F757)^4</f>
        <v/>
      </c>
      <c r="I438" s="68" t="inlineStr"/>
    </row>
    <row r="439">
      <c r="A439" s="65" t="n">
        <v>427</v>
      </c>
      <c r="B439" s="65" t="n">
        <v>426</v>
      </c>
      <c r="C439" s="66" t="n">
        <v>4556.17</v>
      </c>
      <c r="D439" s="66" t="n">
        <v>4634.80624</v>
      </c>
      <c r="E439" s="67">
        <f>C439-D439</f>
        <v/>
      </c>
      <c r="F439" s="67">
        <f>(E439-F757)^2</f>
        <v/>
      </c>
      <c r="G439" s="66">
        <f>(E439-F757)^3</f>
        <v/>
      </c>
      <c r="H439" s="66">
        <f>(E439-F757)^4</f>
        <v/>
      </c>
      <c r="I439" s="65" t="inlineStr"/>
    </row>
    <row r="440">
      <c r="A440" s="68" t="n">
        <v>428</v>
      </c>
      <c r="B440" s="68" t="n">
        <v>427</v>
      </c>
      <c r="C440" s="69" t="n">
        <v>4563.32</v>
      </c>
      <c r="D440" s="69" t="n">
        <v>4635.00868</v>
      </c>
      <c r="E440" s="70">
        <f>C440-D440</f>
        <v/>
      </c>
      <c r="F440" s="70">
        <f>(E440-F757)^2</f>
        <v/>
      </c>
      <c r="G440" s="69">
        <f>(E440-F757)^3</f>
        <v/>
      </c>
      <c r="H440" s="69">
        <f>(E440-F757)^4</f>
        <v/>
      </c>
      <c r="I440" s="68" t="inlineStr"/>
    </row>
    <row r="441">
      <c r="A441" s="65" t="n">
        <v>429</v>
      </c>
      <c r="B441" s="65" t="n">
        <v>428</v>
      </c>
      <c r="C441" s="66" t="n">
        <v>4562.6</v>
      </c>
      <c r="D441" s="66" t="n">
        <v>4635.21113</v>
      </c>
      <c r="E441" s="67">
        <f>C441-D441</f>
        <v/>
      </c>
      <c r="F441" s="67">
        <f>(E441-F757)^2</f>
        <v/>
      </c>
      <c r="G441" s="66">
        <f>(E441-F757)^3</f>
        <v/>
      </c>
      <c r="H441" s="66">
        <f>(E441-F757)^4</f>
        <v/>
      </c>
      <c r="I441" s="65" t="inlineStr"/>
    </row>
    <row r="442">
      <c r="A442" s="68" t="n">
        <v>430</v>
      </c>
      <c r="B442" s="68" t="n">
        <v>429</v>
      </c>
      <c r="C442" s="69" t="n">
        <v>4565</v>
      </c>
      <c r="D442" s="69" t="n">
        <v>4635.41357</v>
      </c>
      <c r="E442" s="70">
        <f>C442-D442</f>
        <v/>
      </c>
      <c r="F442" s="70">
        <f>(E442-F757)^2</f>
        <v/>
      </c>
      <c r="G442" s="69">
        <f>(E442-F757)^3</f>
        <v/>
      </c>
      <c r="H442" s="69">
        <f>(E442-F757)^4</f>
        <v/>
      </c>
      <c r="I442" s="68" t="inlineStr"/>
    </row>
    <row r="443">
      <c r="A443" s="65" t="n">
        <v>431</v>
      </c>
      <c r="B443" s="65" t="n">
        <v>430</v>
      </c>
      <c r="C443" s="66" t="n">
        <v>4573.81</v>
      </c>
      <c r="D443" s="66" t="n">
        <v>4635.61602</v>
      </c>
      <c r="E443" s="67">
        <f>C443-D443</f>
        <v/>
      </c>
      <c r="F443" s="67">
        <f>(E443-F757)^2</f>
        <v/>
      </c>
      <c r="G443" s="66">
        <f>(E443-F757)^3</f>
        <v/>
      </c>
      <c r="H443" s="66">
        <f>(E443-F757)^4</f>
        <v/>
      </c>
      <c r="I443" s="65" t="inlineStr"/>
    </row>
    <row r="444">
      <c r="A444" s="68" t="n">
        <v>432</v>
      </c>
      <c r="B444" s="68" t="n">
        <v>431</v>
      </c>
      <c r="C444" s="69" t="n">
        <v>4567.11</v>
      </c>
      <c r="D444" s="69" t="n">
        <v>4635.81847</v>
      </c>
      <c r="E444" s="70">
        <f>C444-D444</f>
        <v/>
      </c>
      <c r="F444" s="70">
        <f>(E444-F757)^2</f>
        <v/>
      </c>
      <c r="G444" s="69">
        <f>(E444-F757)^3</f>
        <v/>
      </c>
      <c r="H444" s="69">
        <f>(E444-F757)^4</f>
        <v/>
      </c>
      <c r="I444" s="68" t="inlineStr"/>
    </row>
    <row r="445">
      <c r="A445" s="65" t="n">
        <v>433</v>
      </c>
      <c r="B445" s="65" t="n">
        <v>432</v>
      </c>
      <c r="C445" s="66" t="n">
        <v>4564.68</v>
      </c>
      <c r="D445" s="66" t="n">
        <v>4636.02091</v>
      </c>
      <c r="E445" s="67">
        <f>C445-D445</f>
        <v/>
      </c>
      <c r="F445" s="67">
        <f>(E445-F757)^2</f>
        <v/>
      </c>
      <c r="G445" s="66">
        <f>(E445-F757)^3</f>
        <v/>
      </c>
      <c r="H445" s="66">
        <f>(E445-F757)^4</f>
        <v/>
      </c>
      <c r="I445" s="65" t="inlineStr"/>
    </row>
    <row r="446">
      <c r="A446" s="68" t="n">
        <v>434</v>
      </c>
      <c r="B446" s="68" t="n">
        <v>433</v>
      </c>
      <c r="C446" s="69" t="n">
        <v>4578.78</v>
      </c>
      <c r="D446" s="69" t="n">
        <v>4636.22336</v>
      </c>
      <c r="E446" s="70">
        <f>C446-D446</f>
        <v/>
      </c>
      <c r="F446" s="70">
        <f>(E446-F757)^2</f>
        <v/>
      </c>
      <c r="G446" s="69">
        <f>(E446-F757)^3</f>
        <v/>
      </c>
      <c r="H446" s="69">
        <f>(E446-F757)^4</f>
        <v/>
      </c>
      <c r="I446" s="68" t="inlineStr"/>
    </row>
    <row r="447">
      <c r="A447" s="65" t="n">
        <v>435</v>
      </c>
      <c r="B447" s="65" t="n">
        <v>434</v>
      </c>
      <c r="C447" s="66" t="n">
        <v>4576.85</v>
      </c>
      <c r="D447" s="66" t="n">
        <v>4636.4258</v>
      </c>
      <c r="E447" s="67">
        <f>C447-D447</f>
        <v/>
      </c>
      <c r="F447" s="67">
        <f>(E447-F757)^2</f>
        <v/>
      </c>
      <c r="G447" s="66">
        <f>(E447-F757)^3</f>
        <v/>
      </c>
      <c r="H447" s="66">
        <f>(E447-F757)^4</f>
        <v/>
      </c>
      <c r="I447" s="65" t="inlineStr"/>
    </row>
    <row r="448">
      <c r="A448" s="68" t="n">
        <v>436</v>
      </c>
      <c r="B448" s="68" t="n">
        <v>435</v>
      </c>
      <c r="C448" s="69" t="n">
        <v>4574.12</v>
      </c>
      <c r="D448" s="69" t="n">
        <v>4636.62825</v>
      </c>
      <c r="E448" s="70">
        <f>C448-D448</f>
        <v/>
      </c>
      <c r="F448" s="70">
        <f>(E448-F757)^2</f>
        <v/>
      </c>
      <c r="G448" s="69">
        <f>(E448-F757)^3</f>
        <v/>
      </c>
      <c r="H448" s="69">
        <f>(E448-F757)^4</f>
        <v/>
      </c>
      <c r="I448" s="68" t="inlineStr"/>
    </row>
    <row r="449">
      <c r="A449" s="65" t="n">
        <v>437</v>
      </c>
      <c r="B449" s="65" t="n">
        <v>436</v>
      </c>
      <c r="C449" s="66" t="n">
        <v>4579.4</v>
      </c>
      <c r="D449" s="66" t="n">
        <v>4636.83069</v>
      </c>
      <c r="E449" s="67">
        <f>C449-D449</f>
        <v/>
      </c>
      <c r="F449" s="67">
        <f>(E449-F757)^2</f>
        <v/>
      </c>
      <c r="G449" s="66">
        <f>(E449-F757)^3</f>
        <v/>
      </c>
      <c r="H449" s="66">
        <f>(E449-F757)^4</f>
        <v/>
      </c>
      <c r="I449" s="65" t="inlineStr"/>
    </row>
    <row r="450">
      <c r="A450" s="68" t="n">
        <v>438</v>
      </c>
      <c r="B450" s="68" t="n">
        <v>437</v>
      </c>
      <c r="C450" s="69" t="n">
        <v>4573.57</v>
      </c>
      <c r="D450" s="69" t="n">
        <v>4637.03314</v>
      </c>
      <c r="E450" s="70">
        <f>C450-D450</f>
        <v/>
      </c>
      <c r="F450" s="70">
        <f>(E450-F757)^2</f>
        <v/>
      </c>
      <c r="G450" s="69">
        <f>(E450-F757)^3</f>
        <v/>
      </c>
      <c r="H450" s="69">
        <f>(E450-F757)^4</f>
        <v/>
      </c>
      <c r="I450" s="68" t="inlineStr"/>
    </row>
    <row r="451">
      <c r="A451" s="65" t="n">
        <v>439</v>
      </c>
      <c r="B451" s="65" t="n">
        <v>438</v>
      </c>
      <c r="C451" s="66" t="n">
        <v>4584.37</v>
      </c>
      <c r="D451" s="66" t="n">
        <v>4637.23559</v>
      </c>
      <c r="E451" s="67">
        <f>C451-D451</f>
        <v/>
      </c>
      <c r="F451" s="67">
        <f>(E451-F757)^2</f>
        <v/>
      </c>
      <c r="G451" s="66">
        <f>(E451-F757)^3</f>
        <v/>
      </c>
      <c r="H451" s="66">
        <f>(E451-F757)^4</f>
        <v/>
      </c>
      <c r="I451" s="65" t="inlineStr"/>
    </row>
    <row r="452">
      <c r="A452" s="68" t="n">
        <v>440</v>
      </c>
      <c r="B452" s="68" t="n">
        <v>439</v>
      </c>
      <c r="C452" s="69" t="n">
        <v>4582.96</v>
      </c>
      <c r="D452" s="69" t="n">
        <v>4637.43803</v>
      </c>
      <c r="E452" s="70">
        <f>C452-D452</f>
        <v/>
      </c>
      <c r="F452" s="70">
        <f>(E452-F757)^2</f>
        <v/>
      </c>
      <c r="G452" s="69">
        <f>(E452-F757)^3</f>
        <v/>
      </c>
      <c r="H452" s="69">
        <f>(E452-F757)^4</f>
        <v/>
      </c>
      <c r="I452" s="68" t="inlineStr"/>
    </row>
    <row r="453">
      <c r="A453" s="65" t="n">
        <v>441</v>
      </c>
      <c r="B453" s="65" t="n">
        <v>440</v>
      </c>
      <c r="C453" s="66" t="n">
        <v>4582.46</v>
      </c>
      <c r="D453" s="66" t="n">
        <v>4637.64048</v>
      </c>
      <c r="E453" s="67">
        <f>C453-D453</f>
        <v/>
      </c>
      <c r="F453" s="67">
        <f>(E453-F757)^2</f>
        <v/>
      </c>
      <c r="G453" s="66">
        <f>(E453-F757)^3</f>
        <v/>
      </c>
      <c r="H453" s="66">
        <f>(E453-F757)^4</f>
        <v/>
      </c>
      <c r="I453" s="65" t="inlineStr"/>
    </row>
    <row r="454">
      <c r="A454" s="68" t="n">
        <v>442</v>
      </c>
      <c r="B454" s="68" t="n">
        <v>441</v>
      </c>
      <c r="C454" s="69" t="n">
        <v>4580.89</v>
      </c>
      <c r="D454" s="69" t="n">
        <v>4637.84292</v>
      </c>
      <c r="E454" s="70">
        <f>C454-D454</f>
        <v/>
      </c>
      <c r="F454" s="70">
        <f>(E454-F757)^2</f>
        <v/>
      </c>
      <c r="G454" s="69">
        <f>(E454-F757)^3</f>
        <v/>
      </c>
      <c r="H454" s="69">
        <f>(E454-F757)^4</f>
        <v/>
      </c>
      <c r="I454" s="68" t="inlineStr"/>
    </row>
    <row r="455">
      <c r="A455" s="65" t="n">
        <v>443</v>
      </c>
      <c r="B455" s="65" t="n">
        <v>442</v>
      </c>
      <c r="C455" s="66" t="n">
        <v>4578.99</v>
      </c>
      <c r="D455" s="66" t="n">
        <v>4638.04537</v>
      </c>
      <c r="E455" s="67">
        <f>C455-D455</f>
        <v/>
      </c>
      <c r="F455" s="67">
        <f>(E455-F757)^2</f>
        <v/>
      </c>
      <c r="G455" s="66">
        <f>(E455-F757)^3</f>
        <v/>
      </c>
      <c r="H455" s="66">
        <f>(E455-F757)^4</f>
        <v/>
      </c>
      <c r="I455" s="65" t="inlineStr"/>
    </row>
    <row r="456">
      <c r="A456" s="68" t="n">
        <v>444</v>
      </c>
      <c r="B456" s="68" t="n">
        <v>443</v>
      </c>
      <c r="C456" s="69" t="n">
        <v>4572.95</v>
      </c>
      <c r="D456" s="69" t="n">
        <v>4638.24781</v>
      </c>
      <c r="E456" s="70">
        <f>C456-D456</f>
        <v/>
      </c>
      <c r="F456" s="70">
        <f>(E456-F757)^2</f>
        <v/>
      </c>
      <c r="G456" s="69">
        <f>(E456-F757)^3</f>
        <v/>
      </c>
      <c r="H456" s="69">
        <f>(E456-F757)^4</f>
        <v/>
      </c>
      <c r="I456" s="68" t="inlineStr"/>
    </row>
    <row r="457">
      <c r="A457" s="65" t="n">
        <v>445</v>
      </c>
      <c r="B457" s="65" t="n">
        <v>444</v>
      </c>
      <c r="C457" s="66" t="n">
        <v>4568.49</v>
      </c>
      <c r="D457" s="66" t="n">
        <v>4638.45026</v>
      </c>
      <c r="E457" s="67">
        <f>C457-D457</f>
        <v/>
      </c>
      <c r="F457" s="67">
        <f>(E457-F757)^2</f>
        <v/>
      </c>
      <c r="G457" s="66">
        <f>(E457-F757)^3</f>
        <v/>
      </c>
      <c r="H457" s="66">
        <f>(E457-F757)^4</f>
        <v/>
      </c>
      <c r="I457" s="65" t="inlineStr"/>
    </row>
    <row r="458">
      <c r="A458" s="68" t="n">
        <v>446</v>
      </c>
      <c r="B458" s="68" t="n">
        <v>445</v>
      </c>
      <c r="C458" s="69" t="n">
        <v>4566.28</v>
      </c>
      <c r="D458" s="69" t="n">
        <v>4638.65271</v>
      </c>
      <c r="E458" s="70">
        <f>C458-D458</f>
        <v/>
      </c>
      <c r="F458" s="70">
        <f>(E458-F757)^2</f>
        <v/>
      </c>
      <c r="G458" s="69">
        <f>(E458-F757)^3</f>
        <v/>
      </c>
      <c r="H458" s="69">
        <f>(E458-F757)^4</f>
        <v/>
      </c>
      <c r="I458" s="68" t="inlineStr"/>
    </row>
    <row r="459">
      <c r="A459" s="65" t="n">
        <v>447</v>
      </c>
      <c r="B459" s="65" t="n">
        <v>446</v>
      </c>
      <c r="C459" s="66" t="n">
        <v>4559.7</v>
      </c>
      <c r="D459" s="66" t="n">
        <v>4638.85515</v>
      </c>
      <c r="E459" s="67">
        <f>C459-D459</f>
        <v/>
      </c>
      <c r="F459" s="67">
        <f>(E459-F757)^2</f>
        <v/>
      </c>
      <c r="G459" s="66">
        <f>(E459-F757)^3</f>
        <v/>
      </c>
      <c r="H459" s="66">
        <f>(E459-F757)^4</f>
        <v/>
      </c>
      <c r="I459" s="65" t="inlineStr"/>
    </row>
    <row r="460">
      <c r="A460" s="68" t="n">
        <v>448</v>
      </c>
      <c r="B460" s="68" t="n">
        <v>447</v>
      </c>
      <c r="C460" s="69" t="n">
        <v>4556.78</v>
      </c>
      <c r="D460" s="69" t="n">
        <v>4639.0576</v>
      </c>
      <c r="E460" s="70">
        <f>C460-D460</f>
        <v/>
      </c>
      <c r="F460" s="70">
        <f>(E460-F757)^2</f>
        <v/>
      </c>
      <c r="G460" s="69">
        <f>(E460-F757)^3</f>
        <v/>
      </c>
      <c r="H460" s="69">
        <f>(E460-F757)^4</f>
        <v/>
      </c>
      <c r="I460" s="68" t="inlineStr"/>
    </row>
    <row r="461">
      <c r="A461" s="65" t="n">
        <v>449</v>
      </c>
      <c r="B461" s="65" t="n">
        <v>448</v>
      </c>
      <c r="C461" s="66" t="n">
        <v>4561.35</v>
      </c>
      <c r="D461" s="66" t="n">
        <v>4639.26004</v>
      </c>
      <c r="E461" s="67">
        <f>C461-D461</f>
        <v/>
      </c>
      <c r="F461" s="67">
        <f>(E461-F757)^2</f>
        <v/>
      </c>
      <c r="G461" s="66">
        <f>(E461-F757)^3</f>
        <v/>
      </c>
      <c r="H461" s="66">
        <f>(E461-F757)^4</f>
        <v/>
      </c>
      <c r="I461" s="65" t="inlineStr"/>
    </row>
    <row r="462">
      <c r="A462" s="68" t="n">
        <v>450</v>
      </c>
      <c r="B462" s="68" t="n">
        <v>449</v>
      </c>
      <c r="C462" s="69" t="n">
        <v>4556.2</v>
      </c>
      <c r="D462" s="69" t="n">
        <v>4639.46249</v>
      </c>
      <c r="E462" s="70">
        <f>C462-D462</f>
        <v/>
      </c>
      <c r="F462" s="70">
        <f>(E462-F757)^2</f>
        <v/>
      </c>
      <c r="G462" s="69">
        <f>(E462-F757)^3</f>
        <v/>
      </c>
      <c r="H462" s="69">
        <f>(E462-F757)^4</f>
        <v/>
      </c>
      <c r="I462" s="68" t="inlineStr"/>
    </row>
    <row r="463">
      <c r="A463" s="65" t="n">
        <v>451</v>
      </c>
      <c r="B463" s="65" t="n">
        <v>450</v>
      </c>
      <c r="C463" s="66" t="n">
        <v>4558.57</v>
      </c>
      <c r="D463" s="66" t="n">
        <v>4639.66493</v>
      </c>
      <c r="E463" s="67">
        <f>C463-D463</f>
        <v/>
      </c>
      <c r="F463" s="67">
        <f>(E463-F757)^2</f>
        <v/>
      </c>
      <c r="G463" s="66">
        <f>(E463-F757)^3</f>
        <v/>
      </c>
      <c r="H463" s="66">
        <f>(E463-F757)^4</f>
        <v/>
      </c>
      <c r="I463" s="65" t="inlineStr"/>
    </row>
    <row r="464">
      <c r="A464" s="68" t="n">
        <v>452</v>
      </c>
      <c r="B464" s="68" t="n">
        <v>451</v>
      </c>
      <c r="C464" s="69" t="n">
        <v>4560.43</v>
      </c>
      <c r="D464" s="69" t="n">
        <v>4639.86738</v>
      </c>
      <c r="E464" s="70">
        <f>C464-D464</f>
        <v/>
      </c>
      <c r="F464" s="70">
        <f>(E464-F757)^2</f>
        <v/>
      </c>
      <c r="G464" s="69">
        <f>(E464-F757)^3</f>
        <v/>
      </c>
      <c r="H464" s="69">
        <f>(E464-F757)^4</f>
        <v/>
      </c>
      <c r="I464" s="68" t="inlineStr"/>
    </row>
    <row r="465">
      <c r="A465" s="65" t="n">
        <v>453</v>
      </c>
      <c r="B465" s="65" t="n">
        <v>452</v>
      </c>
      <c r="C465" s="66" t="n">
        <v>4559.93</v>
      </c>
      <c r="D465" s="66" t="n">
        <v>4640.06983</v>
      </c>
      <c r="E465" s="67">
        <f>C465-D465</f>
        <v/>
      </c>
      <c r="F465" s="67">
        <f>(E465-F757)^2</f>
        <v/>
      </c>
      <c r="G465" s="66">
        <f>(E465-F757)^3</f>
        <v/>
      </c>
      <c r="H465" s="66">
        <f>(E465-F757)^4</f>
        <v/>
      </c>
      <c r="I465" s="65" t="inlineStr"/>
    </row>
    <row r="466">
      <c r="A466" s="68" t="n">
        <v>454</v>
      </c>
      <c r="B466" s="68" t="n">
        <v>453</v>
      </c>
      <c r="C466" s="69" t="n">
        <v>4564.29</v>
      </c>
      <c r="D466" s="69" t="n">
        <v>4640.27227</v>
      </c>
      <c r="E466" s="70">
        <f>C466-D466</f>
        <v/>
      </c>
      <c r="F466" s="70">
        <f>(E466-F757)^2</f>
        <v/>
      </c>
      <c r="G466" s="69">
        <f>(E466-F757)^3</f>
        <v/>
      </c>
      <c r="H466" s="69">
        <f>(E466-F757)^4</f>
        <v/>
      </c>
      <c r="I466" s="68" t="inlineStr"/>
    </row>
    <row r="467">
      <c r="A467" s="65" t="n">
        <v>455</v>
      </c>
      <c r="B467" s="65" t="n">
        <v>454</v>
      </c>
      <c r="C467" s="66" t="n">
        <v>4562.18</v>
      </c>
      <c r="D467" s="66" t="n">
        <v>4640.47472</v>
      </c>
      <c r="E467" s="67">
        <f>C467-D467</f>
        <v/>
      </c>
      <c r="F467" s="67">
        <f>(E467-F757)^2</f>
        <v/>
      </c>
      <c r="G467" s="66">
        <f>(E467-F757)^3</f>
        <v/>
      </c>
      <c r="H467" s="66">
        <f>(E467-F757)^4</f>
        <v/>
      </c>
      <c r="I467" s="65" t="inlineStr"/>
    </row>
    <row r="468">
      <c r="A468" s="68" t="n">
        <v>456</v>
      </c>
      <c r="B468" s="68" t="n">
        <v>455</v>
      </c>
      <c r="C468" s="69" t="n">
        <v>4561.56</v>
      </c>
      <c r="D468" s="69" t="n">
        <v>4640.67716</v>
      </c>
      <c r="E468" s="70">
        <f>C468-D468</f>
        <v/>
      </c>
      <c r="F468" s="70">
        <f>(E468-F757)^2</f>
        <v/>
      </c>
      <c r="G468" s="69">
        <f>(E468-F757)^3</f>
        <v/>
      </c>
      <c r="H468" s="69">
        <f>(E468-F757)^4</f>
        <v/>
      </c>
      <c r="I468" s="68" t="inlineStr"/>
    </row>
    <row r="469">
      <c r="A469" s="65" t="n">
        <v>457</v>
      </c>
      <c r="B469" s="65" t="n">
        <v>456</v>
      </c>
      <c r="C469" s="66" t="n">
        <v>4561.04</v>
      </c>
      <c r="D469" s="66" t="n">
        <v>4640.87961</v>
      </c>
      <c r="E469" s="67">
        <f>C469-D469</f>
        <v/>
      </c>
      <c r="F469" s="67">
        <f>(E469-F757)^2</f>
        <v/>
      </c>
      <c r="G469" s="66">
        <f>(E469-F757)^3</f>
        <v/>
      </c>
      <c r="H469" s="66">
        <f>(E469-F757)^4</f>
        <v/>
      </c>
      <c r="I469" s="65" t="inlineStr"/>
    </row>
    <row r="470">
      <c r="A470" s="68" t="n">
        <v>458</v>
      </c>
      <c r="B470" s="68" t="n">
        <v>457</v>
      </c>
      <c r="C470" s="69" t="n">
        <v>4557.24</v>
      </c>
      <c r="D470" s="69" t="n">
        <v>4641.08205</v>
      </c>
      <c r="E470" s="70">
        <f>C470-D470</f>
        <v/>
      </c>
      <c r="F470" s="70">
        <f>(E470-F757)^2</f>
        <v/>
      </c>
      <c r="G470" s="69">
        <f>(E470-F757)^3</f>
        <v/>
      </c>
      <c r="H470" s="69">
        <f>(E470-F757)^4</f>
        <v/>
      </c>
      <c r="I470" s="68" t="inlineStr"/>
    </row>
    <row r="471">
      <c r="A471" s="65" t="n">
        <v>459</v>
      </c>
      <c r="B471" s="65" t="n">
        <v>458</v>
      </c>
      <c r="C471" s="66" t="n">
        <v>4556.32</v>
      </c>
      <c r="D471" s="66" t="n">
        <v>4641.2845</v>
      </c>
      <c r="E471" s="67">
        <f>C471-D471</f>
        <v/>
      </c>
      <c r="F471" s="67">
        <f>(E471-F757)^2</f>
        <v/>
      </c>
      <c r="G471" s="66">
        <f>(E471-F757)^3</f>
        <v/>
      </c>
      <c r="H471" s="66">
        <f>(E471-F757)^4</f>
        <v/>
      </c>
      <c r="I471" s="65" t="inlineStr"/>
    </row>
    <row r="472">
      <c r="A472" s="68" t="n">
        <v>460</v>
      </c>
      <c r="B472" s="68" t="n">
        <v>459</v>
      </c>
      <c r="C472" s="69" t="n">
        <v>4555.64</v>
      </c>
      <c r="D472" s="69" t="n">
        <v>4641.48695</v>
      </c>
      <c r="E472" s="70">
        <f>C472-D472</f>
        <v/>
      </c>
      <c r="F472" s="70">
        <f>(E472-F757)^2</f>
        <v/>
      </c>
      <c r="G472" s="69">
        <f>(E472-F757)^3</f>
        <v/>
      </c>
      <c r="H472" s="69">
        <f>(E472-F757)^4</f>
        <v/>
      </c>
      <c r="I472" s="68" t="inlineStr"/>
    </row>
    <row r="473">
      <c r="A473" s="65" t="n">
        <v>461</v>
      </c>
      <c r="B473" s="65" t="n">
        <v>460</v>
      </c>
      <c r="C473" s="66" t="n">
        <v>4554.64</v>
      </c>
      <c r="D473" s="66" t="n">
        <v>4641.68939</v>
      </c>
      <c r="E473" s="67">
        <f>C473-D473</f>
        <v/>
      </c>
      <c r="F473" s="67">
        <f>(E473-F757)^2</f>
        <v/>
      </c>
      <c r="G473" s="66">
        <f>(E473-F757)^3</f>
        <v/>
      </c>
      <c r="H473" s="66">
        <f>(E473-F757)^4</f>
        <v/>
      </c>
      <c r="I473" s="65" t="inlineStr"/>
    </row>
    <row r="474">
      <c r="A474" s="68" t="n">
        <v>462</v>
      </c>
      <c r="B474" s="68" t="n">
        <v>461</v>
      </c>
      <c r="C474" s="69" t="n">
        <v>4557.01</v>
      </c>
      <c r="D474" s="69" t="n">
        <v>4641.89184</v>
      </c>
      <c r="E474" s="70">
        <f>C474-D474</f>
        <v/>
      </c>
      <c r="F474" s="70">
        <f>(E474-F757)^2</f>
        <v/>
      </c>
      <c r="G474" s="69">
        <f>(E474-F757)^3</f>
        <v/>
      </c>
      <c r="H474" s="69">
        <f>(E474-F757)^4</f>
        <v/>
      </c>
      <c r="I474" s="68" t="inlineStr"/>
    </row>
    <row r="475">
      <c r="A475" s="65" t="n">
        <v>463</v>
      </c>
      <c r="B475" s="65" t="n">
        <v>462</v>
      </c>
      <c r="C475" s="66" t="n">
        <v>4559.18</v>
      </c>
      <c r="D475" s="66" t="n">
        <v>4642.09428</v>
      </c>
      <c r="E475" s="67">
        <f>C475-D475</f>
        <v/>
      </c>
      <c r="F475" s="67">
        <f>(E475-F757)^2</f>
        <v/>
      </c>
      <c r="G475" s="66">
        <f>(E475-F757)^3</f>
        <v/>
      </c>
      <c r="H475" s="66">
        <f>(E475-F757)^4</f>
        <v/>
      </c>
      <c r="I475" s="65" t="inlineStr"/>
    </row>
    <row r="476">
      <c r="A476" s="68" t="n">
        <v>464</v>
      </c>
      <c r="B476" s="68" t="n">
        <v>463</v>
      </c>
      <c r="C476" s="69" t="n">
        <v>4555.63</v>
      </c>
      <c r="D476" s="69" t="n">
        <v>4642.29673</v>
      </c>
      <c r="E476" s="70">
        <f>C476-D476</f>
        <v/>
      </c>
      <c r="F476" s="70">
        <f>(E476-F757)^2</f>
        <v/>
      </c>
      <c r="G476" s="69">
        <f>(E476-F757)^3</f>
        <v/>
      </c>
      <c r="H476" s="69">
        <f>(E476-F757)^4</f>
        <v/>
      </c>
      <c r="I476" s="68" t="inlineStr"/>
    </row>
    <row r="477">
      <c r="A477" s="65" t="n">
        <v>465</v>
      </c>
      <c r="B477" s="65" t="n">
        <v>464</v>
      </c>
      <c r="C477" s="66" t="n">
        <v>4557.58</v>
      </c>
      <c r="D477" s="66" t="n">
        <v>4642.49917</v>
      </c>
      <c r="E477" s="67">
        <f>C477-D477</f>
        <v/>
      </c>
      <c r="F477" s="67">
        <f>(E477-F757)^2</f>
        <v/>
      </c>
      <c r="G477" s="66">
        <f>(E477-F757)^3</f>
        <v/>
      </c>
      <c r="H477" s="66">
        <f>(E477-F757)^4</f>
        <v/>
      </c>
      <c r="I477" s="65" t="inlineStr"/>
    </row>
    <row r="478">
      <c r="A478" s="68" t="n">
        <v>466</v>
      </c>
      <c r="B478" s="68" t="n">
        <v>465</v>
      </c>
      <c r="C478" s="69" t="n">
        <v>4550.67</v>
      </c>
      <c r="D478" s="69" t="n">
        <v>4642.70162</v>
      </c>
      <c r="E478" s="70">
        <f>C478-D478</f>
        <v/>
      </c>
      <c r="F478" s="70">
        <f>(E478-F757)^2</f>
        <v/>
      </c>
      <c r="G478" s="69">
        <f>(E478-F757)^3</f>
        <v/>
      </c>
      <c r="H478" s="69">
        <f>(E478-F757)^4</f>
        <v/>
      </c>
      <c r="I478" s="68" t="inlineStr"/>
    </row>
    <row r="479">
      <c r="A479" s="65" t="n">
        <v>467</v>
      </c>
      <c r="B479" s="65" t="n">
        <v>466</v>
      </c>
      <c r="C479" s="66" t="n">
        <v>4546.68</v>
      </c>
      <c r="D479" s="66" t="n">
        <v>4642.90407</v>
      </c>
      <c r="E479" s="67">
        <f>C479-D479</f>
        <v/>
      </c>
      <c r="F479" s="67">
        <f>(E479-F757)^2</f>
        <v/>
      </c>
      <c r="G479" s="66">
        <f>(E479-F757)^3</f>
        <v/>
      </c>
      <c r="H479" s="66">
        <f>(E479-F757)^4</f>
        <v/>
      </c>
      <c r="I479" s="65" t="inlineStr"/>
    </row>
    <row r="480">
      <c r="A480" s="68" t="n">
        <v>468</v>
      </c>
      <c r="B480" s="68" t="n">
        <v>467</v>
      </c>
      <c r="C480" s="69" t="n">
        <v>4548.82</v>
      </c>
      <c r="D480" s="69" t="n">
        <v>4643.10651</v>
      </c>
      <c r="E480" s="70">
        <f>C480-D480</f>
        <v/>
      </c>
      <c r="F480" s="70">
        <f>(E480-F757)^2</f>
        <v/>
      </c>
      <c r="G480" s="69">
        <f>(E480-F757)^3</f>
        <v/>
      </c>
      <c r="H480" s="69">
        <f>(E480-F757)^4</f>
        <v/>
      </c>
      <c r="I480" s="68" t="inlineStr"/>
    </row>
    <row r="481">
      <c r="A481" s="65" t="n">
        <v>469</v>
      </c>
      <c r="B481" s="65" t="n">
        <v>468</v>
      </c>
      <c r="C481" s="66" t="n">
        <v>4573.43</v>
      </c>
      <c r="D481" s="66" t="n">
        <v>4643.30896</v>
      </c>
      <c r="E481" s="67">
        <f>C481-D481</f>
        <v/>
      </c>
      <c r="F481" s="67">
        <f>(E481-F757)^2</f>
        <v/>
      </c>
      <c r="G481" s="66">
        <f>(E481-F757)^3</f>
        <v/>
      </c>
      <c r="H481" s="66">
        <f>(E481-F757)^4</f>
        <v/>
      </c>
      <c r="I481" s="65" t="inlineStr"/>
    </row>
    <row r="482">
      <c r="A482" s="68" t="n">
        <v>470</v>
      </c>
      <c r="B482" s="68" t="n">
        <v>469</v>
      </c>
      <c r="C482" s="69" t="n">
        <v>4588.62</v>
      </c>
      <c r="D482" s="69" t="n">
        <v>4643.5114</v>
      </c>
      <c r="E482" s="70">
        <f>C482-D482</f>
        <v/>
      </c>
      <c r="F482" s="70">
        <f>(E482-F757)^2</f>
        <v/>
      </c>
      <c r="G482" s="69">
        <f>(E482-F757)^3</f>
        <v/>
      </c>
      <c r="H482" s="69">
        <f>(E482-F757)^4</f>
        <v/>
      </c>
      <c r="I482" s="68" t="inlineStr"/>
    </row>
    <row r="483">
      <c r="A483" s="65" t="n">
        <v>471</v>
      </c>
      <c r="B483" s="65" t="n">
        <v>470</v>
      </c>
      <c r="C483" s="66" t="n">
        <v>4582.1</v>
      </c>
      <c r="D483" s="66" t="n">
        <v>4643.71385</v>
      </c>
      <c r="E483" s="67">
        <f>C483-D483</f>
        <v/>
      </c>
      <c r="F483" s="67">
        <f>(E483-F757)^2</f>
        <v/>
      </c>
      <c r="G483" s="66">
        <f>(E483-F757)^3</f>
        <v/>
      </c>
      <c r="H483" s="66">
        <f>(E483-F757)^4</f>
        <v/>
      </c>
      <c r="I483" s="65" t="inlineStr"/>
    </row>
    <row r="484">
      <c r="A484" s="68" t="n">
        <v>472</v>
      </c>
      <c r="B484" s="68" t="n">
        <v>471</v>
      </c>
      <c r="C484" s="69" t="n">
        <v>4584.84</v>
      </c>
      <c r="D484" s="69" t="n">
        <v>4643.91629</v>
      </c>
      <c r="E484" s="70">
        <f>C484-D484</f>
        <v/>
      </c>
      <c r="F484" s="70">
        <f>(E484-F757)^2</f>
        <v/>
      </c>
      <c r="G484" s="69">
        <f>(E484-F757)^3</f>
        <v/>
      </c>
      <c r="H484" s="69">
        <f>(E484-F757)^4</f>
        <v/>
      </c>
      <c r="I484" s="68" t="inlineStr"/>
    </row>
    <row r="485">
      <c r="A485" s="65" t="n">
        <v>473</v>
      </c>
      <c r="B485" s="65" t="n">
        <v>472</v>
      </c>
      <c r="C485" s="66" t="n">
        <v>4593.92</v>
      </c>
      <c r="D485" s="66" t="n">
        <v>4644.11874</v>
      </c>
      <c r="E485" s="67">
        <f>C485-D485</f>
        <v/>
      </c>
      <c r="F485" s="67">
        <f>(E485-F757)^2</f>
        <v/>
      </c>
      <c r="G485" s="66">
        <f>(E485-F757)^3</f>
        <v/>
      </c>
      <c r="H485" s="66">
        <f>(E485-F757)^4</f>
        <v/>
      </c>
      <c r="I485" s="65" t="inlineStr"/>
    </row>
    <row r="486">
      <c r="A486" s="68" t="n">
        <v>474</v>
      </c>
      <c r="B486" s="68" t="n">
        <v>473</v>
      </c>
      <c r="C486" s="69" t="n">
        <v>4591.76</v>
      </c>
      <c r="D486" s="69" t="n">
        <v>4644.32119</v>
      </c>
      <c r="E486" s="70">
        <f>C486-D486</f>
        <v/>
      </c>
      <c r="F486" s="70">
        <f>(E486-F757)^2</f>
        <v/>
      </c>
      <c r="G486" s="69">
        <f>(E486-F757)^3</f>
        <v/>
      </c>
      <c r="H486" s="69">
        <f>(E486-F757)^4</f>
        <v/>
      </c>
      <c r="I486" s="68" t="inlineStr"/>
    </row>
    <row r="487">
      <c r="A487" s="65" t="n">
        <v>475</v>
      </c>
      <c r="B487" s="65" t="n">
        <v>474</v>
      </c>
      <c r="C487" s="66" t="n">
        <v>4602.23</v>
      </c>
      <c r="D487" s="66" t="n">
        <v>4644.52363</v>
      </c>
      <c r="E487" s="67">
        <f>C487-D487</f>
        <v/>
      </c>
      <c r="F487" s="67">
        <f>(E487-F757)^2</f>
        <v/>
      </c>
      <c r="G487" s="66">
        <f>(E487-F757)^3</f>
        <v/>
      </c>
      <c r="H487" s="66">
        <f>(E487-F757)^4</f>
        <v/>
      </c>
      <c r="I487" s="65" t="inlineStr"/>
    </row>
    <row r="488">
      <c r="A488" s="68" t="n">
        <v>476</v>
      </c>
      <c r="B488" s="68" t="n">
        <v>475</v>
      </c>
      <c r="C488" s="69" t="n">
        <v>4610.32</v>
      </c>
      <c r="D488" s="69" t="n">
        <v>4644.72608</v>
      </c>
      <c r="E488" s="70">
        <f>C488-D488</f>
        <v/>
      </c>
      <c r="F488" s="70">
        <f>(E488-F757)^2</f>
        <v/>
      </c>
      <c r="G488" s="69">
        <f>(E488-F757)^3</f>
        <v/>
      </c>
      <c r="H488" s="69">
        <f>(E488-F757)^4</f>
        <v/>
      </c>
      <c r="I488" s="68" t="inlineStr"/>
    </row>
    <row r="489">
      <c r="A489" s="65" t="n">
        <v>477</v>
      </c>
      <c r="B489" s="65" t="n">
        <v>476</v>
      </c>
      <c r="C489" s="66" t="n">
        <v>4618.87</v>
      </c>
      <c r="D489" s="66" t="n">
        <v>4644.92852</v>
      </c>
      <c r="E489" s="67">
        <f>C489-D489</f>
        <v/>
      </c>
      <c r="F489" s="67">
        <f>(E489-F757)^2</f>
        <v/>
      </c>
      <c r="G489" s="66">
        <f>(E489-F757)^3</f>
        <v/>
      </c>
      <c r="H489" s="66">
        <f>(E489-F757)^4</f>
        <v/>
      </c>
      <c r="I489" s="65" t="inlineStr"/>
    </row>
    <row r="490">
      <c r="A490" s="68" t="n">
        <v>478</v>
      </c>
      <c r="B490" s="68" t="n">
        <v>477</v>
      </c>
      <c r="C490" s="69" t="n">
        <v>4611.55</v>
      </c>
      <c r="D490" s="69" t="n">
        <v>4645.13097</v>
      </c>
      <c r="E490" s="70">
        <f>C490-D490</f>
        <v/>
      </c>
      <c r="F490" s="70">
        <f>(E490-F757)^2</f>
        <v/>
      </c>
      <c r="G490" s="69">
        <f>(E490-F757)^3</f>
        <v/>
      </c>
      <c r="H490" s="69">
        <f>(E490-F757)^4</f>
        <v/>
      </c>
      <c r="I490" s="68" t="inlineStr"/>
    </row>
    <row r="491">
      <c r="A491" s="65" t="n">
        <v>479</v>
      </c>
      <c r="B491" s="65" t="n">
        <v>478</v>
      </c>
      <c r="C491" s="66" t="n">
        <v>4625</v>
      </c>
      <c r="D491" s="66" t="n">
        <v>4645.33341</v>
      </c>
      <c r="E491" s="67">
        <f>C491-D491</f>
        <v/>
      </c>
      <c r="F491" s="67">
        <f>(E491-F757)^2</f>
        <v/>
      </c>
      <c r="G491" s="66">
        <f>(E491-F757)^3</f>
        <v/>
      </c>
      <c r="H491" s="66">
        <f>(E491-F757)^4</f>
        <v/>
      </c>
      <c r="I491" s="65" t="inlineStr"/>
    </row>
    <row r="492">
      <c r="A492" s="68" t="n">
        <v>480</v>
      </c>
      <c r="B492" s="68" t="n">
        <v>479</v>
      </c>
      <c r="C492" s="69" t="n">
        <v>4624.12</v>
      </c>
      <c r="D492" s="69" t="n">
        <v>4645.53586</v>
      </c>
      <c r="E492" s="70">
        <f>C492-D492</f>
        <v/>
      </c>
      <c r="F492" s="70">
        <f>(E492-F757)^2</f>
        <v/>
      </c>
      <c r="G492" s="69">
        <f>(E492-F757)^3</f>
        <v/>
      </c>
      <c r="H492" s="69">
        <f>(E492-F757)^4</f>
        <v/>
      </c>
      <c r="I492" s="68" t="inlineStr"/>
    </row>
    <row r="493">
      <c r="A493" s="65" t="n">
        <v>481</v>
      </c>
      <c r="B493" s="65" t="n">
        <v>480</v>
      </c>
      <c r="C493" s="66" t="n">
        <v>4626.18</v>
      </c>
      <c r="D493" s="66" t="n">
        <v>4645.73831</v>
      </c>
      <c r="E493" s="67">
        <f>C493-D493</f>
        <v/>
      </c>
      <c r="F493" s="67">
        <f>(E493-F757)^2</f>
        <v/>
      </c>
      <c r="G493" s="66">
        <f>(E493-F757)^3</f>
        <v/>
      </c>
      <c r="H493" s="66">
        <f>(E493-F757)^4</f>
        <v/>
      </c>
      <c r="I493" s="65" t="inlineStr"/>
    </row>
    <row r="494">
      <c r="A494" s="68" t="n">
        <v>482</v>
      </c>
      <c r="B494" s="68" t="n">
        <v>481</v>
      </c>
      <c r="C494" s="69" t="n">
        <v>4633.69</v>
      </c>
      <c r="D494" s="69" t="n">
        <v>4645.94075</v>
      </c>
      <c r="E494" s="70">
        <f>C494-D494</f>
        <v/>
      </c>
      <c r="F494" s="70">
        <f>(E494-F757)^2</f>
        <v/>
      </c>
      <c r="G494" s="69">
        <f>(E494-F757)^3</f>
        <v/>
      </c>
      <c r="H494" s="69">
        <f>(E494-F757)^4</f>
        <v/>
      </c>
      <c r="I494" s="68" t="inlineStr"/>
    </row>
    <row r="495">
      <c r="A495" s="65" t="n">
        <v>483</v>
      </c>
      <c r="B495" s="65" t="n">
        <v>482</v>
      </c>
      <c r="C495" s="66" t="n">
        <v>4630.22</v>
      </c>
      <c r="D495" s="66" t="n">
        <v>4646.1432</v>
      </c>
      <c r="E495" s="67">
        <f>C495-D495</f>
        <v/>
      </c>
      <c r="F495" s="67">
        <f>(E495-F757)^2</f>
        <v/>
      </c>
      <c r="G495" s="66">
        <f>(E495-F757)^3</f>
        <v/>
      </c>
      <c r="H495" s="66">
        <f>(E495-F757)^4</f>
        <v/>
      </c>
      <c r="I495" s="65" t="inlineStr"/>
    </row>
    <row r="496">
      <c r="A496" s="68" t="n">
        <v>484</v>
      </c>
      <c r="B496" s="68" t="n">
        <v>483</v>
      </c>
      <c r="C496" s="69" t="n">
        <v>4635.01</v>
      </c>
      <c r="D496" s="69" t="n">
        <v>4646.34564</v>
      </c>
      <c r="E496" s="70">
        <f>C496-D496</f>
        <v/>
      </c>
      <c r="F496" s="70">
        <f>(E496-F757)^2</f>
        <v/>
      </c>
      <c r="G496" s="69">
        <f>(E496-F757)^3</f>
        <v/>
      </c>
      <c r="H496" s="69">
        <f>(E496-F757)^4</f>
        <v/>
      </c>
      <c r="I496" s="68" t="inlineStr"/>
    </row>
    <row r="497">
      <c r="A497" s="65" t="n">
        <v>485</v>
      </c>
      <c r="B497" s="65" t="n">
        <v>484</v>
      </c>
      <c r="C497" s="66" t="n">
        <v>4640.94</v>
      </c>
      <c r="D497" s="66" t="n">
        <v>4646.54809</v>
      </c>
      <c r="E497" s="67">
        <f>C497-D497</f>
        <v/>
      </c>
      <c r="F497" s="67">
        <f>(E497-F757)^2</f>
        <v/>
      </c>
      <c r="G497" s="66">
        <f>(E497-F757)^3</f>
        <v/>
      </c>
      <c r="H497" s="66">
        <f>(E497-F757)^4</f>
        <v/>
      </c>
      <c r="I497" s="65" t="inlineStr"/>
    </row>
    <row r="498">
      <c r="A498" s="68" t="n">
        <v>486</v>
      </c>
      <c r="B498" s="68" t="n">
        <v>485</v>
      </c>
      <c r="C498" s="69" t="n">
        <v>4647.89</v>
      </c>
      <c r="D498" s="69" t="n">
        <v>4646.75053</v>
      </c>
      <c r="E498" s="70">
        <f>C498-D498</f>
        <v/>
      </c>
      <c r="F498" s="70">
        <f>(E498-F757)^2</f>
        <v/>
      </c>
      <c r="G498" s="69">
        <f>(E498-F757)^3</f>
        <v/>
      </c>
      <c r="H498" s="69">
        <f>(E498-F757)^4</f>
        <v/>
      </c>
      <c r="I498" s="68" t="inlineStr"/>
    </row>
    <row r="499">
      <c r="A499" s="65" t="n">
        <v>487</v>
      </c>
      <c r="B499" s="65" t="n">
        <v>486</v>
      </c>
      <c r="C499" s="66" t="n">
        <v>4645.81</v>
      </c>
      <c r="D499" s="66" t="n">
        <v>4646.95298</v>
      </c>
      <c r="E499" s="67">
        <f>C499-D499</f>
        <v/>
      </c>
      <c r="F499" s="67">
        <f>(E499-F757)^2</f>
        <v/>
      </c>
      <c r="G499" s="66">
        <f>(E499-F757)^3</f>
        <v/>
      </c>
      <c r="H499" s="66">
        <f>(E499-F757)^4</f>
        <v/>
      </c>
      <c r="I499" s="65" t="inlineStr"/>
    </row>
    <row r="500">
      <c r="A500" s="68" t="n">
        <v>488</v>
      </c>
      <c r="B500" s="68" t="n">
        <v>487</v>
      </c>
      <c r="C500" s="69" t="n">
        <v>4647.74</v>
      </c>
      <c r="D500" s="69" t="n">
        <v>4647.15542</v>
      </c>
      <c r="E500" s="70">
        <f>C500-D500</f>
        <v/>
      </c>
      <c r="F500" s="70">
        <f>(E500-F757)^2</f>
        <v/>
      </c>
      <c r="G500" s="69">
        <f>(E500-F757)^3</f>
        <v/>
      </c>
      <c r="H500" s="69">
        <f>(E500-F757)^4</f>
        <v/>
      </c>
      <c r="I500" s="68" t="inlineStr"/>
    </row>
    <row r="501">
      <c r="A501" s="65" t="n">
        <v>489</v>
      </c>
      <c r="B501" s="65" t="n">
        <v>488</v>
      </c>
      <c r="C501" s="66" t="n">
        <v>4643.84</v>
      </c>
      <c r="D501" s="66" t="n">
        <v>4647.35787</v>
      </c>
      <c r="E501" s="67">
        <f>C501-D501</f>
        <v/>
      </c>
      <c r="F501" s="67">
        <f>(E501-F757)^2</f>
        <v/>
      </c>
      <c r="G501" s="66">
        <f>(E501-F757)^3</f>
        <v/>
      </c>
      <c r="H501" s="66">
        <f>(E501-F757)^4</f>
        <v/>
      </c>
      <c r="I501" s="65" t="inlineStr"/>
    </row>
    <row r="502">
      <c r="A502" s="68" t="n">
        <v>490</v>
      </c>
      <c r="B502" s="68" t="n">
        <v>489</v>
      </c>
      <c r="C502" s="69" t="n">
        <v>4647.59</v>
      </c>
      <c r="D502" s="69" t="n">
        <v>4647.56032</v>
      </c>
      <c r="E502" s="70">
        <f>C502-D502</f>
        <v/>
      </c>
      <c r="F502" s="70">
        <f>(E502-F757)^2</f>
        <v/>
      </c>
      <c r="G502" s="69">
        <f>(E502-F757)^3</f>
        <v/>
      </c>
      <c r="H502" s="69">
        <f>(E502-F757)^4</f>
        <v/>
      </c>
      <c r="I502" s="68" t="inlineStr"/>
    </row>
    <row r="503">
      <c r="A503" s="65" t="n">
        <v>491</v>
      </c>
      <c r="B503" s="65" t="n">
        <v>490</v>
      </c>
      <c r="C503" s="66" t="n">
        <v>4653.19</v>
      </c>
      <c r="D503" s="66" t="n">
        <v>4647.76276</v>
      </c>
      <c r="E503" s="67">
        <f>C503-D503</f>
        <v/>
      </c>
      <c r="F503" s="67">
        <f>(E503-F757)^2</f>
        <v/>
      </c>
      <c r="G503" s="66">
        <f>(E503-F757)^3</f>
        <v/>
      </c>
      <c r="H503" s="66">
        <f>(E503-F757)^4</f>
        <v/>
      </c>
      <c r="I503" s="65" t="inlineStr"/>
    </row>
    <row r="504">
      <c r="A504" s="68" t="n">
        <v>492</v>
      </c>
      <c r="B504" s="68" t="n">
        <v>491</v>
      </c>
      <c r="C504" s="69" t="n">
        <v>4647.47</v>
      </c>
      <c r="D504" s="69" t="n">
        <v>4647.96521</v>
      </c>
      <c r="E504" s="70">
        <f>C504-D504</f>
        <v/>
      </c>
      <c r="F504" s="70">
        <f>(E504-F757)^2</f>
        <v/>
      </c>
      <c r="G504" s="69">
        <f>(E504-F757)^3</f>
        <v/>
      </c>
      <c r="H504" s="69">
        <f>(E504-F757)^4</f>
        <v/>
      </c>
      <c r="I504" s="68" t="inlineStr"/>
    </row>
    <row r="505">
      <c r="A505" s="65" t="n">
        <v>493</v>
      </c>
      <c r="B505" s="65" t="n">
        <v>492</v>
      </c>
      <c r="C505" s="66" t="n">
        <v>4648.72</v>
      </c>
      <c r="D505" s="66" t="n">
        <v>4648.16765</v>
      </c>
      <c r="E505" s="67">
        <f>C505-D505</f>
        <v/>
      </c>
      <c r="F505" s="67">
        <f>(E505-F757)^2</f>
        <v/>
      </c>
      <c r="G505" s="66">
        <f>(E505-F757)^3</f>
        <v/>
      </c>
      <c r="H505" s="66">
        <f>(E505-F757)^4</f>
        <v/>
      </c>
      <c r="I505" s="65" t="inlineStr"/>
    </row>
    <row r="506">
      <c r="A506" s="68" t="n">
        <v>494</v>
      </c>
      <c r="B506" s="68" t="n">
        <v>493</v>
      </c>
      <c r="C506" s="69" t="n">
        <v>4654.64</v>
      </c>
      <c r="D506" s="69" t="n">
        <v>4648.3701</v>
      </c>
      <c r="E506" s="70">
        <f>C506-D506</f>
        <v/>
      </c>
      <c r="F506" s="70">
        <f>(E506-F757)^2</f>
        <v/>
      </c>
      <c r="G506" s="69">
        <f>(E506-F757)^3</f>
        <v/>
      </c>
      <c r="H506" s="69">
        <f>(E506-F757)^4</f>
        <v/>
      </c>
      <c r="I506" s="68" t="inlineStr"/>
    </row>
    <row r="507">
      <c r="A507" s="65" t="n">
        <v>495</v>
      </c>
      <c r="B507" s="65" t="n">
        <v>494</v>
      </c>
      <c r="C507" s="66" t="n">
        <v>4650.4</v>
      </c>
      <c r="D507" s="66" t="n">
        <v>4648.57254</v>
      </c>
      <c r="E507" s="67">
        <f>C507-D507</f>
        <v/>
      </c>
      <c r="F507" s="67">
        <f>(E507-F757)^2</f>
        <v/>
      </c>
      <c r="G507" s="66">
        <f>(E507-F757)^3</f>
        <v/>
      </c>
      <c r="H507" s="66">
        <f>(E507-F757)^4</f>
        <v/>
      </c>
      <c r="I507" s="65" t="inlineStr"/>
    </row>
    <row r="508">
      <c r="A508" s="68" t="n">
        <v>496</v>
      </c>
      <c r="B508" s="68" t="n">
        <v>495</v>
      </c>
      <c r="C508" s="69" t="n">
        <v>4650.19</v>
      </c>
      <c r="D508" s="69" t="n">
        <v>4648.77499</v>
      </c>
      <c r="E508" s="70">
        <f>C508-D508</f>
        <v/>
      </c>
      <c r="F508" s="70">
        <f>(E508-F757)^2</f>
        <v/>
      </c>
      <c r="G508" s="69">
        <f>(E508-F757)^3</f>
        <v/>
      </c>
      <c r="H508" s="69">
        <f>(E508-F757)^4</f>
        <v/>
      </c>
      <c r="I508" s="68" t="inlineStr"/>
    </row>
    <row r="509">
      <c r="A509" s="65" t="n">
        <v>497</v>
      </c>
      <c r="B509" s="65" t="n">
        <v>496</v>
      </c>
      <c r="C509" s="66" t="n">
        <v>4663.2</v>
      </c>
      <c r="D509" s="66" t="n">
        <v>4648.97744</v>
      </c>
      <c r="E509" s="67">
        <f>C509-D509</f>
        <v/>
      </c>
      <c r="F509" s="67">
        <f>(E509-F757)^2</f>
        <v/>
      </c>
      <c r="G509" s="66">
        <f>(E509-F757)^3</f>
        <v/>
      </c>
      <c r="H509" s="66">
        <f>(E509-F757)^4</f>
        <v/>
      </c>
      <c r="I509" s="65" t="inlineStr"/>
    </row>
    <row r="510">
      <c r="A510" s="68" t="n">
        <v>498</v>
      </c>
      <c r="B510" s="68" t="n">
        <v>497</v>
      </c>
      <c r="C510" s="69" t="n">
        <v>4660.55</v>
      </c>
      <c r="D510" s="69" t="n">
        <v>4649.17988</v>
      </c>
      <c r="E510" s="70">
        <f>C510-D510</f>
        <v/>
      </c>
      <c r="F510" s="70">
        <f>(E510-F757)^2</f>
        <v/>
      </c>
      <c r="G510" s="69">
        <f>(E510-F757)^3</f>
        <v/>
      </c>
      <c r="H510" s="69">
        <f>(E510-F757)^4</f>
        <v/>
      </c>
      <c r="I510" s="68" t="inlineStr"/>
    </row>
    <row r="511">
      <c r="A511" s="65" t="n">
        <v>499</v>
      </c>
      <c r="B511" s="65" t="n">
        <v>498</v>
      </c>
      <c r="C511" s="66" t="n">
        <v>4666.15</v>
      </c>
      <c r="D511" s="66" t="n">
        <v>4649.38233</v>
      </c>
      <c r="E511" s="67">
        <f>C511-D511</f>
        <v/>
      </c>
      <c r="F511" s="67">
        <f>(E511-F757)^2</f>
        <v/>
      </c>
      <c r="G511" s="66">
        <f>(E511-F757)^3</f>
        <v/>
      </c>
      <c r="H511" s="66">
        <f>(E511-F757)^4</f>
        <v/>
      </c>
      <c r="I511" s="65" t="inlineStr"/>
    </row>
    <row r="512">
      <c r="A512" s="68" t="n">
        <v>500</v>
      </c>
      <c r="B512" s="68" t="n">
        <v>499</v>
      </c>
      <c r="C512" s="69" t="n">
        <v>4664.33</v>
      </c>
      <c r="D512" s="69" t="n">
        <v>4649.58477</v>
      </c>
      <c r="E512" s="70">
        <f>C512-D512</f>
        <v/>
      </c>
      <c r="F512" s="70">
        <f>(E512-F757)^2</f>
        <v/>
      </c>
      <c r="G512" s="69">
        <f>(E512-F757)^3</f>
        <v/>
      </c>
      <c r="H512" s="69">
        <f>(E512-F757)^4</f>
        <v/>
      </c>
      <c r="I512" s="68" t="inlineStr"/>
    </row>
    <row r="513">
      <c r="A513" s="65" t="n">
        <v>501</v>
      </c>
      <c r="B513" s="65" t="n">
        <v>500</v>
      </c>
      <c r="C513" s="66" t="n">
        <v>4669.38</v>
      </c>
      <c r="D513" s="66" t="n">
        <v>4649.78722</v>
      </c>
      <c r="E513" s="67">
        <f>C513-D513</f>
        <v/>
      </c>
      <c r="F513" s="67">
        <f>(E513-F757)^2</f>
        <v/>
      </c>
      <c r="G513" s="66">
        <f>(E513-F757)^3</f>
        <v/>
      </c>
      <c r="H513" s="66">
        <f>(E513-F757)^4</f>
        <v/>
      </c>
      <c r="I513" s="65" t="inlineStr"/>
    </row>
    <row r="514">
      <c r="A514" s="68" t="n">
        <v>502</v>
      </c>
      <c r="B514" s="68" t="n">
        <v>501</v>
      </c>
      <c r="C514" s="69" t="n">
        <v>4658.43</v>
      </c>
      <c r="D514" s="69" t="n">
        <v>4649.98966</v>
      </c>
      <c r="E514" s="70">
        <f>C514-D514</f>
        <v/>
      </c>
      <c r="F514" s="70">
        <f>(E514-F757)^2</f>
        <v/>
      </c>
      <c r="G514" s="69">
        <f>(E514-F757)^3</f>
        <v/>
      </c>
      <c r="H514" s="69">
        <f>(E514-F757)^4</f>
        <v/>
      </c>
      <c r="I514" s="68" t="inlineStr"/>
    </row>
    <row r="515">
      <c r="A515" s="65" t="n">
        <v>503</v>
      </c>
      <c r="B515" s="65" t="n">
        <v>502</v>
      </c>
      <c r="C515" s="66" t="n">
        <v>4667.5</v>
      </c>
      <c r="D515" s="66" t="n">
        <v>4650.19211</v>
      </c>
      <c r="E515" s="67">
        <f>C515-D515</f>
        <v/>
      </c>
      <c r="F515" s="67">
        <f>(E515-F757)^2</f>
        <v/>
      </c>
      <c r="G515" s="66">
        <f>(E515-F757)^3</f>
        <v/>
      </c>
      <c r="H515" s="66">
        <f>(E515-F757)^4</f>
        <v/>
      </c>
      <c r="I515" s="65" t="inlineStr"/>
    </row>
    <row r="516">
      <c r="A516" s="68" t="n">
        <v>504</v>
      </c>
      <c r="B516" s="68" t="n">
        <v>503</v>
      </c>
      <c r="C516" s="69" t="n">
        <v>4670.18</v>
      </c>
      <c r="D516" s="69" t="n">
        <v>4650.39456</v>
      </c>
      <c r="E516" s="70">
        <f>C516-D516</f>
        <v/>
      </c>
      <c r="F516" s="70">
        <f>(E516-F757)^2</f>
        <v/>
      </c>
      <c r="G516" s="69">
        <f>(E516-F757)^3</f>
        <v/>
      </c>
      <c r="H516" s="69">
        <f>(E516-F757)^4</f>
        <v/>
      </c>
      <c r="I516" s="68" t="inlineStr"/>
    </row>
    <row r="517">
      <c r="A517" s="65" t="n">
        <v>505</v>
      </c>
      <c r="B517" s="65" t="n">
        <v>504</v>
      </c>
      <c r="C517" s="66" t="n">
        <v>4681.72</v>
      </c>
      <c r="D517" s="66" t="n">
        <v>4650.597</v>
      </c>
      <c r="E517" s="67">
        <f>C517-D517</f>
        <v/>
      </c>
      <c r="F517" s="67">
        <f>(E517-F757)^2</f>
        <v/>
      </c>
      <c r="G517" s="66">
        <f>(E517-F757)^3</f>
        <v/>
      </c>
      <c r="H517" s="66">
        <f>(E517-F757)^4</f>
        <v/>
      </c>
      <c r="I517" s="65" t="inlineStr"/>
    </row>
    <row r="518">
      <c r="A518" s="68" t="n">
        <v>506</v>
      </c>
      <c r="B518" s="68" t="n">
        <v>505</v>
      </c>
      <c r="C518" s="69" t="n">
        <v>4679.57</v>
      </c>
      <c r="D518" s="69" t="n">
        <v>4650.79945</v>
      </c>
      <c r="E518" s="70">
        <f>C518-D518</f>
        <v/>
      </c>
      <c r="F518" s="70">
        <f>(E518-F757)^2</f>
        <v/>
      </c>
      <c r="G518" s="69">
        <f>(E518-F757)^3</f>
        <v/>
      </c>
      <c r="H518" s="69">
        <f>(E518-F757)^4</f>
        <v/>
      </c>
      <c r="I518" s="68" t="inlineStr"/>
    </row>
    <row r="519">
      <c r="A519" s="65" t="n">
        <v>507</v>
      </c>
      <c r="B519" s="65" t="n">
        <v>506</v>
      </c>
      <c r="C519" s="66" t="n">
        <v>4677</v>
      </c>
      <c r="D519" s="66" t="n">
        <v>4651.00189</v>
      </c>
      <c r="E519" s="67">
        <f>C519-D519</f>
        <v/>
      </c>
      <c r="F519" s="67">
        <f>(E519-F757)^2</f>
        <v/>
      </c>
      <c r="G519" s="66">
        <f>(E519-F757)^3</f>
        <v/>
      </c>
      <c r="H519" s="66">
        <f>(E519-F757)^4</f>
        <v/>
      </c>
      <c r="I519" s="65" t="inlineStr"/>
    </row>
    <row r="520">
      <c r="A520" s="68" t="n">
        <v>508</v>
      </c>
      <c r="B520" s="68" t="n">
        <v>507</v>
      </c>
      <c r="C520" s="69" t="n">
        <v>4677.27</v>
      </c>
      <c r="D520" s="69" t="n">
        <v>4651.20434</v>
      </c>
      <c r="E520" s="70">
        <f>C520-D520</f>
        <v/>
      </c>
      <c r="F520" s="70">
        <f>(E520-F757)^2</f>
        <v/>
      </c>
      <c r="G520" s="69">
        <f>(E520-F757)^3</f>
        <v/>
      </c>
      <c r="H520" s="69">
        <f>(E520-F757)^4</f>
        <v/>
      </c>
      <c r="I520" s="68" t="inlineStr"/>
    </row>
    <row r="521">
      <c r="A521" s="65" t="n">
        <v>509</v>
      </c>
      <c r="B521" s="65" t="n">
        <v>508</v>
      </c>
      <c r="C521" s="66" t="n">
        <v>4700.09</v>
      </c>
      <c r="D521" s="66" t="n">
        <v>4651.40678</v>
      </c>
      <c r="E521" s="67">
        <f>C521-D521</f>
        <v/>
      </c>
      <c r="F521" s="67">
        <f>(E521-F757)^2</f>
        <v/>
      </c>
      <c r="G521" s="66">
        <f>(E521-F757)^3</f>
        <v/>
      </c>
      <c r="H521" s="66">
        <f>(E521-F757)^4</f>
        <v/>
      </c>
      <c r="I521" s="65" t="inlineStr"/>
    </row>
    <row r="522">
      <c r="A522" s="68" t="n">
        <v>510</v>
      </c>
      <c r="B522" s="68" t="n">
        <v>509</v>
      </c>
      <c r="C522" s="69" t="n">
        <v>4695.69</v>
      </c>
      <c r="D522" s="69" t="n">
        <v>4651.60923</v>
      </c>
      <c r="E522" s="70">
        <f>C522-D522</f>
        <v/>
      </c>
      <c r="F522" s="70">
        <f>(E522-F757)^2</f>
        <v/>
      </c>
      <c r="G522" s="69">
        <f>(E522-F757)^3</f>
        <v/>
      </c>
      <c r="H522" s="69">
        <f>(E522-F757)^4</f>
        <v/>
      </c>
      <c r="I522" s="68" t="inlineStr"/>
    </row>
    <row r="523">
      <c r="A523" s="65" t="n">
        <v>511</v>
      </c>
      <c r="B523" s="65" t="n">
        <v>510</v>
      </c>
      <c r="C523" s="66" t="n">
        <v>4700.12</v>
      </c>
      <c r="D523" s="66" t="n">
        <v>4651.81168</v>
      </c>
      <c r="E523" s="67">
        <f>C523-D523</f>
        <v/>
      </c>
      <c r="F523" s="67">
        <f>(E523-F757)^2</f>
        <v/>
      </c>
      <c r="G523" s="66">
        <f>(E523-F757)^3</f>
        <v/>
      </c>
      <c r="H523" s="66">
        <f>(E523-F757)^4</f>
        <v/>
      </c>
      <c r="I523" s="65" t="inlineStr"/>
    </row>
    <row r="524">
      <c r="A524" s="68" t="n">
        <v>512</v>
      </c>
      <c r="B524" s="68" t="n">
        <v>511</v>
      </c>
      <c r="C524" s="69" t="n">
        <v>4696.04</v>
      </c>
      <c r="D524" s="69" t="n">
        <v>4652.01412</v>
      </c>
      <c r="E524" s="70">
        <f>C524-D524</f>
        <v/>
      </c>
      <c r="F524" s="70">
        <f>(E524-F757)^2</f>
        <v/>
      </c>
      <c r="G524" s="69">
        <f>(E524-F757)^3</f>
        <v/>
      </c>
      <c r="H524" s="69">
        <f>(E524-F757)^4</f>
        <v/>
      </c>
      <c r="I524" s="68" t="inlineStr"/>
    </row>
    <row r="525">
      <c r="A525" s="65" t="n">
        <v>513</v>
      </c>
      <c r="B525" s="65" t="n">
        <v>512</v>
      </c>
      <c r="C525" s="66" t="n">
        <v>4701.75</v>
      </c>
      <c r="D525" s="66" t="n">
        <v>4652.21657</v>
      </c>
      <c r="E525" s="67">
        <f>C525-D525</f>
        <v/>
      </c>
      <c r="F525" s="67">
        <f>(E525-F757)^2</f>
        <v/>
      </c>
      <c r="G525" s="66">
        <f>(E525-F757)^3</f>
        <v/>
      </c>
      <c r="H525" s="66">
        <f>(E525-F757)^4</f>
        <v/>
      </c>
      <c r="I525" s="65" t="inlineStr"/>
    </row>
    <row r="526">
      <c r="A526" s="68" t="n">
        <v>514</v>
      </c>
      <c r="B526" s="68" t="n">
        <v>513</v>
      </c>
      <c r="C526" s="69" t="n">
        <v>4698.2</v>
      </c>
      <c r="D526" s="69" t="n">
        <v>4652.41901</v>
      </c>
      <c r="E526" s="70">
        <f>C526-D526</f>
        <v/>
      </c>
      <c r="F526" s="70">
        <f>(E526-F757)^2</f>
        <v/>
      </c>
      <c r="G526" s="69">
        <f>(E526-F757)^3</f>
        <v/>
      </c>
      <c r="H526" s="69">
        <f>(E526-F757)^4</f>
        <v/>
      </c>
      <c r="I526" s="68" t="inlineStr"/>
    </row>
    <row r="527">
      <c r="A527" s="65" t="n">
        <v>515</v>
      </c>
      <c r="B527" s="65" t="n">
        <v>514</v>
      </c>
      <c r="C527" s="66" t="n">
        <v>4704.64</v>
      </c>
      <c r="D527" s="66" t="n">
        <v>4652.62146</v>
      </c>
      <c r="E527" s="67">
        <f>C527-D527</f>
        <v/>
      </c>
      <c r="F527" s="67">
        <f>(E527-F757)^2</f>
        <v/>
      </c>
      <c r="G527" s="66">
        <f>(E527-F757)^3</f>
        <v/>
      </c>
      <c r="H527" s="66">
        <f>(E527-F757)^4</f>
        <v/>
      </c>
      <c r="I527" s="65" t="inlineStr"/>
    </row>
    <row r="528">
      <c r="A528" s="68" t="n">
        <v>516</v>
      </c>
      <c r="B528" s="68" t="n">
        <v>515</v>
      </c>
      <c r="C528" s="69" t="n">
        <v>4714.15</v>
      </c>
      <c r="D528" s="69" t="n">
        <v>4652.8239</v>
      </c>
      <c r="E528" s="70">
        <f>C528-D528</f>
        <v/>
      </c>
      <c r="F528" s="70">
        <f>(E528-F757)^2</f>
        <v/>
      </c>
      <c r="G528" s="69">
        <f>(E528-F757)^3</f>
        <v/>
      </c>
      <c r="H528" s="69">
        <f>(E528-F757)^4</f>
        <v/>
      </c>
      <c r="I528" s="68" t="inlineStr"/>
    </row>
    <row r="529">
      <c r="A529" s="65" t="n">
        <v>517</v>
      </c>
      <c r="B529" s="65" t="n">
        <v>516</v>
      </c>
      <c r="C529" s="66" t="n">
        <v>4718.25</v>
      </c>
      <c r="D529" s="66" t="n">
        <v>4653.02635</v>
      </c>
      <c r="E529" s="67">
        <f>C529-D529</f>
        <v/>
      </c>
      <c r="F529" s="67">
        <f>(E529-F757)^2</f>
        <v/>
      </c>
      <c r="G529" s="66">
        <f>(E529-F757)^3</f>
        <v/>
      </c>
      <c r="H529" s="66">
        <f>(E529-F757)^4</f>
        <v/>
      </c>
      <c r="I529" s="65" t="inlineStr"/>
    </row>
    <row r="530">
      <c r="A530" s="68" t="n">
        <v>518</v>
      </c>
      <c r="B530" s="68" t="n">
        <v>517</v>
      </c>
      <c r="C530" s="69" t="n">
        <v>4711.97</v>
      </c>
      <c r="D530" s="69" t="n">
        <v>4653.2288</v>
      </c>
      <c r="E530" s="70">
        <f>C530-D530</f>
        <v/>
      </c>
      <c r="F530" s="70">
        <f>(E530-F757)^2</f>
        <v/>
      </c>
      <c r="G530" s="69">
        <f>(E530-F757)^3</f>
        <v/>
      </c>
      <c r="H530" s="69">
        <f>(E530-F757)^4</f>
        <v/>
      </c>
      <c r="I530" s="68" t="inlineStr"/>
    </row>
    <row r="531">
      <c r="A531" s="65" t="n">
        <v>519</v>
      </c>
      <c r="B531" s="65" t="n">
        <v>518</v>
      </c>
      <c r="C531" s="66" t="n">
        <v>4705.6</v>
      </c>
      <c r="D531" s="66" t="n">
        <v>4653.43124</v>
      </c>
      <c r="E531" s="67">
        <f>C531-D531</f>
        <v/>
      </c>
      <c r="F531" s="67">
        <f>(E531-F757)^2</f>
        <v/>
      </c>
      <c r="G531" s="66">
        <f>(E531-F757)^3</f>
        <v/>
      </c>
      <c r="H531" s="66">
        <f>(E531-F757)^4</f>
        <v/>
      </c>
      <c r="I531" s="65" t="inlineStr"/>
    </row>
    <row r="532">
      <c r="A532" s="68" t="n">
        <v>520</v>
      </c>
      <c r="B532" s="68" t="n">
        <v>519</v>
      </c>
      <c r="C532" s="69" t="n">
        <v>4699.65</v>
      </c>
      <c r="D532" s="69" t="n">
        <v>4653.63369</v>
      </c>
      <c r="E532" s="70">
        <f>C532-D532</f>
        <v/>
      </c>
      <c r="F532" s="70">
        <f>(E532-F757)^2</f>
        <v/>
      </c>
      <c r="G532" s="69">
        <f>(E532-F757)^3</f>
        <v/>
      </c>
      <c r="H532" s="69">
        <f>(E532-F757)^4</f>
        <v/>
      </c>
      <c r="I532" s="68" t="inlineStr"/>
    </row>
    <row r="533">
      <c r="A533" s="65" t="n">
        <v>521</v>
      </c>
      <c r="B533" s="65" t="n">
        <v>520</v>
      </c>
      <c r="C533" s="66" t="n">
        <v>4692.11</v>
      </c>
      <c r="D533" s="66" t="n">
        <v>4653.83613</v>
      </c>
      <c r="E533" s="67">
        <f>C533-D533</f>
        <v/>
      </c>
      <c r="F533" s="67">
        <f>(E533-F757)^2</f>
        <v/>
      </c>
      <c r="G533" s="66">
        <f>(E533-F757)^3</f>
        <v/>
      </c>
      <c r="H533" s="66">
        <f>(E533-F757)^4</f>
        <v/>
      </c>
      <c r="I533" s="65" t="inlineStr"/>
    </row>
    <row r="534">
      <c r="A534" s="68" t="n">
        <v>522</v>
      </c>
      <c r="B534" s="68" t="n">
        <v>521</v>
      </c>
      <c r="C534" s="69" t="n">
        <v>4672.94</v>
      </c>
      <c r="D534" s="69" t="n">
        <v>4654.03858</v>
      </c>
      <c r="E534" s="70">
        <f>C534-D534</f>
        <v/>
      </c>
      <c r="F534" s="70">
        <f>(E534-F757)^2</f>
        <v/>
      </c>
      <c r="G534" s="69">
        <f>(E534-F757)^3</f>
        <v/>
      </c>
      <c r="H534" s="69">
        <f>(E534-F757)^4</f>
        <v/>
      </c>
      <c r="I534" s="68" t="inlineStr"/>
    </row>
    <row r="535">
      <c r="A535" s="65" t="n">
        <v>523</v>
      </c>
      <c r="B535" s="65" t="n">
        <v>522</v>
      </c>
      <c r="C535" s="66" t="n">
        <v>4683.36</v>
      </c>
      <c r="D535" s="66" t="n">
        <v>4654.24102</v>
      </c>
      <c r="E535" s="67">
        <f>C535-D535</f>
        <v/>
      </c>
      <c r="F535" s="67">
        <f>(E535-F757)^2</f>
        <v/>
      </c>
      <c r="G535" s="66">
        <f>(E535-F757)^3</f>
        <v/>
      </c>
      <c r="H535" s="66">
        <f>(E535-F757)^4</f>
        <v/>
      </c>
      <c r="I535" s="65" t="inlineStr"/>
    </row>
    <row r="536">
      <c r="A536" s="68" t="n">
        <v>524</v>
      </c>
      <c r="B536" s="68" t="n">
        <v>523</v>
      </c>
      <c r="C536" s="69" t="n">
        <v>4682.83</v>
      </c>
      <c r="D536" s="69" t="n">
        <v>4654.44347</v>
      </c>
      <c r="E536" s="70">
        <f>C536-D536</f>
        <v/>
      </c>
      <c r="F536" s="70">
        <f>(E536-F757)^2</f>
        <v/>
      </c>
      <c r="G536" s="69">
        <f>(E536-F757)^3</f>
        <v/>
      </c>
      <c r="H536" s="69">
        <f>(E536-F757)^4</f>
        <v/>
      </c>
      <c r="I536" s="68" t="inlineStr"/>
    </row>
    <row r="537">
      <c r="A537" s="65" t="n">
        <v>525</v>
      </c>
      <c r="B537" s="65" t="n">
        <v>524</v>
      </c>
      <c r="C537" s="66" t="n">
        <v>4683.36</v>
      </c>
      <c r="D537" s="66" t="n">
        <v>4654.64592</v>
      </c>
      <c r="E537" s="67">
        <f>C537-D537</f>
        <v/>
      </c>
      <c r="F537" s="67">
        <f>(E537-F757)^2</f>
        <v/>
      </c>
      <c r="G537" s="66">
        <f>(E537-F757)^3</f>
        <v/>
      </c>
      <c r="H537" s="66">
        <f>(E537-F757)^4</f>
        <v/>
      </c>
      <c r="I537" s="65" t="inlineStr"/>
    </row>
    <row r="538">
      <c r="A538" s="68" t="n">
        <v>526</v>
      </c>
      <c r="B538" s="68" t="n">
        <v>525</v>
      </c>
      <c r="C538" s="69" t="n">
        <v>4683.63</v>
      </c>
      <c r="D538" s="69" t="n">
        <v>4654.84836</v>
      </c>
      <c r="E538" s="70">
        <f>C538-D538</f>
        <v/>
      </c>
      <c r="F538" s="70">
        <f>(E538-F757)^2</f>
        <v/>
      </c>
      <c r="G538" s="69">
        <f>(E538-F757)^3</f>
        <v/>
      </c>
      <c r="H538" s="69">
        <f>(E538-F757)^4</f>
        <v/>
      </c>
      <c r="I538" s="68" t="inlineStr"/>
    </row>
    <row r="539">
      <c r="A539" s="65" t="n">
        <v>527</v>
      </c>
      <c r="B539" s="65" t="n">
        <v>526</v>
      </c>
      <c r="C539" s="66" t="n">
        <v>4685.16</v>
      </c>
      <c r="D539" s="66" t="n">
        <v>4655.05081</v>
      </c>
      <c r="E539" s="67">
        <f>C539-D539</f>
        <v/>
      </c>
      <c r="F539" s="67">
        <f>(E539-F757)^2</f>
        <v/>
      </c>
      <c r="G539" s="66">
        <f>(E539-F757)^3</f>
        <v/>
      </c>
      <c r="H539" s="66">
        <f>(E539-F757)^4</f>
        <v/>
      </c>
      <c r="I539" s="65" t="inlineStr"/>
    </row>
    <row r="540">
      <c r="A540" s="68" t="n">
        <v>528</v>
      </c>
      <c r="B540" s="68" t="n">
        <v>527</v>
      </c>
      <c r="C540" s="69" t="n">
        <v>4695.33</v>
      </c>
      <c r="D540" s="69" t="n">
        <v>4655.25325</v>
      </c>
      <c r="E540" s="70">
        <f>C540-D540</f>
        <v/>
      </c>
      <c r="F540" s="70">
        <f>(E540-F757)^2</f>
        <v/>
      </c>
      <c r="G540" s="69">
        <f>(E540-F757)^3</f>
        <v/>
      </c>
      <c r="H540" s="69">
        <f>(E540-F757)^4</f>
        <v/>
      </c>
      <c r="I540" s="68" t="inlineStr"/>
    </row>
    <row r="541">
      <c r="A541" s="65" t="n">
        <v>529</v>
      </c>
      <c r="B541" s="65" t="n">
        <v>528</v>
      </c>
      <c r="C541" s="66" t="n">
        <v>4702.21</v>
      </c>
      <c r="D541" s="66" t="n">
        <v>4655.4557</v>
      </c>
      <c r="E541" s="67">
        <f>C541-D541</f>
        <v/>
      </c>
      <c r="F541" s="67">
        <f>(E541-F757)^2</f>
        <v/>
      </c>
      <c r="G541" s="66">
        <f>(E541-F757)^3</f>
        <v/>
      </c>
      <c r="H541" s="66">
        <f>(E541-F757)^4</f>
        <v/>
      </c>
      <c r="I541" s="65" t="inlineStr"/>
    </row>
    <row r="542">
      <c r="A542" s="68" t="n">
        <v>530</v>
      </c>
      <c r="B542" s="68" t="n">
        <v>529</v>
      </c>
      <c r="C542" s="69" t="n">
        <v>4711.04</v>
      </c>
      <c r="D542" s="69" t="n">
        <v>4655.65814</v>
      </c>
      <c r="E542" s="70">
        <f>C542-D542</f>
        <v/>
      </c>
      <c r="F542" s="70">
        <f>(E542-F757)^2</f>
        <v/>
      </c>
      <c r="G542" s="69">
        <f>(E542-F757)^3</f>
        <v/>
      </c>
      <c r="H542" s="69">
        <f>(E542-F757)^4</f>
        <v/>
      </c>
      <c r="I542" s="68" t="inlineStr"/>
    </row>
    <row r="543">
      <c r="A543" s="65" t="n">
        <v>531</v>
      </c>
      <c r="B543" s="65" t="n">
        <v>530</v>
      </c>
      <c r="C543" s="66" t="n">
        <v>4705.66</v>
      </c>
      <c r="D543" s="66" t="n">
        <v>4655.86059</v>
      </c>
      <c r="E543" s="67">
        <f>C543-D543</f>
        <v/>
      </c>
      <c r="F543" s="67">
        <f>(E543-F757)^2</f>
        <v/>
      </c>
      <c r="G543" s="66">
        <f>(E543-F757)^3</f>
        <v/>
      </c>
      <c r="H543" s="66">
        <f>(E543-F757)^4</f>
        <v/>
      </c>
      <c r="I543" s="65" t="inlineStr"/>
    </row>
    <row r="544">
      <c r="A544" s="68" t="n">
        <v>532</v>
      </c>
      <c r="B544" s="68" t="n">
        <v>531</v>
      </c>
      <c r="C544" s="69" t="n">
        <v>4713.4</v>
      </c>
      <c r="D544" s="69" t="n">
        <v>4656.06304</v>
      </c>
      <c r="E544" s="70">
        <f>C544-D544</f>
        <v/>
      </c>
      <c r="F544" s="70">
        <f>(E544-F757)^2</f>
        <v/>
      </c>
      <c r="G544" s="69">
        <f>(E544-F757)^3</f>
        <v/>
      </c>
      <c r="H544" s="69">
        <f>(E544-F757)^4</f>
        <v/>
      </c>
      <c r="I544" s="68" t="inlineStr"/>
    </row>
    <row r="545">
      <c r="A545" s="65" t="n">
        <v>533</v>
      </c>
      <c r="B545" s="65" t="n">
        <v>532</v>
      </c>
      <c r="C545" s="66" t="n">
        <v>4703.14</v>
      </c>
      <c r="D545" s="66" t="n">
        <v>4656.26548</v>
      </c>
      <c r="E545" s="67">
        <f>C545-D545</f>
        <v/>
      </c>
      <c r="F545" s="67">
        <f>(E545-F757)^2</f>
        <v/>
      </c>
      <c r="G545" s="66">
        <f>(E545-F757)^3</f>
        <v/>
      </c>
      <c r="H545" s="66">
        <f>(E545-F757)^4</f>
        <v/>
      </c>
      <c r="I545" s="65" t="inlineStr"/>
    </row>
    <row r="546">
      <c r="A546" s="68" t="n">
        <v>534</v>
      </c>
      <c r="B546" s="68" t="n">
        <v>533</v>
      </c>
      <c r="C546" s="69" t="n">
        <v>4696.47</v>
      </c>
      <c r="D546" s="69" t="n">
        <v>4656.46793</v>
      </c>
      <c r="E546" s="70">
        <f>C546-D546</f>
        <v/>
      </c>
      <c r="F546" s="70">
        <f>(E546-F757)^2</f>
        <v/>
      </c>
      <c r="G546" s="69">
        <f>(E546-F757)^3</f>
        <v/>
      </c>
      <c r="H546" s="69">
        <f>(E546-F757)^4</f>
        <v/>
      </c>
      <c r="I546" s="68" t="inlineStr"/>
    </row>
    <row r="547">
      <c r="A547" s="65" t="n">
        <v>535</v>
      </c>
      <c r="B547" s="65" t="n">
        <v>534</v>
      </c>
      <c r="C547" s="66" t="n">
        <v>4695.45</v>
      </c>
      <c r="D547" s="66" t="n">
        <v>4656.67037</v>
      </c>
      <c r="E547" s="67">
        <f>C547-D547</f>
        <v/>
      </c>
      <c r="F547" s="67">
        <f>(E547-F757)^2</f>
        <v/>
      </c>
      <c r="G547" s="66">
        <f>(E547-F757)^3</f>
        <v/>
      </c>
      <c r="H547" s="66">
        <f>(E547-F757)^4</f>
        <v/>
      </c>
      <c r="I547" s="65" t="inlineStr"/>
    </row>
    <row r="548">
      <c r="A548" s="68" t="n">
        <v>536</v>
      </c>
      <c r="B548" s="68" t="n">
        <v>535</v>
      </c>
      <c r="C548" s="69" t="n">
        <v>4692.77</v>
      </c>
      <c r="D548" s="69" t="n">
        <v>4656.87282</v>
      </c>
      <c r="E548" s="70">
        <f>C548-D548</f>
        <v/>
      </c>
      <c r="F548" s="70">
        <f>(E548-F757)^2</f>
        <v/>
      </c>
      <c r="G548" s="69">
        <f>(E548-F757)^3</f>
        <v/>
      </c>
      <c r="H548" s="69">
        <f>(E548-F757)^4</f>
        <v/>
      </c>
      <c r="I548" s="68" t="inlineStr"/>
    </row>
    <row r="549">
      <c r="A549" s="65" t="n">
        <v>537</v>
      </c>
      <c r="B549" s="65" t="n">
        <v>536</v>
      </c>
      <c r="C549" s="66" t="n">
        <v>4687.96</v>
      </c>
      <c r="D549" s="66" t="n">
        <v>4657.07526</v>
      </c>
      <c r="E549" s="67">
        <f>C549-D549</f>
        <v/>
      </c>
      <c r="F549" s="67">
        <f>(E549-F757)^2</f>
        <v/>
      </c>
      <c r="G549" s="66">
        <f>(E549-F757)^3</f>
        <v/>
      </c>
      <c r="H549" s="66">
        <f>(E549-F757)^4</f>
        <v/>
      </c>
      <c r="I549" s="65" t="inlineStr"/>
    </row>
    <row r="550">
      <c r="A550" s="68" t="n">
        <v>538</v>
      </c>
      <c r="B550" s="68" t="n">
        <v>537</v>
      </c>
      <c r="C550" s="69" t="n">
        <v>4683.69</v>
      </c>
      <c r="D550" s="69" t="n">
        <v>4657.27771</v>
      </c>
      <c r="E550" s="70">
        <f>C550-D550</f>
        <v/>
      </c>
      <c r="F550" s="70">
        <f>(E550-F757)^2</f>
        <v/>
      </c>
      <c r="G550" s="69">
        <f>(E550-F757)^3</f>
        <v/>
      </c>
      <c r="H550" s="69">
        <f>(E550-F757)^4</f>
        <v/>
      </c>
      <c r="I550" s="68" t="inlineStr"/>
    </row>
    <row r="551">
      <c r="A551" s="65" t="n">
        <v>539</v>
      </c>
      <c r="B551" s="65" t="n">
        <v>538</v>
      </c>
      <c r="C551" s="66" t="n">
        <v>4688.15</v>
      </c>
      <c r="D551" s="66" t="n">
        <v>4657.48016</v>
      </c>
      <c r="E551" s="67">
        <f>C551-D551</f>
        <v/>
      </c>
      <c r="F551" s="67">
        <f>(E551-F757)^2</f>
        <v/>
      </c>
      <c r="G551" s="66">
        <f>(E551-F757)^3</f>
        <v/>
      </c>
      <c r="H551" s="66">
        <f>(E551-F757)^4</f>
        <v/>
      </c>
      <c r="I551" s="65" t="inlineStr"/>
    </row>
    <row r="552">
      <c r="A552" s="68" t="n">
        <v>540</v>
      </c>
      <c r="B552" s="68" t="n">
        <v>539</v>
      </c>
      <c r="C552" s="69" t="n">
        <v>4688.73</v>
      </c>
      <c r="D552" s="69" t="n">
        <v>4657.6826</v>
      </c>
      <c r="E552" s="70">
        <f>C552-D552</f>
        <v/>
      </c>
      <c r="F552" s="70">
        <f>(E552-F757)^2</f>
        <v/>
      </c>
      <c r="G552" s="69">
        <f>(E552-F757)^3</f>
        <v/>
      </c>
      <c r="H552" s="69">
        <f>(E552-F757)^4</f>
        <v/>
      </c>
      <c r="I552" s="68" t="inlineStr"/>
    </row>
    <row r="553">
      <c r="A553" s="65" t="n">
        <v>541</v>
      </c>
      <c r="B553" s="65" t="n">
        <v>540</v>
      </c>
      <c r="C553" s="66" t="n">
        <v>4683.1</v>
      </c>
      <c r="D553" s="66" t="n">
        <v>4657.88505</v>
      </c>
      <c r="E553" s="67">
        <f>C553-D553</f>
        <v/>
      </c>
      <c r="F553" s="67">
        <f>(E553-F757)^2</f>
        <v/>
      </c>
      <c r="G553" s="66">
        <f>(E553-F757)^3</f>
        <v/>
      </c>
      <c r="H553" s="66">
        <f>(E553-F757)^4</f>
        <v/>
      </c>
      <c r="I553" s="65" t="inlineStr"/>
    </row>
    <row r="554">
      <c r="A554" s="68" t="n">
        <v>542</v>
      </c>
      <c r="B554" s="68" t="n">
        <v>541</v>
      </c>
      <c r="C554" s="69" t="n">
        <v>4685.62</v>
      </c>
      <c r="D554" s="69" t="n">
        <v>4658.08749</v>
      </c>
      <c r="E554" s="70">
        <f>C554-D554</f>
        <v/>
      </c>
      <c r="F554" s="70">
        <f>(E554-F757)^2</f>
        <v/>
      </c>
      <c r="G554" s="69">
        <f>(E554-F757)^3</f>
        <v/>
      </c>
      <c r="H554" s="69">
        <f>(E554-F757)^4</f>
        <v/>
      </c>
      <c r="I554" s="68" t="inlineStr"/>
    </row>
    <row r="555">
      <c r="A555" s="65" t="n">
        <v>543</v>
      </c>
      <c r="B555" s="65" t="n">
        <v>542</v>
      </c>
      <c r="C555" s="66" t="n">
        <v>4683.1</v>
      </c>
      <c r="D555" s="66" t="n">
        <v>4658.28994</v>
      </c>
      <c r="E555" s="67">
        <f>C555-D555</f>
        <v/>
      </c>
      <c r="F555" s="67">
        <f>(E555-F757)^2</f>
        <v/>
      </c>
      <c r="G555" s="66">
        <f>(E555-F757)^3</f>
        <v/>
      </c>
      <c r="H555" s="66">
        <f>(E555-F757)^4</f>
        <v/>
      </c>
      <c r="I555" s="65" t="inlineStr"/>
    </row>
    <row r="556">
      <c r="A556" s="68" t="n">
        <v>544</v>
      </c>
      <c r="B556" s="68" t="n">
        <v>543</v>
      </c>
      <c r="C556" s="69" t="n">
        <v>4680.64</v>
      </c>
      <c r="D556" s="69" t="n">
        <v>4658.49238</v>
      </c>
      <c r="E556" s="70">
        <f>C556-D556</f>
        <v/>
      </c>
      <c r="F556" s="70">
        <f>(E556-F757)^2</f>
        <v/>
      </c>
      <c r="G556" s="69">
        <f>(E556-F757)^3</f>
        <v/>
      </c>
      <c r="H556" s="69">
        <f>(E556-F757)^4</f>
        <v/>
      </c>
      <c r="I556" s="68" t="inlineStr"/>
    </row>
    <row r="557">
      <c r="A557" s="65" t="n">
        <v>545</v>
      </c>
      <c r="B557" s="65" t="n">
        <v>544</v>
      </c>
      <c r="C557" s="66" t="n">
        <v>4684.13</v>
      </c>
      <c r="D557" s="66" t="n">
        <v>4658.69483</v>
      </c>
      <c r="E557" s="67">
        <f>C557-D557</f>
        <v/>
      </c>
      <c r="F557" s="67">
        <f>(E557-F757)^2</f>
        <v/>
      </c>
      <c r="G557" s="66">
        <f>(E557-F757)^3</f>
        <v/>
      </c>
      <c r="H557" s="66">
        <f>(E557-F757)^4</f>
        <v/>
      </c>
      <c r="I557" s="65" t="inlineStr"/>
    </row>
    <row r="558">
      <c r="A558" s="68" t="n">
        <v>546</v>
      </c>
      <c r="B558" s="68" t="n">
        <v>545</v>
      </c>
      <c r="C558" s="69" t="n">
        <v>4686.79</v>
      </c>
      <c r="D558" s="69" t="n">
        <v>4658.89728</v>
      </c>
      <c r="E558" s="70">
        <f>C558-D558</f>
        <v/>
      </c>
      <c r="F558" s="70">
        <f>(E558-F757)^2</f>
        <v/>
      </c>
      <c r="G558" s="69">
        <f>(E558-F757)^3</f>
        <v/>
      </c>
      <c r="H558" s="69">
        <f>(E558-F757)^4</f>
        <v/>
      </c>
      <c r="I558" s="68" t="inlineStr"/>
    </row>
    <row r="559">
      <c r="A559" s="65" t="n">
        <v>547</v>
      </c>
      <c r="B559" s="65" t="n">
        <v>546</v>
      </c>
      <c r="C559" s="66" t="n">
        <v>4687.85</v>
      </c>
      <c r="D559" s="66" t="n">
        <v>4659.09972</v>
      </c>
      <c r="E559" s="67">
        <f>C559-D559</f>
        <v/>
      </c>
      <c r="F559" s="67">
        <f>(E559-F757)^2</f>
        <v/>
      </c>
      <c r="G559" s="66">
        <f>(E559-F757)^3</f>
        <v/>
      </c>
      <c r="H559" s="66">
        <f>(E559-F757)^4</f>
        <v/>
      </c>
      <c r="I559" s="65" t="inlineStr"/>
    </row>
    <row r="560">
      <c r="A560" s="68" t="n">
        <v>548</v>
      </c>
      <c r="B560" s="68" t="n">
        <v>547</v>
      </c>
      <c r="C560" s="69" t="n">
        <v>4686.27</v>
      </c>
      <c r="D560" s="69" t="n">
        <v>4659.30217</v>
      </c>
      <c r="E560" s="70">
        <f>C560-D560</f>
        <v/>
      </c>
      <c r="F560" s="70">
        <f>(E560-F757)^2</f>
        <v/>
      </c>
      <c r="G560" s="69">
        <f>(E560-F757)^3</f>
        <v/>
      </c>
      <c r="H560" s="69">
        <f>(E560-F757)^4</f>
        <v/>
      </c>
      <c r="I560" s="68" t="inlineStr"/>
    </row>
    <row r="561">
      <c r="A561" s="65" t="n">
        <v>549</v>
      </c>
      <c r="B561" s="65" t="n">
        <v>548</v>
      </c>
      <c r="C561" s="66" t="n">
        <v>4686.1</v>
      </c>
      <c r="D561" s="66" t="n">
        <v>4659.50461</v>
      </c>
      <c r="E561" s="67">
        <f>C561-D561</f>
        <v/>
      </c>
      <c r="F561" s="67">
        <f>(E561-F757)^2</f>
        <v/>
      </c>
      <c r="G561" s="66">
        <f>(E561-F757)^3</f>
        <v/>
      </c>
      <c r="H561" s="66">
        <f>(E561-F757)^4</f>
        <v/>
      </c>
      <c r="I561" s="65" t="inlineStr"/>
    </row>
    <row r="562">
      <c r="A562" s="68" t="n">
        <v>550</v>
      </c>
      <c r="B562" s="68" t="n">
        <v>549</v>
      </c>
      <c r="C562" s="69" t="n">
        <v>4695.28</v>
      </c>
      <c r="D562" s="69" t="n">
        <v>4659.70706</v>
      </c>
      <c r="E562" s="70">
        <f>C562-D562</f>
        <v/>
      </c>
      <c r="F562" s="70">
        <f>(E562-F757)^2</f>
        <v/>
      </c>
      <c r="G562" s="69">
        <f>(E562-F757)^3</f>
        <v/>
      </c>
      <c r="H562" s="69">
        <f>(E562-F757)^4</f>
        <v/>
      </c>
      <c r="I562" s="68" t="inlineStr"/>
    </row>
    <row r="563">
      <c r="A563" s="65" t="n">
        <v>551</v>
      </c>
      <c r="B563" s="65" t="n">
        <v>550</v>
      </c>
      <c r="C563" s="66" t="n">
        <v>4698.51</v>
      </c>
      <c r="D563" s="66" t="n">
        <v>4659.9095</v>
      </c>
      <c r="E563" s="67">
        <f>C563-D563</f>
        <v/>
      </c>
      <c r="F563" s="67">
        <f>(E563-F757)^2</f>
        <v/>
      </c>
      <c r="G563" s="66">
        <f>(E563-F757)^3</f>
        <v/>
      </c>
      <c r="H563" s="66">
        <f>(E563-F757)^4</f>
        <v/>
      </c>
      <c r="I563" s="65" t="inlineStr"/>
    </row>
    <row r="564">
      <c r="A564" s="68" t="n">
        <v>552</v>
      </c>
      <c r="B564" s="68" t="n">
        <v>551</v>
      </c>
      <c r="C564" s="69" t="n">
        <v>4695.4</v>
      </c>
      <c r="D564" s="69" t="n">
        <v>4660.11195</v>
      </c>
      <c r="E564" s="70">
        <f>C564-D564</f>
        <v/>
      </c>
      <c r="F564" s="70">
        <f>(E564-F757)^2</f>
        <v/>
      </c>
      <c r="G564" s="69">
        <f>(E564-F757)^3</f>
        <v/>
      </c>
      <c r="H564" s="69">
        <f>(E564-F757)^4</f>
        <v/>
      </c>
      <c r="I564" s="68" t="inlineStr"/>
    </row>
    <row r="565">
      <c r="A565" s="65" t="n">
        <v>553</v>
      </c>
      <c r="B565" s="65" t="n">
        <v>552</v>
      </c>
      <c r="C565" s="66" t="n">
        <v>4692.6</v>
      </c>
      <c r="D565" s="66" t="n">
        <v>4660.3144</v>
      </c>
      <c r="E565" s="67">
        <f>C565-D565</f>
        <v/>
      </c>
      <c r="F565" s="67">
        <f>(E565-F757)^2</f>
        <v/>
      </c>
      <c r="G565" s="66">
        <f>(E565-F757)^3</f>
        <v/>
      </c>
      <c r="H565" s="66">
        <f>(E565-F757)^4</f>
        <v/>
      </c>
      <c r="I565" s="65" t="inlineStr"/>
    </row>
    <row r="566">
      <c r="A566" s="68" t="n">
        <v>554</v>
      </c>
      <c r="B566" s="68" t="n">
        <v>553</v>
      </c>
      <c r="C566" s="69" t="n">
        <v>4698.99</v>
      </c>
      <c r="D566" s="69" t="n">
        <v>4660.51684</v>
      </c>
      <c r="E566" s="70">
        <f>C566-D566</f>
        <v/>
      </c>
      <c r="F566" s="70">
        <f>(E566-F757)^2</f>
        <v/>
      </c>
      <c r="G566" s="69">
        <f>(E566-F757)^3</f>
        <v/>
      </c>
      <c r="H566" s="69">
        <f>(E566-F757)^4</f>
        <v/>
      </c>
      <c r="I566" s="68" t="inlineStr"/>
    </row>
    <row r="567">
      <c r="A567" s="65" t="n">
        <v>555</v>
      </c>
      <c r="B567" s="65" t="n">
        <v>554</v>
      </c>
      <c r="C567" s="66" t="n">
        <v>4692.65</v>
      </c>
      <c r="D567" s="66" t="n">
        <v>4660.71929</v>
      </c>
      <c r="E567" s="67">
        <f>C567-D567</f>
        <v/>
      </c>
      <c r="F567" s="67">
        <f>(E567-F757)^2</f>
        <v/>
      </c>
      <c r="G567" s="66">
        <f>(E567-F757)^3</f>
        <v/>
      </c>
      <c r="H567" s="66">
        <f>(E567-F757)^4</f>
        <v/>
      </c>
      <c r="I567" s="65" t="inlineStr"/>
    </row>
    <row r="568">
      <c r="A568" s="68" t="n">
        <v>556</v>
      </c>
      <c r="B568" s="68" t="n">
        <v>555</v>
      </c>
      <c r="C568" s="69" t="n">
        <v>4689.09</v>
      </c>
      <c r="D568" s="69" t="n">
        <v>4660.92173</v>
      </c>
      <c r="E568" s="70">
        <f>C568-D568</f>
        <v/>
      </c>
      <c r="F568" s="70">
        <f>(E568-F757)^2</f>
        <v/>
      </c>
      <c r="G568" s="69">
        <f>(E568-F757)^3</f>
        <v/>
      </c>
      <c r="H568" s="69">
        <f>(E568-F757)^4</f>
        <v/>
      </c>
      <c r="I568" s="68" t="inlineStr"/>
    </row>
    <row r="569">
      <c r="A569" s="65" t="n">
        <v>557</v>
      </c>
      <c r="B569" s="65" t="n">
        <v>556</v>
      </c>
      <c r="C569" s="66" t="n">
        <v>4690.95</v>
      </c>
      <c r="D569" s="66" t="n">
        <v>4661.12418</v>
      </c>
      <c r="E569" s="67">
        <f>C569-D569</f>
        <v/>
      </c>
      <c r="F569" s="67">
        <f>(E569-F757)^2</f>
        <v/>
      </c>
      <c r="G569" s="66">
        <f>(E569-F757)^3</f>
        <v/>
      </c>
      <c r="H569" s="66">
        <f>(E569-F757)^4</f>
        <v/>
      </c>
      <c r="I569" s="65" t="inlineStr"/>
    </row>
    <row r="570">
      <c r="A570" s="68" t="n">
        <v>558</v>
      </c>
      <c r="B570" s="68" t="n">
        <v>557</v>
      </c>
      <c r="C570" s="69" t="n">
        <v>4697.18</v>
      </c>
      <c r="D570" s="69" t="n">
        <v>4661.32662</v>
      </c>
      <c r="E570" s="70">
        <f>C570-D570</f>
        <v/>
      </c>
      <c r="F570" s="70">
        <f>(E570-F757)^2</f>
        <v/>
      </c>
      <c r="G570" s="69">
        <f>(E570-F757)^3</f>
        <v/>
      </c>
      <c r="H570" s="69">
        <f>(E570-F757)^4</f>
        <v/>
      </c>
      <c r="I570" s="68" t="inlineStr"/>
    </row>
    <row r="571">
      <c r="A571" s="65" t="n">
        <v>559</v>
      </c>
      <c r="B571" s="65" t="n">
        <v>558</v>
      </c>
      <c r="C571" s="66" t="n">
        <v>4695.42</v>
      </c>
      <c r="D571" s="66" t="n">
        <v>4661.52907</v>
      </c>
      <c r="E571" s="67">
        <f>C571-D571</f>
        <v/>
      </c>
      <c r="F571" s="67">
        <f>(E571-F757)^2</f>
        <v/>
      </c>
      <c r="G571" s="66">
        <f>(E571-F757)^3</f>
        <v/>
      </c>
      <c r="H571" s="66">
        <f>(E571-F757)^4</f>
        <v/>
      </c>
      <c r="I571" s="65" t="inlineStr"/>
    </row>
    <row r="572">
      <c r="A572" s="68" t="n">
        <v>560</v>
      </c>
      <c r="B572" s="68" t="n">
        <v>559</v>
      </c>
      <c r="C572" s="69" t="n">
        <v>4698.63</v>
      </c>
      <c r="D572" s="69" t="n">
        <v>4661.73152</v>
      </c>
      <c r="E572" s="70">
        <f>C572-D572</f>
        <v/>
      </c>
      <c r="F572" s="70">
        <f>(E572-F757)^2</f>
        <v/>
      </c>
      <c r="G572" s="69">
        <f>(E572-F757)^3</f>
        <v/>
      </c>
      <c r="H572" s="69">
        <f>(E572-F757)^4</f>
        <v/>
      </c>
      <c r="I572" s="68" t="inlineStr"/>
    </row>
    <row r="573">
      <c r="A573" s="65" t="n">
        <v>561</v>
      </c>
      <c r="B573" s="65" t="n">
        <v>560</v>
      </c>
      <c r="C573" s="66" t="n">
        <v>4694.94</v>
      </c>
      <c r="D573" s="66" t="n">
        <v>4661.93396</v>
      </c>
      <c r="E573" s="67">
        <f>C573-D573</f>
        <v/>
      </c>
      <c r="F573" s="67">
        <f>(E573-F757)^2</f>
        <v/>
      </c>
      <c r="G573" s="66">
        <f>(E573-F757)^3</f>
        <v/>
      </c>
      <c r="H573" s="66">
        <f>(E573-F757)^4</f>
        <v/>
      </c>
      <c r="I573" s="65" t="inlineStr"/>
    </row>
    <row r="574">
      <c r="A574" s="68" t="n">
        <v>562</v>
      </c>
      <c r="B574" s="68" t="n">
        <v>561</v>
      </c>
      <c r="C574" s="69" t="n">
        <v>4694.41</v>
      </c>
      <c r="D574" s="69" t="n">
        <v>4662.13641</v>
      </c>
      <c r="E574" s="70">
        <f>C574-D574</f>
        <v/>
      </c>
      <c r="F574" s="70">
        <f>(E574-F757)^2</f>
        <v/>
      </c>
      <c r="G574" s="69">
        <f>(E574-F757)^3</f>
        <v/>
      </c>
      <c r="H574" s="69">
        <f>(E574-F757)^4</f>
        <v/>
      </c>
      <c r="I574" s="68" t="inlineStr"/>
    </row>
    <row r="575">
      <c r="A575" s="65" t="n">
        <v>563</v>
      </c>
      <c r="B575" s="65" t="n">
        <v>562</v>
      </c>
      <c r="C575" s="66" t="n">
        <v>4693.6</v>
      </c>
      <c r="D575" s="66" t="n">
        <v>4662.33885</v>
      </c>
      <c r="E575" s="67">
        <f>C575-D575</f>
        <v/>
      </c>
      <c r="F575" s="67">
        <f>(E575-F757)^2</f>
        <v/>
      </c>
      <c r="G575" s="66">
        <f>(E575-F757)^3</f>
        <v/>
      </c>
      <c r="H575" s="66">
        <f>(E575-F757)^4</f>
        <v/>
      </c>
      <c r="I575" s="65" t="inlineStr"/>
    </row>
    <row r="576">
      <c r="A576" s="68" t="n">
        <v>564</v>
      </c>
      <c r="B576" s="68" t="n">
        <v>563</v>
      </c>
      <c r="C576" s="69" t="n">
        <v>4693.6</v>
      </c>
      <c r="D576" s="69" t="n">
        <v>4662.5413</v>
      </c>
      <c r="E576" s="70">
        <f>C576-D576</f>
        <v/>
      </c>
      <c r="F576" s="70">
        <f>(E576-F757)^2</f>
        <v/>
      </c>
      <c r="G576" s="69">
        <f>(E576-F757)^3</f>
        <v/>
      </c>
      <c r="H576" s="69">
        <f>(E576-F757)^4</f>
        <v/>
      </c>
      <c r="I576" s="68" t="inlineStr"/>
    </row>
    <row r="577">
      <c r="A577" s="65" t="n">
        <v>565</v>
      </c>
      <c r="B577" s="65" t="n">
        <v>564</v>
      </c>
      <c r="C577" s="66" t="n">
        <v>4699</v>
      </c>
      <c r="D577" s="66" t="n">
        <v>4662.74374</v>
      </c>
      <c r="E577" s="67">
        <f>C577-D577</f>
        <v/>
      </c>
      <c r="F577" s="67">
        <f>(E577-F757)^2</f>
        <v/>
      </c>
      <c r="G577" s="66">
        <f>(E577-F757)^3</f>
        <v/>
      </c>
      <c r="H577" s="66">
        <f>(E577-F757)^4</f>
        <v/>
      </c>
      <c r="I577" s="65" t="inlineStr"/>
    </row>
    <row r="578">
      <c r="A578" s="68" t="n">
        <v>566</v>
      </c>
      <c r="B578" s="68" t="n">
        <v>565</v>
      </c>
      <c r="C578" s="69" t="n">
        <v>4699.88</v>
      </c>
      <c r="D578" s="69" t="n">
        <v>4662.94619</v>
      </c>
      <c r="E578" s="70">
        <f>C578-D578</f>
        <v/>
      </c>
      <c r="F578" s="70">
        <f>(E578-F757)^2</f>
        <v/>
      </c>
      <c r="G578" s="69">
        <f>(E578-F757)^3</f>
        <v/>
      </c>
      <c r="H578" s="69">
        <f>(E578-F757)^4</f>
        <v/>
      </c>
      <c r="I578" s="68" t="inlineStr"/>
    </row>
    <row r="579">
      <c r="A579" s="65" t="n">
        <v>567</v>
      </c>
      <c r="B579" s="65" t="n">
        <v>566</v>
      </c>
      <c r="C579" s="66" t="n">
        <v>4692.51</v>
      </c>
      <c r="D579" s="66" t="n">
        <v>4663.14863</v>
      </c>
      <c r="E579" s="67">
        <f>C579-D579</f>
        <v/>
      </c>
      <c r="F579" s="67">
        <f>(E579-F757)^2</f>
        <v/>
      </c>
      <c r="G579" s="66">
        <f>(E579-F757)^3</f>
        <v/>
      </c>
      <c r="H579" s="66">
        <f>(E579-F757)^4</f>
        <v/>
      </c>
      <c r="I579" s="65" t="inlineStr"/>
    </row>
    <row r="580">
      <c r="A580" s="68" t="n">
        <v>568</v>
      </c>
      <c r="B580" s="68" t="n">
        <v>567</v>
      </c>
      <c r="C580" s="69" t="n">
        <v>4688.45</v>
      </c>
      <c r="D580" s="69" t="n">
        <v>4663.35108</v>
      </c>
      <c r="E580" s="70">
        <f>C580-D580</f>
        <v/>
      </c>
      <c r="F580" s="70">
        <f>(E580-F757)^2</f>
        <v/>
      </c>
      <c r="G580" s="69">
        <f>(E580-F757)^3</f>
        <v/>
      </c>
      <c r="H580" s="69">
        <f>(E580-F757)^4</f>
        <v/>
      </c>
      <c r="I580" s="68" t="inlineStr"/>
    </row>
    <row r="581">
      <c r="A581" s="65" t="n">
        <v>569</v>
      </c>
      <c r="B581" s="65" t="n">
        <v>568</v>
      </c>
      <c r="C581" s="66" t="n">
        <v>4688.57</v>
      </c>
      <c r="D581" s="66" t="n">
        <v>4663.55353</v>
      </c>
      <c r="E581" s="67">
        <f>C581-D581</f>
        <v/>
      </c>
      <c r="F581" s="67">
        <f>(E581-F757)^2</f>
        <v/>
      </c>
      <c r="G581" s="66">
        <f>(E581-F757)^3</f>
        <v/>
      </c>
      <c r="H581" s="66">
        <f>(E581-F757)^4</f>
        <v/>
      </c>
      <c r="I581" s="65" t="inlineStr"/>
    </row>
    <row r="582">
      <c r="A582" s="68" t="n">
        <v>570</v>
      </c>
      <c r="B582" s="68" t="n">
        <v>569</v>
      </c>
      <c r="C582" s="69" t="n">
        <v>4709.88</v>
      </c>
      <c r="D582" s="69" t="n">
        <v>4663.75597</v>
      </c>
      <c r="E582" s="70">
        <f>C582-D582</f>
        <v/>
      </c>
      <c r="F582" s="70">
        <f>(E582-F757)^2</f>
        <v/>
      </c>
      <c r="G582" s="69">
        <f>(E582-F757)^3</f>
        <v/>
      </c>
      <c r="H582" s="69">
        <f>(E582-F757)^4</f>
        <v/>
      </c>
      <c r="I582" s="68" t="inlineStr"/>
    </row>
    <row r="583">
      <c r="A583" s="65" t="n">
        <v>571</v>
      </c>
      <c r="B583" s="65" t="n">
        <v>570</v>
      </c>
      <c r="C583" s="66" t="n">
        <v>4704.22</v>
      </c>
      <c r="D583" s="66" t="n">
        <v>4663.95842</v>
      </c>
      <c r="E583" s="67">
        <f>C583-D583</f>
        <v/>
      </c>
      <c r="F583" s="67">
        <f>(E583-F757)^2</f>
        <v/>
      </c>
      <c r="G583" s="66">
        <f>(E583-F757)^3</f>
        <v/>
      </c>
      <c r="H583" s="66">
        <f>(E583-F757)^4</f>
        <v/>
      </c>
      <c r="I583" s="65" t="inlineStr"/>
    </row>
    <row r="584">
      <c r="A584" s="68" t="n">
        <v>572</v>
      </c>
      <c r="B584" s="68" t="n">
        <v>571</v>
      </c>
      <c r="C584" s="69" t="n">
        <v>4712.93</v>
      </c>
      <c r="D584" s="69" t="n">
        <v>4664.16086</v>
      </c>
      <c r="E584" s="70">
        <f>C584-D584</f>
        <v/>
      </c>
      <c r="F584" s="70">
        <f>(E584-F757)^2</f>
        <v/>
      </c>
      <c r="G584" s="69">
        <f>(E584-F757)^3</f>
        <v/>
      </c>
      <c r="H584" s="69">
        <f>(E584-F757)^4</f>
        <v/>
      </c>
      <c r="I584" s="68" t="inlineStr"/>
    </row>
    <row r="585">
      <c r="A585" s="65" t="n">
        <v>573</v>
      </c>
      <c r="B585" s="65" t="n">
        <v>572</v>
      </c>
      <c r="C585" s="66" t="n">
        <v>4714.86</v>
      </c>
      <c r="D585" s="66" t="n">
        <v>4664.36331</v>
      </c>
      <c r="E585" s="67">
        <f>C585-D585</f>
        <v/>
      </c>
      <c r="F585" s="67">
        <f>(E585-F757)^2</f>
        <v/>
      </c>
      <c r="G585" s="66">
        <f>(E585-F757)^3</f>
        <v/>
      </c>
      <c r="H585" s="66">
        <f>(E585-F757)^4</f>
        <v/>
      </c>
      <c r="I585" s="65" t="inlineStr"/>
    </row>
    <row r="586">
      <c r="A586" s="68" t="n">
        <v>574</v>
      </c>
      <c r="B586" s="68" t="n">
        <v>573</v>
      </c>
      <c r="C586" s="69" t="n">
        <v>4704.21</v>
      </c>
      <c r="D586" s="69" t="n">
        <v>4664.56575</v>
      </c>
      <c r="E586" s="70">
        <f>C586-D586</f>
        <v/>
      </c>
      <c r="F586" s="70">
        <f>(E586-F757)^2</f>
        <v/>
      </c>
      <c r="G586" s="69">
        <f>(E586-F757)^3</f>
        <v/>
      </c>
      <c r="H586" s="69">
        <f>(E586-F757)^4</f>
        <v/>
      </c>
      <c r="I586" s="68" t="inlineStr"/>
    </row>
    <row r="587">
      <c r="A587" s="65" t="n">
        <v>575</v>
      </c>
      <c r="B587" s="65" t="n">
        <v>574</v>
      </c>
      <c r="C587" s="66" t="n">
        <v>4702.84</v>
      </c>
      <c r="D587" s="66" t="n">
        <v>4664.7682</v>
      </c>
      <c r="E587" s="67">
        <f>C587-D587</f>
        <v/>
      </c>
      <c r="F587" s="67">
        <f>(E587-F757)^2</f>
        <v/>
      </c>
      <c r="G587" s="66">
        <f>(E587-F757)^3</f>
        <v/>
      </c>
      <c r="H587" s="66">
        <f>(E587-F757)^4</f>
        <v/>
      </c>
      <c r="I587" s="65" t="inlineStr"/>
    </row>
    <row r="588">
      <c r="A588" s="68" t="n">
        <v>576</v>
      </c>
      <c r="B588" s="68" t="n">
        <v>575</v>
      </c>
      <c r="C588" s="69" t="n">
        <v>4704.24</v>
      </c>
      <c r="D588" s="69" t="n">
        <v>4664.97065</v>
      </c>
      <c r="E588" s="70">
        <f>C588-D588</f>
        <v/>
      </c>
      <c r="F588" s="70">
        <f>(E588-F757)^2</f>
        <v/>
      </c>
      <c r="G588" s="69">
        <f>(E588-F757)^3</f>
        <v/>
      </c>
      <c r="H588" s="69">
        <f>(E588-F757)^4</f>
        <v/>
      </c>
      <c r="I588" s="68" t="inlineStr"/>
    </row>
    <row r="589">
      <c r="A589" s="65" t="n">
        <v>577</v>
      </c>
      <c r="B589" s="65" t="n">
        <v>576</v>
      </c>
      <c r="C589" s="66" t="n">
        <v>4707.22</v>
      </c>
      <c r="D589" s="66" t="n">
        <v>4665.17309</v>
      </c>
      <c r="E589" s="67">
        <f>C589-D589</f>
        <v/>
      </c>
      <c r="F589" s="67">
        <f>(E589-F757)^2</f>
        <v/>
      </c>
      <c r="G589" s="66">
        <f>(E589-F757)^3</f>
        <v/>
      </c>
      <c r="H589" s="66">
        <f>(E589-F757)^4</f>
        <v/>
      </c>
      <c r="I589" s="65" t="inlineStr"/>
    </row>
    <row r="590">
      <c r="A590" s="68" t="n">
        <v>578</v>
      </c>
      <c r="B590" s="68" t="n">
        <v>577</v>
      </c>
      <c r="C590" s="69" t="n">
        <v>4705.93</v>
      </c>
      <c r="D590" s="69" t="n">
        <v>4665.37554</v>
      </c>
      <c r="E590" s="70">
        <f>C590-D590</f>
        <v/>
      </c>
      <c r="F590" s="70">
        <f>(E590-F757)^2</f>
        <v/>
      </c>
      <c r="G590" s="69">
        <f>(E590-F757)^3</f>
        <v/>
      </c>
      <c r="H590" s="69">
        <f>(E590-F757)^4</f>
        <v/>
      </c>
      <c r="I590" s="68" t="inlineStr"/>
    </row>
    <row r="591">
      <c r="A591" s="65" t="n">
        <v>579</v>
      </c>
      <c r="B591" s="65" t="n">
        <v>578</v>
      </c>
      <c r="C591" s="66" t="n">
        <v>4704.6</v>
      </c>
      <c r="D591" s="66" t="n">
        <v>4665.57798</v>
      </c>
      <c r="E591" s="67">
        <f>C591-D591</f>
        <v/>
      </c>
      <c r="F591" s="67">
        <f>(E591-F757)^2</f>
        <v/>
      </c>
      <c r="G591" s="66">
        <f>(E591-F757)^3</f>
        <v/>
      </c>
      <c r="H591" s="66">
        <f>(E591-F757)^4</f>
        <v/>
      </c>
      <c r="I591" s="65" t="inlineStr"/>
    </row>
    <row r="592">
      <c r="A592" s="68" t="n">
        <v>580</v>
      </c>
      <c r="B592" s="68" t="n">
        <v>579</v>
      </c>
      <c r="C592" s="69" t="n">
        <v>4703.96</v>
      </c>
      <c r="D592" s="69" t="n">
        <v>4665.78043</v>
      </c>
      <c r="E592" s="70">
        <f>C592-D592</f>
        <v/>
      </c>
      <c r="F592" s="70">
        <f>(E592-F757)^2</f>
        <v/>
      </c>
      <c r="G592" s="69">
        <f>(E592-F757)^3</f>
        <v/>
      </c>
      <c r="H592" s="69">
        <f>(E592-F757)^4</f>
        <v/>
      </c>
      <c r="I592" s="68" t="inlineStr"/>
    </row>
    <row r="593">
      <c r="A593" s="65" t="n">
        <v>581</v>
      </c>
      <c r="B593" s="65" t="n">
        <v>580</v>
      </c>
      <c r="C593" s="66" t="n">
        <v>4699.11</v>
      </c>
      <c r="D593" s="66" t="n">
        <v>4665.98287</v>
      </c>
      <c r="E593" s="67">
        <f>C593-D593</f>
        <v/>
      </c>
      <c r="F593" s="67">
        <f>(E593-F757)^2</f>
        <v/>
      </c>
      <c r="G593" s="66">
        <f>(E593-F757)^3</f>
        <v/>
      </c>
      <c r="H593" s="66">
        <f>(E593-F757)^4</f>
        <v/>
      </c>
      <c r="I593" s="65" t="inlineStr"/>
    </row>
    <row r="594">
      <c r="A594" s="68" t="n">
        <v>582</v>
      </c>
      <c r="B594" s="68" t="n">
        <v>581</v>
      </c>
      <c r="C594" s="69" t="n">
        <v>4696.87</v>
      </c>
      <c r="D594" s="69" t="n">
        <v>4666.18532</v>
      </c>
      <c r="E594" s="70">
        <f>C594-D594</f>
        <v/>
      </c>
      <c r="F594" s="70">
        <f>(E594-F757)^2</f>
        <v/>
      </c>
      <c r="G594" s="69">
        <f>(E594-F757)^3</f>
        <v/>
      </c>
      <c r="H594" s="69">
        <f>(E594-F757)^4</f>
        <v/>
      </c>
      <c r="I594" s="68" t="inlineStr"/>
    </row>
    <row r="595">
      <c r="A595" s="65" t="n">
        <v>583</v>
      </c>
      <c r="B595" s="65" t="n">
        <v>582</v>
      </c>
      <c r="C595" s="66" t="n">
        <v>4696.79</v>
      </c>
      <c r="D595" s="66" t="n">
        <v>4666.38777</v>
      </c>
      <c r="E595" s="67">
        <f>C595-D595</f>
        <v/>
      </c>
      <c r="F595" s="67">
        <f>(E595-F757)^2</f>
        <v/>
      </c>
      <c r="G595" s="66">
        <f>(E595-F757)^3</f>
        <v/>
      </c>
      <c r="H595" s="66">
        <f>(E595-F757)^4</f>
        <v/>
      </c>
      <c r="I595" s="65" t="inlineStr"/>
    </row>
    <row r="596">
      <c r="A596" s="68" t="n">
        <v>584</v>
      </c>
      <c r="B596" s="68" t="n">
        <v>583</v>
      </c>
      <c r="C596" s="69" t="n">
        <v>4698.15</v>
      </c>
      <c r="D596" s="69" t="n">
        <v>4666.59021</v>
      </c>
      <c r="E596" s="70">
        <f>C596-D596</f>
        <v/>
      </c>
      <c r="F596" s="70">
        <f>(E596-F757)^2</f>
        <v/>
      </c>
      <c r="G596" s="69">
        <f>(E596-F757)^3</f>
        <v/>
      </c>
      <c r="H596" s="69">
        <f>(E596-F757)^4</f>
        <v/>
      </c>
      <c r="I596" s="68" t="inlineStr"/>
    </row>
    <row r="597">
      <c r="A597" s="65" t="n">
        <v>585</v>
      </c>
      <c r="B597" s="65" t="n">
        <v>584</v>
      </c>
      <c r="C597" s="66" t="n">
        <v>4696.48</v>
      </c>
      <c r="D597" s="66" t="n">
        <v>4666.79266</v>
      </c>
      <c r="E597" s="67">
        <f>C597-D597</f>
        <v/>
      </c>
      <c r="F597" s="67">
        <f>(E597-F757)^2</f>
        <v/>
      </c>
      <c r="G597" s="66">
        <f>(E597-F757)^3</f>
        <v/>
      </c>
      <c r="H597" s="66">
        <f>(E597-F757)^4</f>
        <v/>
      </c>
      <c r="I597" s="65" t="inlineStr"/>
    </row>
    <row r="598">
      <c r="A598" s="68" t="n">
        <v>586</v>
      </c>
      <c r="B598" s="68" t="n">
        <v>585</v>
      </c>
      <c r="C598" s="69" t="n">
        <v>4700.45</v>
      </c>
      <c r="D598" s="69" t="n">
        <v>4666.9951</v>
      </c>
      <c r="E598" s="70">
        <f>C598-D598</f>
        <v/>
      </c>
      <c r="F598" s="70">
        <f>(E598-F757)^2</f>
        <v/>
      </c>
      <c r="G598" s="69">
        <f>(E598-F757)^3</f>
        <v/>
      </c>
      <c r="H598" s="69">
        <f>(E598-F757)^4</f>
        <v/>
      </c>
      <c r="I598" s="68" t="inlineStr"/>
    </row>
    <row r="599">
      <c r="A599" s="65" t="n">
        <v>587</v>
      </c>
      <c r="B599" s="65" t="n">
        <v>586</v>
      </c>
      <c r="C599" s="66" t="n">
        <v>4696.05</v>
      </c>
      <c r="D599" s="66" t="n">
        <v>4667.19755</v>
      </c>
      <c r="E599" s="67">
        <f>C599-D599</f>
        <v/>
      </c>
      <c r="F599" s="67">
        <f>(E599-F757)^2</f>
        <v/>
      </c>
      <c r="G599" s="66">
        <f>(E599-F757)^3</f>
        <v/>
      </c>
      <c r="H599" s="66">
        <f>(E599-F757)^4</f>
        <v/>
      </c>
      <c r="I599" s="65" t="inlineStr"/>
    </row>
    <row r="600">
      <c r="A600" s="68" t="n">
        <v>588</v>
      </c>
      <c r="B600" s="68" t="n">
        <v>587</v>
      </c>
      <c r="C600" s="69" t="n">
        <v>4703.63</v>
      </c>
      <c r="D600" s="69" t="n">
        <v>4667.39999</v>
      </c>
      <c r="E600" s="70">
        <f>C600-D600</f>
        <v/>
      </c>
      <c r="F600" s="70">
        <f>(E600-F757)^2</f>
        <v/>
      </c>
      <c r="G600" s="69">
        <f>(E600-F757)^3</f>
        <v/>
      </c>
      <c r="H600" s="69">
        <f>(E600-F757)^4</f>
        <v/>
      </c>
      <c r="I600" s="68" t="inlineStr"/>
    </row>
    <row r="601">
      <c r="A601" s="65" t="n">
        <v>589</v>
      </c>
      <c r="B601" s="65" t="n">
        <v>588</v>
      </c>
      <c r="C601" s="66" t="n">
        <v>4701.22</v>
      </c>
      <c r="D601" s="66" t="n">
        <v>4667.60244</v>
      </c>
      <c r="E601" s="67">
        <f>C601-D601</f>
        <v/>
      </c>
      <c r="F601" s="67">
        <f>(E601-F757)^2</f>
        <v/>
      </c>
      <c r="G601" s="66">
        <f>(E601-F757)^3</f>
        <v/>
      </c>
      <c r="H601" s="66">
        <f>(E601-F757)^4</f>
        <v/>
      </c>
      <c r="I601" s="65" t="inlineStr"/>
    </row>
    <row r="602">
      <c r="A602" s="68" t="n">
        <v>590</v>
      </c>
      <c r="B602" s="68" t="n">
        <v>589</v>
      </c>
      <c r="C602" s="69" t="n">
        <v>4708.23</v>
      </c>
      <c r="D602" s="69" t="n">
        <v>4667.80489</v>
      </c>
      <c r="E602" s="70">
        <f>C602-D602</f>
        <v/>
      </c>
      <c r="F602" s="70">
        <f>(E602-F757)^2</f>
        <v/>
      </c>
      <c r="G602" s="69">
        <f>(E602-F757)^3</f>
        <v/>
      </c>
      <c r="H602" s="69">
        <f>(E602-F757)^4</f>
        <v/>
      </c>
      <c r="I602" s="68" t="inlineStr"/>
    </row>
    <row r="603">
      <c r="A603" s="65" t="n">
        <v>591</v>
      </c>
      <c r="B603" s="65" t="n">
        <v>590</v>
      </c>
      <c r="C603" s="66" t="n">
        <v>4717.42</v>
      </c>
      <c r="D603" s="66" t="n">
        <v>4668.00733</v>
      </c>
      <c r="E603" s="67">
        <f>C603-D603</f>
        <v/>
      </c>
      <c r="F603" s="67">
        <f>(E603-F757)^2</f>
        <v/>
      </c>
      <c r="G603" s="66">
        <f>(E603-F757)^3</f>
        <v/>
      </c>
      <c r="H603" s="66">
        <f>(E603-F757)^4</f>
        <v/>
      </c>
      <c r="I603" s="65" t="inlineStr"/>
    </row>
    <row r="604">
      <c r="A604" s="68" t="n">
        <v>592</v>
      </c>
      <c r="B604" s="68" t="n">
        <v>591</v>
      </c>
      <c r="C604" s="69" t="n">
        <v>4746.02</v>
      </c>
      <c r="D604" s="69" t="n">
        <v>4668.20978</v>
      </c>
      <c r="E604" s="70">
        <f>C604-D604</f>
        <v/>
      </c>
      <c r="F604" s="70">
        <f>(E604-F757)^2</f>
        <v/>
      </c>
      <c r="G604" s="69">
        <f>(E604-F757)^3</f>
        <v/>
      </c>
      <c r="H604" s="69">
        <f>(E604-F757)^4</f>
        <v/>
      </c>
      <c r="I604" s="68" t="inlineStr"/>
    </row>
    <row r="605">
      <c r="A605" s="65" t="n">
        <v>593</v>
      </c>
      <c r="B605" s="65" t="n">
        <v>592</v>
      </c>
      <c r="C605" s="66" t="n">
        <v>4739.12</v>
      </c>
      <c r="D605" s="66" t="n">
        <v>4668.41222</v>
      </c>
      <c r="E605" s="67">
        <f>C605-D605</f>
        <v/>
      </c>
      <c r="F605" s="67">
        <f>(E605-F757)^2</f>
        <v/>
      </c>
      <c r="G605" s="66">
        <f>(E605-F757)^3</f>
        <v/>
      </c>
      <c r="H605" s="66">
        <f>(E605-F757)^4</f>
        <v/>
      </c>
      <c r="I605" s="65" t="inlineStr"/>
    </row>
    <row r="606">
      <c r="A606" s="68" t="n">
        <v>594</v>
      </c>
      <c r="B606" s="68" t="n">
        <v>593</v>
      </c>
      <c r="C606" s="69" t="n">
        <v>4749.05</v>
      </c>
      <c r="D606" s="69" t="n">
        <v>4668.61467</v>
      </c>
      <c r="E606" s="70">
        <f>C606-D606</f>
        <v/>
      </c>
      <c r="F606" s="70">
        <f>(E606-F757)^2</f>
        <v/>
      </c>
      <c r="G606" s="69">
        <f>(E606-F757)^3</f>
        <v/>
      </c>
      <c r="H606" s="69">
        <f>(E606-F757)^4</f>
        <v/>
      </c>
      <c r="I606" s="68" t="inlineStr"/>
    </row>
    <row r="607">
      <c r="A607" s="65" t="n">
        <v>595</v>
      </c>
      <c r="B607" s="65" t="n">
        <v>594</v>
      </c>
      <c r="C607" s="66" t="n">
        <v>4739.5</v>
      </c>
      <c r="D607" s="66" t="n">
        <v>4668.81711</v>
      </c>
      <c r="E607" s="67">
        <f>C607-D607</f>
        <v/>
      </c>
      <c r="F607" s="67">
        <f>(E607-F757)^2</f>
        <v/>
      </c>
      <c r="G607" s="66">
        <f>(E607-F757)^3</f>
        <v/>
      </c>
      <c r="H607" s="66">
        <f>(E607-F757)^4</f>
        <v/>
      </c>
      <c r="I607" s="65" t="inlineStr"/>
    </row>
    <row r="608">
      <c r="A608" s="68" t="n">
        <v>596</v>
      </c>
      <c r="B608" s="68" t="n">
        <v>595</v>
      </c>
      <c r="C608" s="69" t="n">
        <v>4742.88</v>
      </c>
      <c r="D608" s="69" t="n">
        <v>4669.01956</v>
      </c>
      <c r="E608" s="70">
        <f>C608-D608</f>
        <v/>
      </c>
      <c r="F608" s="70">
        <f>(E608-F757)^2</f>
        <v/>
      </c>
      <c r="G608" s="69">
        <f>(E608-F757)^3</f>
        <v/>
      </c>
      <c r="H608" s="69">
        <f>(E608-F757)^4</f>
        <v/>
      </c>
      <c r="I608" s="68" t="inlineStr"/>
    </row>
    <row r="609">
      <c r="A609" s="65" t="n">
        <v>597</v>
      </c>
      <c r="B609" s="65" t="n">
        <v>596</v>
      </c>
      <c r="C609" s="66" t="n">
        <v>4743.06</v>
      </c>
      <c r="D609" s="66" t="n">
        <v>4669.22201</v>
      </c>
      <c r="E609" s="67">
        <f>C609-D609</f>
        <v/>
      </c>
      <c r="F609" s="67">
        <f>(E609-F757)^2</f>
        <v/>
      </c>
      <c r="G609" s="66">
        <f>(E609-F757)^3</f>
        <v/>
      </c>
      <c r="H609" s="66">
        <f>(E609-F757)^4</f>
        <v/>
      </c>
      <c r="I609" s="65" t="inlineStr"/>
    </row>
    <row r="610">
      <c r="A610" s="68" t="n">
        <v>598</v>
      </c>
      <c r="B610" s="68" t="n">
        <v>597</v>
      </c>
      <c r="C610" s="69" t="n">
        <v>4742.66</v>
      </c>
      <c r="D610" s="69" t="n">
        <v>4669.42445</v>
      </c>
      <c r="E610" s="70">
        <f>C610-D610</f>
        <v/>
      </c>
      <c r="F610" s="70">
        <f>(E610-F757)^2</f>
        <v/>
      </c>
      <c r="G610" s="69">
        <f>(E610-F757)^3</f>
        <v/>
      </c>
      <c r="H610" s="69">
        <f>(E610-F757)^4</f>
        <v/>
      </c>
      <c r="I610" s="68" t="inlineStr"/>
    </row>
    <row r="611">
      <c r="A611" s="65" t="n">
        <v>599</v>
      </c>
      <c r="B611" s="65" t="n">
        <v>598</v>
      </c>
      <c r="C611" s="66" t="n">
        <v>4739.74</v>
      </c>
      <c r="D611" s="66" t="n">
        <v>4669.6269</v>
      </c>
      <c r="E611" s="67">
        <f>C611-D611</f>
        <v/>
      </c>
      <c r="F611" s="67">
        <f>(E611-F757)^2</f>
        <v/>
      </c>
      <c r="G611" s="66">
        <f>(E611-F757)^3</f>
        <v/>
      </c>
      <c r="H611" s="66">
        <f>(E611-F757)^4</f>
        <v/>
      </c>
      <c r="I611" s="65" t="inlineStr"/>
    </row>
    <row r="612">
      <c r="A612" s="68" t="n">
        <v>600</v>
      </c>
      <c r="B612" s="68" t="n">
        <v>599</v>
      </c>
      <c r="C612" s="69" t="n">
        <v>4735.34</v>
      </c>
      <c r="D612" s="69" t="n">
        <v>4669.82934</v>
      </c>
      <c r="E612" s="70">
        <f>C612-D612</f>
        <v/>
      </c>
      <c r="F612" s="70">
        <f>(E612-F757)^2</f>
        <v/>
      </c>
      <c r="G612" s="69">
        <f>(E612-F757)^3</f>
        <v/>
      </c>
      <c r="H612" s="69">
        <f>(E612-F757)^4</f>
        <v/>
      </c>
      <c r="I612" s="68" t="inlineStr"/>
    </row>
    <row r="613">
      <c r="A613" s="65" t="n">
        <v>601</v>
      </c>
      <c r="B613" s="65" t="n">
        <v>600</v>
      </c>
      <c r="C613" s="66" t="n">
        <v>4731.02</v>
      </c>
      <c r="D613" s="66" t="n">
        <v>4670.03179</v>
      </c>
      <c r="E613" s="67">
        <f>C613-D613</f>
        <v/>
      </c>
      <c r="F613" s="67">
        <f>(E613-F757)^2</f>
        <v/>
      </c>
      <c r="G613" s="66">
        <f>(E613-F757)^3</f>
        <v/>
      </c>
      <c r="H613" s="66">
        <f>(E613-F757)^4</f>
        <v/>
      </c>
      <c r="I613" s="65" t="inlineStr"/>
    </row>
    <row r="614">
      <c r="A614" s="68" t="n">
        <v>602</v>
      </c>
      <c r="B614" s="68" t="n">
        <v>601</v>
      </c>
      <c r="C614" s="69" t="n">
        <v>4734.22</v>
      </c>
      <c r="D614" s="69" t="n">
        <v>4670.23423</v>
      </c>
      <c r="E614" s="70">
        <f>C614-D614</f>
        <v/>
      </c>
      <c r="F614" s="70">
        <f>(E614-F757)^2</f>
        <v/>
      </c>
      <c r="G614" s="69">
        <f>(E614-F757)^3</f>
        <v/>
      </c>
      <c r="H614" s="69">
        <f>(E614-F757)^4</f>
        <v/>
      </c>
      <c r="I614" s="68" t="inlineStr"/>
    </row>
    <row r="615">
      <c r="A615" s="65" t="n">
        <v>603</v>
      </c>
      <c r="B615" s="65" t="n">
        <v>602</v>
      </c>
      <c r="C615" s="66" t="n">
        <v>4735.64</v>
      </c>
      <c r="D615" s="66" t="n">
        <v>4670.43668</v>
      </c>
      <c r="E615" s="67">
        <f>C615-D615</f>
        <v/>
      </c>
      <c r="F615" s="67">
        <f>(E615-F757)^2</f>
        <v/>
      </c>
      <c r="G615" s="66">
        <f>(E615-F757)^3</f>
        <v/>
      </c>
      <c r="H615" s="66">
        <f>(E615-F757)^4</f>
        <v/>
      </c>
      <c r="I615" s="65" t="inlineStr"/>
    </row>
    <row r="616">
      <c r="A616" s="68" t="n">
        <v>604</v>
      </c>
      <c r="B616" s="68" t="n">
        <v>603</v>
      </c>
      <c r="C616" s="69" t="n">
        <v>4737.77</v>
      </c>
      <c r="D616" s="69" t="n">
        <v>4670.63913</v>
      </c>
      <c r="E616" s="70">
        <f>C616-D616</f>
        <v/>
      </c>
      <c r="F616" s="70">
        <f>(E616-F757)^2</f>
        <v/>
      </c>
      <c r="G616" s="69">
        <f>(E616-F757)^3</f>
        <v/>
      </c>
      <c r="H616" s="69">
        <f>(E616-F757)^4</f>
        <v/>
      </c>
      <c r="I616" s="68" t="inlineStr"/>
    </row>
    <row r="617">
      <c r="A617" s="65" t="n">
        <v>605</v>
      </c>
      <c r="B617" s="65" t="n">
        <v>604</v>
      </c>
      <c r="C617" s="66" t="n">
        <v>4729.06</v>
      </c>
      <c r="D617" s="66" t="n">
        <v>4670.84157</v>
      </c>
      <c r="E617" s="67">
        <f>C617-D617</f>
        <v/>
      </c>
      <c r="F617" s="67">
        <f>(E617-F757)^2</f>
        <v/>
      </c>
      <c r="G617" s="66">
        <f>(E617-F757)^3</f>
        <v/>
      </c>
      <c r="H617" s="66">
        <f>(E617-F757)^4</f>
        <v/>
      </c>
      <c r="I617" s="65" t="inlineStr"/>
    </row>
    <row r="618">
      <c r="A618" s="68" t="n">
        <v>606</v>
      </c>
      <c r="B618" s="68" t="n">
        <v>605</v>
      </c>
      <c r="C618" s="69" t="n">
        <v>4734.98</v>
      </c>
      <c r="D618" s="69" t="n">
        <v>4671.04402</v>
      </c>
      <c r="E618" s="70">
        <f>C618-D618</f>
        <v/>
      </c>
      <c r="F618" s="70">
        <f>(E618-F757)^2</f>
        <v/>
      </c>
      <c r="G618" s="69">
        <f>(E618-F757)^3</f>
        <v/>
      </c>
      <c r="H618" s="69">
        <f>(E618-F757)^4</f>
        <v/>
      </c>
      <c r="I618" s="68" t="inlineStr"/>
    </row>
    <row r="619">
      <c r="A619" s="65" t="n">
        <v>607</v>
      </c>
      <c r="B619" s="65" t="n">
        <v>606</v>
      </c>
      <c r="C619" s="66" t="n">
        <v>4732.57</v>
      </c>
      <c r="D619" s="66" t="n">
        <v>4671.24646</v>
      </c>
      <c r="E619" s="67">
        <f>C619-D619</f>
        <v/>
      </c>
      <c r="F619" s="67">
        <f>(E619-F757)^2</f>
        <v/>
      </c>
      <c r="G619" s="66">
        <f>(E619-F757)^3</f>
        <v/>
      </c>
      <c r="H619" s="66">
        <f>(E619-F757)^4</f>
        <v/>
      </c>
      <c r="I619" s="65" t="inlineStr"/>
    </row>
    <row r="620">
      <c r="A620" s="68" t="n">
        <v>608</v>
      </c>
      <c r="B620" s="68" t="n">
        <v>607</v>
      </c>
      <c r="C620" s="69" t="n">
        <v>4739.17</v>
      </c>
      <c r="D620" s="69" t="n">
        <v>4671.44891</v>
      </c>
      <c r="E620" s="70">
        <f>C620-D620</f>
        <v/>
      </c>
      <c r="F620" s="70">
        <f>(E620-F757)^2</f>
        <v/>
      </c>
      <c r="G620" s="69">
        <f>(E620-F757)^3</f>
        <v/>
      </c>
      <c r="H620" s="69">
        <f>(E620-F757)^4</f>
        <v/>
      </c>
      <c r="I620" s="68" t="inlineStr"/>
    </row>
    <row r="621">
      <c r="A621" s="65" t="n">
        <v>609</v>
      </c>
      <c r="B621" s="65" t="n">
        <v>608</v>
      </c>
      <c r="C621" s="66" t="n">
        <v>4735.69</v>
      </c>
      <c r="D621" s="66" t="n">
        <v>4671.65135</v>
      </c>
      <c r="E621" s="67">
        <f>C621-D621</f>
        <v/>
      </c>
      <c r="F621" s="67">
        <f>(E621-F757)^2</f>
        <v/>
      </c>
      <c r="G621" s="66">
        <f>(E621-F757)^3</f>
        <v/>
      </c>
      <c r="H621" s="66">
        <f>(E621-F757)^4</f>
        <v/>
      </c>
      <c r="I621" s="65" t="inlineStr"/>
    </row>
    <row r="622">
      <c r="A622" s="68" t="n">
        <v>610</v>
      </c>
      <c r="B622" s="68" t="n">
        <v>609</v>
      </c>
      <c r="C622" s="69" t="n">
        <v>4730.38</v>
      </c>
      <c r="D622" s="69" t="n">
        <v>4671.8538</v>
      </c>
      <c r="E622" s="70">
        <f>C622-D622</f>
        <v/>
      </c>
      <c r="F622" s="70">
        <f>(E622-F757)^2</f>
        <v/>
      </c>
      <c r="G622" s="69">
        <f>(E622-F757)^3</f>
        <v/>
      </c>
      <c r="H622" s="69">
        <f>(E622-F757)^4</f>
        <v/>
      </c>
      <c r="I622" s="68" t="inlineStr"/>
    </row>
    <row r="623">
      <c r="A623" s="65" t="n">
        <v>611</v>
      </c>
      <c r="B623" s="65" t="n">
        <v>610</v>
      </c>
      <c r="C623" s="66" t="n">
        <v>4732.68</v>
      </c>
      <c r="D623" s="66" t="n">
        <v>4672.05625</v>
      </c>
      <c r="E623" s="67">
        <f>C623-D623</f>
        <v/>
      </c>
      <c r="F623" s="67">
        <f>(E623-F757)^2</f>
        <v/>
      </c>
      <c r="G623" s="66">
        <f>(E623-F757)^3</f>
        <v/>
      </c>
      <c r="H623" s="66">
        <f>(E623-F757)^4</f>
        <v/>
      </c>
      <c r="I623" s="65" t="inlineStr"/>
    </row>
    <row r="624">
      <c r="A624" s="68" t="n">
        <v>612</v>
      </c>
      <c r="B624" s="68" t="n">
        <v>611</v>
      </c>
      <c r="C624" s="69" t="n">
        <v>4736.98</v>
      </c>
      <c r="D624" s="69" t="n">
        <v>4672.25869</v>
      </c>
      <c r="E624" s="70">
        <f>C624-D624</f>
        <v/>
      </c>
      <c r="F624" s="70">
        <f>(E624-F757)^2</f>
        <v/>
      </c>
      <c r="G624" s="69">
        <f>(E624-F757)^3</f>
        <v/>
      </c>
      <c r="H624" s="69">
        <f>(E624-F757)^4</f>
        <v/>
      </c>
      <c r="I624" s="68" t="inlineStr"/>
    </row>
    <row r="625">
      <c r="A625" s="65" t="n">
        <v>613</v>
      </c>
      <c r="B625" s="65" t="n">
        <v>612</v>
      </c>
      <c r="C625" s="66" t="n">
        <v>4742.8</v>
      </c>
      <c r="D625" s="66" t="n">
        <v>4672.46114</v>
      </c>
      <c r="E625" s="67">
        <f>C625-D625</f>
        <v/>
      </c>
      <c r="F625" s="67">
        <f>(E625-F757)^2</f>
        <v/>
      </c>
      <c r="G625" s="66">
        <f>(E625-F757)^3</f>
        <v/>
      </c>
      <c r="H625" s="66">
        <f>(E625-F757)^4</f>
        <v/>
      </c>
      <c r="I625" s="65" t="inlineStr"/>
    </row>
    <row r="626">
      <c r="A626" s="68" t="n">
        <v>614</v>
      </c>
      <c r="B626" s="68" t="n">
        <v>613</v>
      </c>
      <c r="C626" s="69" t="n">
        <v>4744.19</v>
      </c>
      <c r="D626" s="69" t="n">
        <v>4672.66358</v>
      </c>
      <c r="E626" s="70">
        <f>C626-D626</f>
        <v/>
      </c>
      <c r="F626" s="70">
        <f>(E626-F757)^2</f>
        <v/>
      </c>
      <c r="G626" s="69">
        <f>(E626-F757)^3</f>
        <v/>
      </c>
      <c r="H626" s="69">
        <f>(E626-F757)^4</f>
        <v/>
      </c>
      <c r="I626" s="68" t="inlineStr"/>
    </row>
    <row r="627">
      <c r="A627" s="65" t="n">
        <v>615</v>
      </c>
      <c r="B627" s="65" t="n">
        <v>614</v>
      </c>
      <c r="C627" s="66" t="n">
        <v>4738.16</v>
      </c>
      <c r="D627" s="66" t="n">
        <v>4672.86603</v>
      </c>
      <c r="E627" s="67">
        <f>C627-D627</f>
        <v/>
      </c>
      <c r="F627" s="67">
        <f>(E627-F757)^2</f>
        <v/>
      </c>
      <c r="G627" s="66">
        <f>(E627-F757)^3</f>
        <v/>
      </c>
      <c r="H627" s="66">
        <f>(E627-F757)^4</f>
        <v/>
      </c>
      <c r="I627" s="65" t="inlineStr"/>
    </row>
    <row r="628">
      <c r="A628" s="68" t="n">
        <v>616</v>
      </c>
      <c r="B628" s="68" t="n">
        <v>615</v>
      </c>
      <c r="C628" s="69" t="n">
        <v>4751.15</v>
      </c>
      <c r="D628" s="69" t="n">
        <v>4673.06847</v>
      </c>
      <c r="E628" s="70">
        <f>C628-D628</f>
        <v/>
      </c>
      <c r="F628" s="70">
        <f>(E628-F757)^2</f>
        <v/>
      </c>
      <c r="G628" s="69">
        <f>(E628-F757)^3</f>
        <v/>
      </c>
      <c r="H628" s="69">
        <f>(E628-F757)^4</f>
        <v/>
      </c>
      <c r="I628" s="68" t="inlineStr"/>
    </row>
    <row r="629">
      <c r="A629" s="65" t="n">
        <v>617</v>
      </c>
      <c r="B629" s="65" t="n">
        <v>616</v>
      </c>
      <c r="C629" s="66" t="n">
        <v>4749.99</v>
      </c>
      <c r="D629" s="66" t="n">
        <v>4673.27092</v>
      </c>
      <c r="E629" s="67">
        <f>C629-D629</f>
        <v/>
      </c>
      <c r="F629" s="67">
        <f>(E629-F757)^2</f>
        <v/>
      </c>
      <c r="G629" s="66">
        <f>(E629-F757)^3</f>
        <v/>
      </c>
      <c r="H629" s="66">
        <f>(E629-F757)^4</f>
        <v/>
      </c>
      <c r="I629" s="65" t="inlineStr"/>
    </row>
    <row r="630">
      <c r="A630" s="68" t="n">
        <v>618</v>
      </c>
      <c r="B630" s="68" t="n">
        <v>617</v>
      </c>
      <c r="C630" s="69" t="n">
        <v>4733.46</v>
      </c>
      <c r="D630" s="69" t="n">
        <v>4673.47337</v>
      </c>
      <c r="E630" s="70">
        <f>C630-D630</f>
        <v/>
      </c>
      <c r="F630" s="70">
        <f>(E630-F757)^2</f>
        <v/>
      </c>
      <c r="G630" s="69">
        <f>(E630-F757)^3</f>
        <v/>
      </c>
      <c r="H630" s="69">
        <f>(E630-F757)^4</f>
        <v/>
      </c>
      <c r="I630" s="68" t="inlineStr"/>
    </row>
    <row r="631">
      <c r="A631" s="65" t="n">
        <v>619</v>
      </c>
      <c r="B631" s="65" t="n">
        <v>618</v>
      </c>
      <c r="C631" s="66" t="n">
        <v>4745.53</v>
      </c>
      <c r="D631" s="66" t="n">
        <v>4673.67581</v>
      </c>
      <c r="E631" s="67">
        <f>C631-D631</f>
        <v/>
      </c>
      <c r="F631" s="67">
        <f>(E631-F757)^2</f>
        <v/>
      </c>
      <c r="G631" s="66">
        <f>(E631-F757)^3</f>
        <v/>
      </c>
      <c r="H631" s="66">
        <f>(E631-F757)^4</f>
        <v/>
      </c>
      <c r="I631" s="65" t="inlineStr"/>
    </row>
    <row r="632">
      <c r="A632" s="68" t="n">
        <v>620</v>
      </c>
      <c r="B632" s="68" t="n">
        <v>619</v>
      </c>
      <c r="C632" s="69" t="n">
        <v>4748.49</v>
      </c>
      <c r="D632" s="69" t="n">
        <v>4673.87826</v>
      </c>
      <c r="E632" s="70">
        <f>C632-D632</f>
        <v/>
      </c>
      <c r="F632" s="70">
        <f>(E632-F757)^2</f>
        <v/>
      </c>
      <c r="G632" s="69">
        <f>(E632-F757)^3</f>
        <v/>
      </c>
      <c r="H632" s="69">
        <f>(E632-F757)^4</f>
        <v/>
      </c>
      <c r="I632" s="68" t="inlineStr"/>
    </row>
    <row r="633">
      <c r="A633" s="65" t="n">
        <v>621</v>
      </c>
      <c r="B633" s="65" t="n">
        <v>620</v>
      </c>
      <c r="C633" s="66" t="n">
        <v>4746.18</v>
      </c>
      <c r="D633" s="66" t="n">
        <v>4674.0807</v>
      </c>
      <c r="E633" s="67">
        <f>C633-D633</f>
        <v/>
      </c>
      <c r="F633" s="67">
        <f>(E633-F757)^2</f>
        <v/>
      </c>
      <c r="G633" s="66">
        <f>(E633-F757)^3</f>
        <v/>
      </c>
      <c r="H633" s="66">
        <f>(E633-F757)^4</f>
        <v/>
      </c>
      <c r="I633" s="65" t="inlineStr"/>
    </row>
    <row r="634">
      <c r="A634" s="68" t="n">
        <v>622</v>
      </c>
      <c r="B634" s="68" t="n">
        <v>621</v>
      </c>
      <c r="C634" s="69" t="n">
        <v>4752.05</v>
      </c>
      <c r="D634" s="69" t="n">
        <v>4674.28315</v>
      </c>
      <c r="E634" s="70">
        <f>C634-D634</f>
        <v/>
      </c>
      <c r="F634" s="70">
        <f>(E634-F757)^2</f>
        <v/>
      </c>
      <c r="G634" s="69">
        <f>(E634-F757)^3</f>
        <v/>
      </c>
      <c r="H634" s="69">
        <f>(E634-F757)^4</f>
        <v/>
      </c>
      <c r="I634" s="68" t="inlineStr"/>
    </row>
    <row r="635">
      <c r="A635" s="65" t="n">
        <v>623</v>
      </c>
      <c r="B635" s="65" t="n">
        <v>622</v>
      </c>
      <c r="C635" s="66" t="n">
        <v>4756.66</v>
      </c>
      <c r="D635" s="66" t="n">
        <v>4674.48559</v>
      </c>
      <c r="E635" s="67">
        <f>C635-D635</f>
        <v/>
      </c>
      <c r="F635" s="67">
        <f>(E635-F757)^2</f>
        <v/>
      </c>
      <c r="G635" s="66">
        <f>(E635-F757)^3</f>
        <v/>
      </c>
      <c r="H635" s="66">
        <f>(E635-F757)^4</f>
        <v/>
      </c>
      <c r="I635" s="65" t="inlineStr"/>
    </row>
    <row r="636">
      <c r="A636" s="68" t="n">
        <v>624</v>
      </c>
      <c r="B636" s="68" t="n">
        <v>623</v>
      </c>
      <c r="C636" s="69" t="n">
        <v>4751.91</v>
      </c>
      <c r="D636" s="69" t="n">
        <v>4674.68804</v>
      </c>
      <c r="E636" s="70">
        <f>C636-D636</f>
        <v/>
      </c>
      <c r="F636" s="70">
        <f>(E636-F757)^2</f>
        <v/>
      </c>
      <c r="G636" s="69">
        <f>(E636-F757)^3</f>
        <v/>
      </c>
      <c r="H636" s="69">
        <f>(E636-F757)^4</f>
        <v/>
      </c>
      <c r="I636" s="68" t="inlineStr"/>
    </row>
    <row r="637">
      <c r="A637" s="65" t="n">
        <v>625</v>
      </c>
      <c r="B637" s="65" t="n">
        <v>624</v>
      </c>
      <c r="C637" s="66" t="n">
        <v>4762.74</v>
      </c>
      <c r="D637" s="66" t="n">
        <v>4674.89049</v>
      </c>
      <c r="E637" s="67">
        <f>C637-D637</f>
        <v/>
      </c>
      <c r="F637" s="67">
        <f>(E637-F757)^2</f>
        <v/>
      </c>
      <c r="G637" s="66">
        <f>(E637-F757)^3</f>
        <v/>
      </c>
      <c r="H637" s="66">
        <f>(E637-F757)^4</f>
        <v/>
      </c>
      <c r="I637" s="65" t="inlineStr"/>
    </row>
    <row r="638">
      <c r="A638" s="68" t="n">
        <v>626</v>
      </c>
      <c r="B638" s="68" t="n">
        <v>625</v>
      </c>
      <c r="C638" s="69" t="n">
        <v>4754.77</v>
      </c>
      <c r="D638" s="69" t="n">
        <v>4675.09293</v>
      </c>
      <c r="E638" s="70">
        <f>C638-D638</f>
        <v/>
      </c>
      <c r="F638" s="70">
        <f>(E638-F757)^2</f>
        <v/>
      </c>
      <c r="G638" s="69">
        <f>(E638-F757)^3</f>
        <v/>
      </c>
      <c r="H638" s="69">
        <f>(E638-F757)^4</f>
        <v/>
      </c>
      <c r="I638" s="68" t="inlineStr"/>
    </row>
    <row r="639">
      <c r="A639" s="65" t="n">
        <v>627</v>
      </c>
      <c r="B639" s="65" t="n">
        <v>626</v>
      </c>
      <c r="C639" s="66" t="n">
        <v>4740.18</v>
      </c>
      <c r="D639" s="66" t="n">
        <v>4675.29538</v>
      </c>
      <c r="E639" s="67">
        <f>C639-D639</f>
        <v/>
      </c>
      <c r="F639" s="67">
        <f>(E639-F757)^2</f>
        <v/>
      </c>
      <c r="G639" s="66">
        <f>(E639-F757)^3</f>
        <v/>
      </c>
      <c r="H639" s="66">
        <f>(E639-F757)^4</f>
        <v/>
      </c>
      <c r="I639" s="65" t="inlineStr"/>
    </row>
    <row r="640">
      <c r="A640" s="68" t="n">
        <v>628</v>
      </c>
      <c r="B640" s="68" t="n">
        <v>627</v>
      </c>
      <c r="C640" s="69" t="n">
        <v>4738.92</v>
      </c>
      <c r="D640" s="69" t="n">
        <v>4675.49782</v>
      </c>
      <c r="E640" s="70">
        <f>C640-D640</f>
        <v/>
      </c>
      <c r="F640" s="70">
        <f>(E640-F757)^2</f>
        <v/>
      </c>
      <c r="G640" s="69">
        <f>(E640-F757)^3</f>
        <v/>
      </c>
      <c r="H640" s="69">
        <f>(E640-F757)^4</f>
        <v/>
      </c>
      <c r="I640" s="68" t="inlineStr"/>
    </row>
    <row r="641">
      <c r="A641" s="65" t="n">
        <v>629</v>
      </c>
      <c r="B641" s="65" t="n">
        <v>628</v>
      </c>
      <c r="C641" s="66" t="n">
        <v>4729.17</v>
      </c>
      <c r="D641" s="66" t="n">
        <v>4675.70027</v>
      </c>
      <c r="E641" s="67">
        <f>C641-D641</f>
        <v/>
      </c>
      <c r="F641" s="67">
        <f>(E641-F757)^2</f>
        <v/>
      </c>
      <c r="G641" s="66">
        <f>(E641-F757)^3</f>
        <v/>
      </c>
      <c r="H641" s="66">
        <f>(E641-F757)^4</f>
        <v/>
      </c>
      <c r="I641" s="65" t="inlineStr"/>
    </row>
    <row r="642">
      <c r="A642" s="68" t="n">
        <v>630</v>
      </c>
      <c r="B642" s="68" t="n">
        <v>629</v>
      </c>
      <c r="C642" s="69" t="n">
        <v>4714.99</v>
      </c>
      <c r="D642" s="69" t="n">
        <v>4675.90271</v>
      </c>
      <c r="E642" s="70">
        <f>C642-D642</f>
        <v/>
      </c>
      <c r="F642" s="70">
        <f>(E642-F757)^2</f>
        <v/>
      </c>
      <c r="G642" s="69">
        <f>(E642-F757)^3</f>
        <v/>
      </c>
      <c r="H642" s="69">
        <f>(E642-F757)^4</f>
        <v/>
      </c>
      <c r="I642" s="68" t="inlineStr"/>
    </row>
    <row r="643">
      <c r="A643" s="65" t="n">
        <v>631</v>
      </c>
      <c r="B643" s="65" t="n">
        <v>630</v>
      </c>
      <c r="C643" s="66" t="n">
        <v>4719.84</v>
      </c>
      <c r="D643" s="66" t="n">
        <v>4676.10516</v>
      </c>
      <c r="E643" s="67">
        <f>C643-D643</f>
        <v/>
      </c>
      <c r="F643" s="67">
        <f>(E643-F757)^2</f>
        <v/>
      </c>
      <c r="G643" s="66">
        <f>(E643-F757)^3</f>
        <v/>
      </c>
      <c r="H643" s="66">
        <f>(E643-F757)^4</f>
        <v/>
      </c>
      <c r="I643" s="65" t="inlineStr"/>
    </row>
    <row r="644">
      <c r="A644" s="68" t="n">
        <v>632</v>
      </c>
      <c r="B644" s="68" t="n">
        <v>631</v>
      </c>
      <c r="C644" s="69" t="n">
        <v>4711.23</v>
      </c>
      <c r="D644" s="69" t="n">
        <v>4676.30761</v>
      </c>
      <c r="E644" s="70">
        <f>C644-D644</f>
        <v/>
      </c>
      <c r="F644" s="70">
        <f>(E644-F757)^2</f>
        <v/>
      </c>
      <c r="G644" s="69">
        <f>(E644-F757)^3</f>
        <v/>
      </c>
      <c r="H644" s="69">
        <f>(E644-F757)^4</f>
        <v/>
      </c>
      <c r="I644" s="68" t="inlineStr"/>
    </row>
    <row r="645">
      <c r="A645" s="65" t="n">
        <v>633</v>
      </c>
      <c r="B645" s="65" t="n">
        <v>632</v>
      </c>
      <c r="C645" s="66" t="n">
        <v>4715</v>
      </c>
      <c r="D645" s="66" t="n">
        <v>4676.51005</v>
      </c>
      <c r="E645" s="67">
        <f>C645-D645</f>
        <v/>
      </c>
      <c r="F645" s="67">
        <f>(E645-F757)^2</f>
        <v/>
      </c>
      <c r="G645" s="66">
        <f>(E645-F757)^3</f>
        <v/>
      </c>
      <c r="H645" s="66">
        <f>(E645-F757)^4</f>
        <v/>
      </c>
      <c r="I645" s="65" t="inlineStr"/>
    </row>
    <row r="646">
      <c r="A646" s="68" t="n">
        <v>634</v>
      </c>
      <c r="B646" s="68" t="n">
        <v>633</v>
      </c>
      <c r="C646" s="69" t="n">
        <v>4714.61</v>
      </c>
      <c r="D646" s="69" t="n">
        <v>4676.7125</v>
      </c>
      <c r="E646" s="70">
        <f>C646-D646</f>
        <v/>
      </c>
      <c r="F646" s="70">
        <f>(E646-F757)^2</f>
        <v/>
      </c>
      <c r="G646" s="69">
        <f>(E646-F757)^3</f>
        <v/>
      </c>
      <c r="H646" s="69">
        <f>(E646-F757)^4</f>
        <v/>
      </c>
      <c r="I646" s="68" t="inlineStr"/>
    </row>
    <row r="647">
      <c r="A647" s="65" t="n">
        <v>635</v>
      </c>
      <c r="B647" s="65" t="n">
        <v>634</v>
      </c>
      <c r="C647" s="66" t="n">
        <v>4699.29</v>
      </c>
      <c r="D647" s="66" t="n">
        <v>4676.91494</v>
      </c>
      <c r="E647" s="67">
        <f>C647-D647</f>
        <v/>
      </c>
      <c r="F647" s="67">
        <f>(E647-F757)^2</f>
        <v/>
      </c>
      <c r="G647" s="66">
        <f>(E647-F757)^3</f>
        <v/>
      </c>
      <c r="H647" s="66">
        <f>(E647-F757)^4</f>
        <v/>
      </c>
      <c r="I647" s="65" t="inlineStr"/>
    </row>
    <row r="648">
      <c r="A648" s="68" t="n">
        <v>636</v>
      </c>
      <c r="B648" s="68" t="n">
        <v>635</v>
      </c>
      <c r="C648" s="69" t="n">
        <v>4699.72</v>
      </c>
      <c r="D648" s="69" t="n">
        <v>4677.11739</v>
      </c>
      <c r="E648" s="70">
        <f>C648-D648</f>
        <v/>
      </c>
      <c r="F648" s="70">
        <f>(E648-F757)^2</f>
        <v/>
      </c>
      <c r="G648" s="69">
        <f>(E648-F757)^3</f>
        <v/>
      </c>
      <c r="H648" s="69">
        <f>(E648-F757)^4</f>
        <v/>
      </c>
      <c r="I648" s="68" t="inlineStr"/>
    </row>
    <row r="649">
      <c r="A649" s="65" t="n">
        <v>637</v>
      </c>
      <c r="B649" s="65" t="n">
        <v>636</v>
      </c>
      <c r="C649" s="66" t="n">
        <v>4711.45</v>
      </c>
      <c r="D649" s="66" t="n">
        <v>4677.31983</v>
      </c>
      <c r="E649" s="67">
        <f>C649-D649</f>
        <v/>
      </c>
      <c r="F649" s="67">
        <f>(E649-F757)^2</f>
        <v/>
      </c>
      <c r="G649" s="66">
        <f>(E649-F757)^3</f>
        <v/>
      </c>
      <c r="H649" s="66">
        <f>(E649-F757)^4</f>
        <v/>
      </c>
      <c r="I649" s="65" t="inlineStr"/>
    </row>
    <row r="650">
      <c r="A650" s="68" t="n">
        <v>638</v>
      </c>
      <c r="B650" s="68" t="n">
        <v>637</v>
      </c>
      <c r="C650" s="69" t="n">
        <v>4708.08</v>
      </c>
      <c r="D650" s="69" t="n">
        <v>4677.52228</v>
      </c>
      <c r="E650" s="70">
        <f>C650-D650</f>
        <v/>
      </c>
      <c r="F650" s="70">
        <f>(E650-F757)^2</f>
        <v/>
      </c>
      <c r="G650" s="69">
        <f>(E650-F757)^3</f>
        <v/>
      </c>
      <c r="H650" s="69">
        <f>(E650-F757)^4</f>
        <v/>
      </c>
      <c r="I650" s="68" t="inlineStr"/>
    </row>
    <row r="651">
      <c r="A651" s="65" t="n">
        <v>639</v>
      </c>
      <c r="B651" s="65" t="n">
        <v>638</v>
      </c>
      <c r="C651" s="66" t="n">
        <v>4712.9</v>
      </c>
      <c r="D651" s="66" t="n">
        <v>4677.72473</v>
      </c>
      <c r="E651" s="67">
        <f>C651-D651</f>
        <v/>
      </c>
      <c r="F651" s="67">
        <f>(E651-F757)^2</f>
        <v/>
      </c>
      <c r="G651" s="66">
        <f>(E651-F757)^3</f>
        <v/>
      </c>
      <c r="H651" s="66">
        <f>(E651-F757)^4</f>
        <v/>
      </c>
      <c r="I651" s="65" t="inlineStr"/>
    </row>
    <row r="652">
      <c r="A652" s="68" t="n">
        <v>640</v>
      </c>
      <c r="B652" s="68" t="n">
        <v>639</v>
      </c>
      <c r="C652" s="69" t="n">
        <v>4705.96</v>
      </c>
      <c r="D652" s="69" t="n">
        <v>4677.92717</v>
      </c>
      <c r="E652" s="70">
        <f>C652-D652</f>
        <v/>
      </c>
      <c r="F652" s="70">
        <f>(E652-F757)^2</f>
        <v/>
      </c>
      <c r="G652" s="69">
        <f>(E652-F757)^3</f>
        <v/>
      </c>
      <c r="H652" s="69">
        <f>(E652-F757)^4</f>
        <v/>
      </c>
      <c r="I652" s="68" t="inlineStr"/>
    </row>
    <row r="653">
      <c r="A653" s="65" t="n">
        <v>641</v>
      </c>
      <c r="B653" s="65" t="n">
        <v>640</v>
      </c>
      <c r="C653" s="66" t="n">
        <v>4709.55</v>
      </c>
      <c r="D653" s="66" t="n">
        <v>4678.12962</v>
      </c>
      <c r="E653" s="67">
        <f>C653-D653</f>
        <v/>
      </c>
      <c r="F653" s="67">
        <f>(E653-F757)^2</f>
        <v/>
      </c>
      <c r="G653" s="66">
        <f>(E653-F757)^3</f>
        <v/>
      </c>
      <c r="H653" s="66">
        <f>(E653-F757)^4</f>
        <v/>
      </c>
      <c r="I653" s="65" t="inlineStr"/>
    </row>
    <row r="654">
      <c r="A654" s="68" t="n">
        <v>642</v>
      </c>
      <c r="B654" s="68" t="n">
        <v>641</v>
      </c>
      <c r="C654" s="69" t="n">
        <v>4710.04</v>
      </c>
      <c r="D654" s="69" t="n">
        <v>4678.33206</v>
      </c>
      <c r="E654" s="70">
        <f>C654-D654</f>
        <v/>
      </c>
      <c r="F654" s="70">
        <f>(E654-F757)^2</f>
        <v/>
      </c>
      <c r="G654" s="69">
        <f>(E654-F757)^3</f>
        <v/>
      </c>
      <c r="H654" s="69">
        <f>(E654-F757)^4</f>
        <v/>
      </c>
      <c r="I654" s="68" t="inlineStr"/>
    </row>
    <row r="655">
      <c r="A655" s="65" t="n">
        <v>643</v>
      </c>
      <c r="B655" s="65" t="n">
        <v>642</v>
      </c>
      <c r="C655" s="66" t="n">
        <v>4705.05</v>
      </c>
      <c r="D655" s="66" t="n">
        <v>4678.53451</v>
      </c>
      <c r="E655" s="67">
        <f>C655-D655</f>
        <v/>
      </c>
      <c r="F655" s="67">
        <f>(E655-F757)^2</f>
        <v/>
      </c>
      <c r="G655" s="66">
        <f>(E655-F757)^3</f>
        <v/>
      </c>
      <c r="H655" s="66">
        <f>(E655-F757)^4</f>
        <v/>
      </c>
      <c r="I655" s="65" t="inlineStr"/>
    </row>
    <row r="656">
      <c r="A656" s="68" t="n">
        <v>644</v>
      </c>
      <c r="B656" s="68" t="n">
        <v>643</v>
      </c>
      <c r="C656" s="69" t="n">
        <v>4709.69</v>
      </c>
      <c r="D656" s="69" t="n">
        <v>4678.73695</v>
      </c>
      <c r="E656" s="70">
        <f>C656-D656</f>
        <v/>
      </c>
      <c r="F656" s="70">
        <f>(E656-F757)^2</f>
        <v/>
      </c>
      <c r="G656" s="69">
        <f>(E656-F757)^3</f>
        <v/>
      </c>
      <c r="H656" s="69">
        <f>(E656-F757)^4</f>
        <v/>
      </c>
      <c r="I656" s="68" t="inlineStr"/>
    </row>
    <row r="657">
      <c r="A657" s="65" t="n">
        <v>645</v>
      </c>
      <c r="B657" s="65" t="n">
        <v>644</v>
      </c>
      <c r="C657" s="66" t="n">
        <v>4702.9</v>
      </c>
      <c r="D657" s="66" t="n">
        <v>4678.9394</v>
      </c>
      <c r="E657" s="67">
        <f>C657-D657</f>
        <v/>
      </c>
      <c r="F657" s="67">
        <f>(E657-F757)^2</f>
        <v/>
      </c>
      <c r="G657" s="66">
        <f>(E657-F757)^3</f>
        <v/>
      </c>
      <c r="H657" s="66">
        <f>(E657-F757)^4</f>
        <v/>
      </c>
      <c r="I657" s="65" t="inlineStr"/>
    </row>
    <row r="658">
      <c r="A658" s="68" t="n">
        <v>646</v>
      </c>
      <c r="B658" s="68" t="n">
        <v>645</v>
      </c>
      <c r="C658" s="69" t="n">
        <v>4711.55</v>
      </c>
      <c r="D658" s="69" t="n">
        <v>4679.14184</v>
      </c>
      <c r="E658" s="70">
        <f>C658-D658</f>
        <v/>
      </c>
      <c r="F658" s="70">
        <f>(E658-F757)^2</f>
        <v/>
      </c>
      <c r="G658" s="69">
        <f>(E658-F757)^3</f>
        <v/>
      </c>
      <c r="H658" s="69">
        <f>(E658-F757)^4</f>
        <v/>
      </c>
      <c r="I658" s="68" t="inlineStr"/>
    </row>
    <row r="659">
      <c r="A659" s="65" t="n">
        <v>647</v>
      </c>
      <c r="B659" s="65" t="n">
        <v>646</v>
      </c>
      <c r="C659" s="66" t="n">
        <v>4712.98</v>
      </c>
      <c r="D659" s="66" t="n">
        <v>4679.34429</v>
      </c>
      <c r="E659" s="67">
        <f>C659-D659</f>
        <v/>
      </c>
      <c r="F659" s="67">
        <f>(E659-F757)^2</f>
        <v/>
      </c>
      <c r="G659" s="66">
        <f>(E659-F757)^3</f>
        <v/>
      </c>
      <c r="H659" s="66">
        <f>(E659-F757)^4</f>
        <v/>
      </c>
      <c r="I659" s="65" t="inlineStr"/>
    </row>
    <row r="660">
      <c r="A660" s="68" t="n">
        <v>648</v>
      </c>
      <c r="B660" s="68" t="n">
        <v>647</v>
      </c>
      <c r="C660" s="69" t="n">
        <v>4703.9</v>
      </c>
      <c r="D660" s="69" t="n">
        <v>4679.54674</v>
      </c>
      <c r="E660" s="70">
        <f>C660-D660</f>
        <v/>
      </c>
      <c r="F660" s="70">
        <f>(E660-F757)^2</f>
        <v/>
      </c>
      <c r="G660" s="69">
        <f>(E660-F757)^3</f>
        <v/>
      </c>
      <c r="H660" s="69">
        <f>(E660-F757)^4</f>
        <v/>
      </c>
      <c r="I660" s="68" t="inlineStr"/>
    </row>
    <row r="661">
      <c r="A661" s="65" t="n">
        <v>649</v>
      </c>
      <c r="B661" s="65" t="n">
        <v>648</v>
      </c>
      <c r="C661" s="66" t="n">
        <v>4687.24</v>
      </c>
      <c r="D661" s="66" t="n">
        <v>4679.74918</v>
      </c>
      <c r="E661" s="67">
        <f>C661-D661</f>
        <v/>
      </c>
      <c r="F661" s="67">
        <f>(E661-F757)^2</f>
        <v/>
      </c>
      <c r="G661" s="66">
        <f>(E661-F757)^3</f>
        <v/>
      </c>
      <c r="H661" s="66">
        <f>(E661-F757)^4</f>
        <v/>
      </c>
      <c r="I661" s="65" t="inlineStr"/>
    </row>
    <row r="662">
      <c r="A662" s="68" t="n">
        <v>650</v>
      </c>
      <c r="B662" s="68" t="n">
        <v>649</v>
      </c>
      <c r="C662" s="69" t="n">
        <v>4691.37</v>
      </c>
      <c r="D662" s="69" t="n">
        <v>4679.95163</v>
      </c>
      <c r="E662" s="70">
        <f>C662-D662</f>
        <v/>
      </c>
      <c r="F662" s="70">
        <f>(E662-F757)^2</f>
        <v/>
      </c>
      <c r="G662" s="69">
        <f>(E662-F757)^3</f>
        <v/>
      </c>
      <c r="H662" s="69">
        <f>(E662-F757)^4</f>
        <v/>
      </c>
      <c r="I662" s="68" t="inlineStr"/>
    </row>
    <row r="663">
      <c r="A663" s="65" t="n">
        <v>651</v>
      </c>
      <c r="B663" s="65" t="n">
        <v>650</v>
      </c>
      <c r="C663" s="66" t="n">
        <v>4693.91</v>
      </c>
      <c r="D663" s="66" t="n">
        <v>4680.15407</v>
      </c>
      <c r="E663" s="67">
        <f>C663-D663</f>
        <v/>
      </c>
      <c r="F663" s="67">
        <f>(E663-F757)^2</f>
        <v/>
      </c>
      <c r="G663" s="66">
        <f>(E663-F757)^3</f>
        <v/>
      </c>
      <c r="H663" s="66">
        <f>(E663-F757)^4</f>
        <v/>
      </c>
      <c r="I663" s="65" t="inlineStr"/>
    </row>
    <row r="664">
      <c r="A664" s="68" t="n">
        <v>652</v>
      </c>
      <c r="B664" s="68" t="n">
        <v>651</v>
      </c>
      <c r="C664" s="69" t="n">
        <v>4687.16</v>
      </c>
      <c r="D664" s="69" t="n">
        <v>4680.35652</v>
      </c>
      <c r="E664" s="70">
        <f>C664-D664</f>
        <v/>
      </c>
      <c r="F664" s="70">
        <f>(E664-F757)^2</f>
        <v/>
      </c>
      <c r="G664" s="69">
        <f>(E664-F757)^3</f>
        <v/>
      </c>
      <c r="H664" s="69">
        <f>(E664-F757)^4</f>
        <v/>
      </c>
      <c r="I664" s="68" t="inlineStr"/>
    </row>
    <row r="665">
      <c r="A665" s="65" t="n">
        <v>653</v>
      </c>
      <c r="B665" s="65" t="n">
        <v>652</v>
      </c>
      <c r="C665" s="66" t="n">
        <v>4686.04</v>
      </c>
      <c r="D665" s="66" t="n">
        <v>4680.55896</v>
      </c>
      <c r="E665" s="67">
        <f>C665-D665</f>
        <v/>
      </c>
      <c r="F665" s="67">
        <f>(E665-F757)^2</f>
        <v/>
      </c>
      <c r="G665" s="66">
        <f>(E665-F757)^3</f>
        <v/>
      </c>
      <c r="H665" s="66">
        <f>(E665-F757)^4</f>
        <v/>
      </c>
      <c r="I665" s="65" t="inlineStr"/>
    </row>
    <row r="666">
      <c r="A666" s="68" t="n">
        <v>654</v>
      </c>
      <c r="B666" s="68" t="n">
        <v>653</v>
      </c>
      <c r="C666" s="69" t="n">
        <v>4691.8</v>
      </c>
      <c r="D666" s="69" t="n">
        <v>4680.76141</v>
      </c>
      <c r="E666" s="70">
        <f>C666-D666</f>
        <v/>
      </c>
      <c r="F666" s="70">
        <f>(E666-F757)^2</f>
        <v/>
      </c>
      <c r="G666" s="69">
        <f>(E666-F757)^3</f>
        <v/>
      </c>
      <c r="H666" s="69">
        <f>(E666-F757)^4</f>
        <v/>
      </c>
      <c r="I666" s="68" t="inlineStr"/>
    </row>
    <row r="667">
      <c r="A667" s="65" t="n">
        <v>655</v>
      </c>
      <c r="B667" s="65" t="n">
        <v>654</v>
      </c>
      <c r="C667" s="66" t="n">
        <v>4696.57</v>
      </c>
      <c r="D667" s="66" t="n">
        <v>4680.96386</v>
      </c>
      <c r="E667" s="67">
        <f>C667-D667</f>
        <v/>
      </c>
      <c r="F667" s="67">
        <f>(E667-F757)^2</f>
        <v/>
      </c>
      <c r="G667" s="66">
        <f>(E667-F757)^3</f>
        <v/>
      </c>
      <c r="H667" s="66">
        <f>(E667-F757)^4</f>
        <v/>
      </c>
      <c r="I667" s="65" t="inlineStr"/>
    </row>
    <row r="668">
      <c r="A668" s="68" t="n">
        <v>656</v>
      </c>
      <c r="B668" s="68" t="n">
        <v>655</v>
      </c>
      <c r="C668" s="69" t="n">
        <v>4697.81</v>
      </c>
      <c r="D668" s="69" t="n">
        <v>4681.1663</v>
      </c>
      <c r="E668" s="70">
        <f>C668-D668</f>
        <v/>
      </c>
      <c r="F668" s="70">
        <f>(E668-F757)^2</f>
        <v/>
      </c>
      <c r="G668" s="69">
        <f>(E668-F757)^3</f>
        <v/>
      </c>
      <c r="H668" s="69">
        <f>(E668-F757)^4</f>
        <v/>
      </c>
      <c r="I668" s="68" t="inlineStr"/>
    </row>
    <row r="669">
      <c r="A669" s="65" t="n">
        <v>657</v>
      </c>
      <c r="B669" s="65" t="n">
        <v>656</v>
      </c>
      <c r="C669" s="66" t="n">
        <v>4704.54</v>
      </c>
      <c r="D669" s="66" t="n">
        <v>4681.36875</v>
      </c>
      <c r="E669" s="67">
        <f>C669-D669</f>
        <v/>
      </c>
      <c r="F669" s="67">
        <f>(E669-F757)^2</f>
        <v/>
      </c>
      <c r="G669" s="66">
        <f>(E669-F757)^3</f>
        <v/>
      </c>
      <c r="H669" s="66">
        <f>(E669-F757)^4</f>
        <v/>
      </c>
      <c r="I669" s="65" t="inlineStr"/>
    </row>
    <row r="670">
      <c r="A670" s="68" t="n">
        <v>658</v>
      </c>
      <c r="B670" s="68" t="n">
        <v>657</v>
      </c>
      <c r="C670" s="69" t="n">
        <v>4702.79</v>
      </c>
      <c r="D670" s="69" t="n">
        <v>4681.57119</v>
      </c>
      <c r="E670" s="70">
        <f>C670-D670</f>
        <v/>
      </c>
      <c r="F670" s="70">
        <f>(E670-F757)^2</f>
        <v/>
      </c>
      <c r="G670" s="69">
        <f>(E670-F757)^3</f>
        <v/>
      </c>
      <c r="H670" s="69">
        <f>(E670-F757)^4</f>
        <v/>
      </c>
      <c r="I670" s="68" t="inlineStr"/>
    </row>
    <row r="671">
      <c r="A671" s="65" t="n">
        <v>659</v>
      </c>
      <c r="B671" s="65" t="n">
        <v>658</v>
      </c>
      <c r="C671" s="66" t="n">
        <v>4697.35</v>
      </c>
      <c r="D671" s="66" t="n">
        <v>4681.77364</v>
      </c>
      <c r="E671" s="67">
        <f>C671-D671</f>
        <v/>
      </c>
      <c r="F671" s="67">
        <f>(E671-F757)^2</f>
        <v/>
      </c>
      <c r="G671" s="66">
        <f>(E671-F757)^3</f>
        <v/>
      </c>
      <c r="H671" s="66">
        <f>(E671-F757)^4</f>
        <v/>
      </c>
      <c r="I671" s="65" t="inlineStr"/>
    </row>
    <row r="672">
      <c r="A672" s="68" t="n">
        <v>660</v>
      </c>
      <c r="B672" s="68" t="n">
        <v>659</v>
      </c>
      <c r="C672" s="69" t="n">
        <v>4705.16</v>
      </c>
      <c r="D672" s="69" t="n">
        <v>4681.97608</v>
      </c>
      <c r="E672" s="70">
        <f>C672-D672</f>
        <v/>
      </c>
      <c r="F672" s="70">
        <f>(E672-F757)^2</f>
        <v/>
      </c>
      <c r="G672" s="69">
        <f>(E672-F757)^3</f>
        <v/>
      </c>
      <c r="H672" s="69">
        <f>(E672-F757)^4</f>
        <v/>
      </c>
      <c r="I672" s="68" t="inlineStr"/>
    </row>
    <row r="673">
      <c r="A673" s="65" t="n">
        <v>661</v>
      </c>
      <c r="B673" s="65" t="n">
        <v>660</v>
      </c>
      <c r="C673" s="66" t="n">
        <v>4701.44</v>
      </c>
      <c r="D673" s="66" t="n">
        <v>4682.17853</v>
      </c>
      <c r="E673" s="67">
        <f>C673-D673</f>
        <v/>
      </c>
      <c r="F673" s="67">
        <f>(E673-F757)^2</f>
        <v/>
      </c>
      <c r="G673" s="66">
        <f>(E673-F757)^3</f>
        <v/>
      </c>
      <c r="H673" s="66">
        <f>(E673-F757)^4</f>
        <v/>
      </c>
      <c r="I673" s="65" t="inlineStr"/>
    </row>
    <row r="674">
      <c r="A674" s="68" t="n">
        <v>662</v>
      </c>
      <c r="B674" s="68" t="n">
        <v>661</v>
      </c>
      <c r="C674" s="69" t="n">
        <v>4714.05</v>
      </c>
      <c r="D674" s="69" t="n">
        <v>4682.38098</v>
      </c>
      <c r="E674" s="70">
        <f>C674-D674</f>
        <v/>
      </c>
      <c r="F674" s="70">
        <f>(E674-F757)^2</f>
        <v/>
      </c>
      <c r="G674" s="69">
        <f>(E674-F757)^3</f>
        <v/>
      </c>
      <c r="H674" s="69">
        <f>(E674-F757)^4</f>
        <v/>
      </c>
      <c r="I674" s="68" t="inlineStr"/>
    </row>
    <row r="675">
      <c r="A675" s="65" t="n">
        <v>663</v>
      </c>
      <c r="B675" s="65" t="n">
        <v>662</v>
      </c>
      <c r="C675" s="66" t="n">
        <v>4712.82</v>
      </c>
      <c r="D675" s="66" t="n">
        <v>4682.58342</v>
      </c>
      <c r="E675" s="67">
        <f>C675-D675</f>
        <v/>
      </c>
      <c r="F675" s="67">
        <f>(E675-F757)^2</f>
        <v/>
      </c>
      <c r="G675" s="66">
        <f>(E675-F757)^3</f>
        <v/>
      </c>
      <c r="H675" s="66">
        <f>(E675-F757)^4</f>
        <v/>
      </c>
      <c r="I675" s="65" t="inlineStr"/>
    </row>
    <row r="676">
      <c r="A676" s="68" t="n">
        <v>664</v>
      </c>
      <c r="B676" s="68" t="n">
        <v>663</v>
      </c>
      <c r="C676" s="69" t="n">
        <v>4711.08</v>
      </c>
      <c r="D676" s="69" t="n">
        <v>4682.78587</v>
      </c>
      <c r="E676" s="70">
        <f>C676-D676</f>
        <v/>
      </c>
      <c r="F676" s="70">
        <f>(E676-F757)^2</f>
        <v/>
      </c>
      <c r="G676" s="69">
        <f>(E676-F757)^3</f>
        <v/>
      </c>
      <c r="H676" s="69">
        <f>(E676-F757)^4</f>
        <v/>
      </c>
      <c r="I676" s="68" t="inlineStr"/>
    </row>
    <row r="677">
      <c r="A677" s="65" t="n">
        <v>665</v>
      </c>
      <c r="B677" s="65" t="n">
        <v>664</v>
      </c>
      <c r="C677" s="66" t="n">
        <v>4722.98</v>
      </c>
      <c r="D677" s="66" t="n">
        <v>4682.98831</v>
      </c>
      <c r="E677" s="67">
        <f>C677-D677</f>
        <v/>
      </c>
      <c r="F677" s="67">
        <f>(E677-F757)^2</f>
        <v/>
      </c>
      <c r="G677" s="66">
        <f>(E677-F757)^3</f>
        <v/>
      </c>
      <c r="H677" s="66">
        <f>(E677-F757)^4</f>
        <v/>
      </c>
      <c r="I677" s="65" t="inlineStr"/>
    </row>
    <row r="678">
      <c r="A678" s="68" t="n">
        <v>666</v>
      </c>
      <c r="B678" s="68" t="n">
        <v>665</v>
      </c>
      <c r="C678" s="69" t="n">
        <v>4723.99</v>
      </c>
      <c r="D678" s="69" t="n">
        <v>4683.19076</v>
      </c>
      <c r="E678" s="70">
        <f>C678-D678</f>
        <v/>
      </c>
      <c r="F678" s="70">
        <f>(E678-F757)^2</f>
        <v/>
      </c>
      <c r="G678" s="69">
        <f>(E678-F757)^3</f>
        <v/>
      </c>
      <c r="H678" s="69">
        <f>(E678-F757)^4</f>
        <v/>
      </c>
      <c r="I678" s="68" t="inlineStr"/>
    </row>
    <row r="679">
      <c r="A679" s="65" t="n">
        <v>667</v>
      </c>
      <c r="B679" s="65" t="n">
        <v>666</v>
      </c>
      <c r="C679" s="66" t="n">
        <v>4721.39</v>
      </c>
      <c r="D679" s="66" t="n">
        <v>4683.3932</v>
      </c>
      <c r="E679" s="67">
        <f>C679-D679</f>
        <v/>
      </c>
      <c r="F679" s="67">
        <f>(E679-F757)^2</f>
        <v/>
      </c>
      <c r="G679" s="66">
        <f>(E679-F757)^3</f>
        <v/>
      </c>
      <c r="H679" s="66">
        <f>(E679-F757)^4</f>
        <v/>
      </c>
      <c r="I679" s="65" t="inlineStr"/>
    </row>
    <row r="680">
      <c r="A680" s="68" t="n">
        <v>668</v>
      </c>
      <c r="B680" s="68" t="n">
        <v>667</v>
      </c>
      <c r="C680" s="69" t="n">
        <v>4710.27</v>
      </c>
      <c r="D680" s="69" t="n">
        <v>4683.59565</v>
      </c>
      <c r="E680" s="70">
        <f>C680-D680</f>
        <v/>
      </c>
      <c r="F680" s="70">
        <f>(E680-F757)^2</f>
        <v/>
      </c>
      <c r="G680" s="69">
        <f>(E680-F757)^3</f>
        <v/>
      </c>
      <c r="H680" s="69">
        <f>(E680-F757)^4</f>
        <v/>
      </c>
      <c r="I680" s="68" t="inlineStr"/>
    </row>
    <row r="681">
      <c r="A681" s="65" t="n">
        <v>669</v>
      </c>
      <c r="B681" s="65" t="n">
        <v>668</v>
      </c>
      <c r="C681" s="66" t="n">
        <v>4713.68</v>
      </c>
      <c r="D681" s="66" t="n">
        <v>4683.7981</v>
      </c>
      <c r="E681" s="67">
        <f>C681-D681</f>
        <v/>
      </c>
      <c r="F681" s="67">
        <f>(E681-F757)^2</f>
        <v/>
      </c>
      <c r="G681" s="66">
        <f>(E681-F757)^3</f>
        <v/>
      </c>
      <c r="H681" s="66">
        <f>(E681-F757)^4</f>
        <v/>
      </c>
      <c r="I681" s="65" t="inlineStr"/>
    </row>
    <row r="682">
      <c r="A682" s="68" t="n">
        <v>670</v>
      </c>
      <c r="B682" s="68" t="n">
        <v>669</v>
      </c>
      <c r="C682" s="69" t="n">
        <v>4720.15</v>
      </c>
      <c r="D682" s="69" t="n">
        <v>4684.00054</v>
      </c>
      <c r="E682" s="70">
        <f>C682-D682</f>
        <v/>
      </c>
      <c r="F682" s="70">
        <f>(E682-F757)^2</f>
        <v/>
      </c>
      <c r="G682" s="69">
        <f>(E682-F757)^3</f>
        <v/>
      </c>
      <c r="H682" s="69">
        <f>(E682-F757)^4</f>
        <v/>
      </c>
      <c r="I682" s="68" t="inlineStr"/>
    </row>
    <row r="683">
      <c r="A683" s="65" t="n">
        <v>671</v>
      </c>
      <c r="B683" s="65" t="n">
        <v>670</v>
      </c>
      <c r="C683" s="66" t="n">
        <v>4720.44</v>
      </c>
      <c r="D683" s="66" t="n">
        <v>4684.20299</v>
      </c>
      <c r="E683" s="67">
        <f>C683-D683</f>
        <v/>
      </c>
      <c r="F683" s="67">
        <f>(E683-F757)^2</f>
        <v/>
      </c>
      <c r="G683" s="66">
        <f>(E683-F757)^3</f>
        <v/>
      </c>
      <c r="H683" s="66">
        <f>(E683-F757)^4</f>
        <v/>
      </c>
      <c r="I683" s="65" t="inlineStr"/>
    </row>
    <row r="684">
      <c r="A684" s="68" t="n">
        <v>672</v>
      </c>
      <c r="B684" s="68" t="n">
        <v>671</v>
      </c>
      <c r="C684" s="69" t="n">
        <v>4724.99</v>
      </c>
      <c r="D684" s="69" t="n">
        <v>4684.40543</v>
      </c>
      <c r="E684" s="70">
        <f>C684-D684</f>
        <v/>
      </c>
      <c r="F684" s="70">
        <f>(E684-F757)^2</f>
        <v/>
      </c>
      <c r="G684" s="69">
        <f>(E684-F757)^3</f>
        <v/>
      </c>
      <c r="H684" s="69">
        <f>(E684-F757)^4</f>
        <v/>
      </c>
      <c r="I684" s="68" t="inlineStr"/>
    </row>
    <row r="685">
      <c r="A685" s="65" t="n">
        <v>673</v>
      </c>
      <c r="B685" s="65" t="n">
        <v>672</v>
      </c>
      <c r="C685" s="66" t="n">
        <v>4719.62</v>
      </c>
      <c r="D685" s="66" t="n">
        <v>4684.60788</v>
      </c>
      <c r="E685" s="67">
        <f>C685-D685</f>
        <v/>
      </c>
      <c r="F685" s="67">
        <f>(E685-F757)^2</f>
        <v/>
      </c>
      <c r="G685" s="66">
        <f>(E685-F757)^3</f>
        <v/>
      </c>
      <c r="H685" s="66">
        <f>(E685-F757)^4</f>
        <v/>
      </c>
      <c r="I685" s="65" t="inlineStr"/>
    </row>
    <row r="686">
      <c r="A686" s="68" t="n">
        <v>674</v>
      </c>
      <c r="B686" s="68" t="n">
        <v>673</v>
      </c>
      <c r="C686" s="69" t="n">
        <v>4715.08</v>
      </c>
      <c r="D686" s="69" t="n">
        <v>4684.81032</v>
      </c>
      <c r="E686" s="70">
        <f>C686-D686</f>
        <v/>
      </c>
      <c r="F686" s="70">
        <f>(E686-F757)^2</f>
        <v/>
      </c>
      <c r="G686" s="69">
        <f>(E686-F757)^3</f>
        <v/>
      </c>
      <c r="H686" s="69">
        <f>(E686-F757)^4</f>
        <v/>
      </c>
      <c r="I686" s="68" t="inlineStr"/>
    </row>
    <row r="687">
      <c r="A687" s="65" t="n">
        <v>675</v>
      </c>
      <c r="B687" s="65" t="n">
        <v>674</v>
      </c>
      <c r="C687" s="66" t="n">
        <v>4717.4</v>
      </c>
      <c r="D687" s="66" t="n">
        <v>4685.01277</v>
      </c>
      <c r="E687" s="67">
        <f>C687-D687</f>
        <v/>
      </c>
      <c r="F687" s="67">
        <f>(E687-F757)^2</f>
        <v/>
      </c>
      <c r="G687" s="66">
        <f>(E687-F757)^3</f>
        <v/>
      </c>
      <c r="H687" s="66">
        <f>(E687-F757)^4</f>
        <v/>
      </c>
      <c r="I687" s="65" t="inlineStr"/>
    </row>
    <row r="688">
      <c r="A688" s="68" t="n">
        <v>676</v>
      </c>
      <c r="B688" s="68" t="n">
        <v>675</v>
      </c>
      <c r="C688" s="69" t="n">
        <v>4712.14</v>
      </c>
      <c r="D688" s="69" t="n">
        <v>4685.21522</v>
      </c>
      <c r="E688" s="70">
        <f>C688-D688</f>
        <v/>
      </c>
      <c r="F688" s="70">
        <f>(E688-F757)^2</f>
        <v/>
      </c>
      <c r="G688" s="69">
        <f>(E688-F757)^3</f>
        <v/>
      </c>
      <c r="H688" s="69">
        <f>(E688-F757)^4</f>
        <v/>
      </c>
      <c r="I688" s="68" t="inlineStr"/>
    </row>
    <row r="689">
      <c r="A689" s="65" t="n">
        <v>677</v>
      </c>
      <c r="B689" s="65" t="n">
        <v>676</v>
      </c>
      <c r="C689" s="66" t="n">
        <v>4711.09</v>
      </c>
      <c r="D689" s="66" t="n">
        <v>4685.41766</v>
      </c>
      <c r="E689" s="67">
        <f>C689-D689</f>
        <v/>
      </c>
      <c r="F689" s="67">
        <f>(E689-F757)^2</f>
        <v/>
      </c>
      <c r="G689" s="66">
        <f>(E689-F757)^3</f>
        <v/>
      </c>
      <c r="H689" s="66">
        <f>(E689-F757)^4</f>
        <v/>
      </c>
      <c r="I689" s="65" t="inlineStr"/>
    </row>
    <row r="690">
      <c r="A690" s="68" t="n">
        <v>678</v>
      </c>
      <c r="B690" s="68" t="n">
        <v>677</v>
      </c>
      <c r="C690" s="69" t="n">
        <v>4712.09</v>
      </c>
      <c r="D690" s="69" t="n">
        <v>4685.62011</v>
      </c>
      <c r="E690" s="70">
        <f>C690-D690</f>
        <v/>
      </c>
      <c r="F690" s="70">
        <f>(E690-F757)^2</f>
        <v/>
      </c>
      <c r="G690" s="69">
        <f>(E690-F757)^3</f>
        <v/>
      </c>
      <c r="H690" s="69">
        <f>(E690-F757)^4</f>
        <v/>
      </c>
      <c r="I690" s="68" t="inlineStr"/>
    </row>
    <row r="691">
      <c r="A691" s="65" t="n">
        <v>679</v>
      </c>
      <c r="B691" s="65" t="n">
        <v>678</v>
      </c>
      <c r="C691" s="66" t="n">
        <v>4719.37</v>
      </c>
      <c r="D691" s="66" t="n">
        <v>4685.82255</v>
      </c>
      <c r="E691" s="67">
        <f>C691-D691</f>
        <v/>
      </c>
      <c r="F691" s="67">
        <f>(E691-F757)^2</f>
        <v/>
      </c>
      <c r="G691" s="66">
        <f>(E691-F757)^3</f>
        <v/>
      </c>
      <c r="H691" s="66">
        <f>(E691-F757)^4</f>
        <v/>
      </c>
      <c r="I691" s="65" t="inlineStr"/>
    </row>
    <row r="692">
      <c r="A692" s="68" t="n">
        <v>680</v>
      </c>
      <c r="B692" s="68" t="n">
        <v>679</v>
      </c>
      <c r="C692" s="69" t="n">
        <v>4724.62</v>
      </c>
      <c r="D692" s="69" t="n">
        <v>4686.025</v>
      </c>
      <c r="E692" s="70">
        <f>C692-D692</f>
        <v/>
      </c>
      <c r="F692" s="70">
        <f>(E692-F757)^2</f>
        <v/>
      </c>
      <c r="G692" s="69">
        <f>(E692-F757)^3</f>
        <v/>
      </c>
      <c r="H692" s="69">
        <f>(E692-F757)^4</f>
        <v/>
      </c>
      <c r="I692" s="68" t="inlineStr"/>
    </row>
    <row r="693">
      <c r="A693" s="65" t="n">
        <v>681</v>
      </c>
      <c r="B693" s="65" t="n">
        <v>680</v>
      </c>
      <c r="C693" s="66" t="n">
        <v>4727.43</v>
      </c>
      <c r="D693" s="66" t="n">
        <v>4686.22744</v>
      </c>
      <c r="E693" s="67">
        <f>C693-D693</f>
        <v/>
      </c>
      <c r="F693" s="67">
        <f>(E693-F757)^2</f>
        <v/>
      </c>
      <c r="G693" s="66">
        <f>(E693-F757)^3</f>
        <v/>
      </c>
      <c r="H693" s="66">
        <f>(E693-F757)^4</f>
        <v/>
      </c>
      <c r="I693" s="65" t="inlineStr"/>
    </row>
    <row r="694">
      <c r="A694" s="68" t="n">
        <v>682</v>
      </c>
      <c r="B694" s="68" t="n">
        <v>681</v>
      </c>
      <c r="C694" s="69" t="n">
        <v>4723.03</v>
      </c>
      <c r="D694" s="69" t="n">
        <v>4686.42989</v>
      </c>
      <c r="E694" s="70">
        <f>C694-D694</f>
        <v/>
      </c>
      <c r="F694" s="70">
        <f>(E694-F757)^2</f>
        <v/>
      </c>
      <c r="G694" s="69">
        <f>(E694-F757)^3</f>
        <v/>
      </c>
      <c r="H694" s="69">
        <f>(E694-F757)^4</f>
        <v/>
      </c>
      <c r="I694" s="68" t="inlineStr"/>
    </row>
    <row r="695">
      <c r="A695" s="65" t="n">
        <v>683</v>
      </c>
      <c r="B695" s="65" t="n">
        <v>682</v>
      </c>
      <c r="C695" s="66" t="n">
        <v>4733.47</v>
      </c>
      <c r="D695" s="66" t="n">
        <v>4686.63234</v>
      </c>
      <c r="E695" s="67">
        <f>C695-D695</f>
        <v/>
      </c>
      <c r="F695" s="67">
        <f>(E695-F757)^2</f>
        <v/>
      </c>
      <c r="G695" s="66">
        <f>(E695-F757)^3</f>
        <v/>
      </c>
      <c r="H695" s="66">
        <f>(E695-F757)^4</f>
        <v/>
      </c>
      <c r="I695" s="65" t="inlineStr"/>
    </row>
    <row r="696">
      <c r="A696" s="68" t="n">
        <v>684</v>
      </c>
      <c r="B696" s="68" t="n">
        <v>683</v>
      </c>
      <c r="C696" s="69" t="n">
        <v>4728.52</v>
      </c>
      <c r="D696" s="69" t="n">
        <v>4686.83478</v>
      </c>
      <c r="E696" s="70">
        <f>C696-D696</f>
        <v/>
      </c>
      <c r="F696" s="70">
        <f>(E696-F757)^2</f>
        <v/>
      </c>
      <c r="G696" s="69">
        <f>(E696-F757)^3</f>
        <v/>
      </c>
      <c r="H696" s="69">
        <f>(E696-F757)^4</f>
        <v/>
      </c>
      <c r="I696" s="68" t="inlineStr"/>
    </row>
    <row r="697">
      <c r="A697" s="65" t="n">
        <v>685</v>
      </c>
      <c r="B697" s="65" t="n">
        <v>684</v>
      </c>
      <c r="C697" s="66" t="n">
        <v>4725.67</v>
      </c>
      <c r="D697" s="66" t="n">
        <v>4687.03723</v>
      </c>
      <c r="E697" s="67">
        <f>C697-D697</f>
        <v/>
      </c>
      <c r="F697" s="67">
        <f>(E697-F757)^2</f>
        <v/>
      </c>
      <c r="G697" s="66">
        <f>(E697-F757)^3</f>
        <v/>
      </c>
      <c r="H697" s="66">
        <f>(E697-F757)^4</f>
        <v/>
      </c>
      <c r="I697" s="65" t="inlineStr"/>
    </row>
    <row r="698">
      <c r="A698" s="68" t="n">
        <v>686</v>
      </c>
      <c r="B698" s="68" t="n">
        <v>685</v>
      </c>
      <c r="C698" s="69" t="n">
        <v>4715.31</v>
      </c>
      <c r="D698" s="69" t="n">
        <v>4687.23967</v>
      </c>
      <c r="E698" s="70">
        <f>C698-D698</f>
        <v/>
      </c>
      <c r="F698" s="70">
        <f>(E698-F757)^2</f>
        <v/>
      </c>
      <c r="G698" s="69">
        <f>(E698-F757)^3</f>
        <v/>
      </c>
      <c r="H698" s="69">
        <f>(E698-F757)^4</f>
        <v/>
      </c>
      <c r="I698" s="68" t="inlineStr"/>
    </row>
    <row r="699">
      <c r="A699" s="65" t="n">
        <v>687</v>
      </c>
      <c r="B699" s="65" t="n">
        <v>686</v>
      </c>
      <c r="C699" s="66" t="n">
        <v>4706.67</v>
      </c>
      <c r="D699" s="66" t="n">
        <v>4687.44212</v>
      </c>
      <c r="E699" s="67">
        <f>C699-D699</f>
        <v/>
      </c>
      <c r="F699" s="67">
        <f>(E699-F757)^2</f>
        <v/>
      </c>
      <c r="G699" s="66">
        <f>(E699-F757)^3</f>
        <v/>
      </c>
      <c r="H699" s="66">
        <f>(E699-F757)^4</f>
        <v/>
      </c>
      <c r="I699" s="65" t="inlineStr"/>
    </row>
    <row r="700">
      <c r="A700" s="68" t="n">
        <v>688</v>
      </c>
      <c r="B700" s="68" t="n">
        <v>687</v>
      </c>
      <c r="C700" s="69" t="n">
        <v>4708.14</v>
      </c>
      <c r="D700" s="69" t="n">
        <v>4687.64456</v>
      </c>
      <c r="E700" s="70">
        <f>C700-D700</f>
        <v/>
      </c>
      <c r="F700" s="70">
        <f>(E700-F757)^2</f>
        <v/>
      </c>
      <c r="G700" s="69">
        <f>(E700-F757)^3</f>
        <v/>
      </c>
      <c r="H700" s="69">
        <f>(E700-F757)^4</f>
        <v/>
      </c>
      <c r="I700" s="68" t="inlineStr"/>
    </row>
    <row r="701">
      <c r="A701" s="65" t="n">
        <v>689</v>
      </c>
      <c r="B701" s="65" t="n">
        <v>688</v>
      </c>
      <c r="C701" s="66" t="n">
        <v>4707.87</v>
      </c>
      <c r="D701" s="66" t="n">
        <v>4687.84701</v>
      </c>
      <c r="E701" s="67">
        <f>C701-D701</f>
        <v/>
      </c>
      <c r="F701" s="67">
        <f>(E701-F757)^2</f>
        <v/>
      </c>
      <c r="G701" s="66">
        <f>(E701-F757)^3</f>
        <v/>
      </c>
      <c r="H701" s="66">
        <f>(E701-F757)^4</f>
        <v/>
      </c>
      <c r="I701" s="65" t="inlineStr"/>
    </row>
    <row r="702">
      <c r="A702" s="68" t="n">
        <v>690</v>
      </c>
      <c r="B702" s="68" t="n">
        <v>689</v>
      </c>
      <c r="C702" s="69" t="n">
        <v>4711.45</v>
      </c>
      <c r="D702" s="69" t="n">
        <v>4688.04946</v>
      </c>
      <c r="E702" s="70">
        <f>C702-D702</f>
        <v/>
      </c>
      <c r="F702" s="70">
        <f>(E702-F757)^2</f>
        <v/>
      </c>
      <c r="G702" s="69">
        <f>(E702-F757)^3</f>
        <v/>
      </c>
      <c r="H702" s="69">
        <f>(E702-F757)^4</f>
        <v/>
      </c>
      <c r="I702" s="68" t="inlineStr"/>
    </row>
    <row r="703">
      <c r="A703" s="65" t="n">
        <v>691</v>
      </c>
      <c r="B703" s="65" t="n">
        <v>690</v>
      </c>
      <c r="C703" s="66" t="n">
        <v>4716.82</v>
      </c>
      <c r="D703" s="66" t="n">
        <v>4688.2519</v>
      </c>
      <c r="E703" s="67">
        <f>C703-D703</f>
        <v/>
      </c>
      <c r="F703" s="67">
        <f>(E703-F757)^2</f>
        <v/>
      </c>
      <c r="G703" s="66">
        <f>(E703-F757)^3</f>
        <v/>
      </c>
      <c r="H703" s="66">
        <f>(E703-F757)^4</f>
        <v/>
      </c>
      <c r="I703" s="65" t="inlineStr"/>
    </row>
    <row r="704">
      <c r="A704" s="68" t="n">
        <v>692</v>
      </c>
      <c r="B704" s="68" t="n">
        <v>691</v>
      </c>
      <c r="C704" s="69" t="n">
        <v>4716.85</v>
      </c>
      <c r="D704" s="69" t="n">
        <v>4688.45435</v>
      </c>
      <c r="E704" s="70">
        <f>C704-D704</f>
        <v/>
      </c>
      <c r="F704" s="70">
        <f>(E704-F757)^2</f>
        <v/>
      </c>
      <c r="G704" s="69">
        <f>(E704-F757)^3</f>
        <v/>
      </c>
      <c r="H704" s="69">
        <f>(E704-F757)^4</f>
        <v/>
      </c>
      <c r="I704" s="68" t="inlineStr"/>
    </row>
    <row r="705">
      <c r="A705" s="65" t="n">
        <v>693</v>
      </c>
      <c r="B705" s="65" t="n">
        <v>692</v>
      </c>
      <c r="C705" s="66" t="n">
        <v>4715.7</v>
      </c>
      <c r="D705" s="66" t="n">
        <v>4688.65679</v>
      </c>
      <c r="E705" s="67">
        <f>C705-D705</f>
        <v/>
      </c>
      <c r="F705" s="67">
        <f>(E705-F757)^2</f>
        <v/>
      </c>
      <c r="G705" s="66">
        <f>(E705-F757)^3</f>
        <v/>
      </c>
      <c r="H705" s="66">
        <f>(E705-F757)^4</f>
        <v/>
      </c>
      <c r="I705" s="65" t="inlineStr"/>
    </row>
    <row r="706">
      <c r="A706" s="68" t="n">
        <v>694</v>
      </c>
      <c r="B706" s="68" t="n">
        <v>693</v>
      </c>
      <c r="C706" s="69" t="n">
        <v>4718.38</v>
      </c>
      <c r="D706" s="69" t="n">
        <v>4688.85924</v>
      </c>
      <c r="E706" s="70">
        <f>C706-D706</f>
        <v/>
      </c>
      <c r="F706" s="70">
        <f>(E706-F757)^2</f>
        <v/>
      </c>
      <c r="G706" s="69">
        <f>(E706-F757)^3</f>
        <v/>
      </c>
      <c r="H706" s="69">
        <f>(E706-F757)^4</f>
        <v/>
      </c>
      <c r="I706" s="68" t="inlineStr"/>
    </row>
    <row r="707">
      <c r="A707" s="65" t="n">
        <v>695</v>
      </c>
      <c r="B707" s="65" t="n">
        <v>694</v>
      </c>
      <c r="C707" s="66" t="n">
        <v>4717.81</v>
      </c>
      <c r="D707" s="66" t="n">
        <v>4689.06168</v>
      </c>
      <c r="E707" s="67">
        <f>C707-D707</f>
        <v/>
      </c>
      <c r="F707" s="67">
        <f>(E707-F757)^2</f>
        <v/>
      </c>
      <c r="G707" s="66">
        <f>(E707-F757)^3</f>
        <v/>
      </c>
      <c r="H707" s="66">
        <f>(E707-F757)^4</f>
        <v/>
      </c>
      <c r="I707" s="65" t="inlineStr"/>
    </row>
    <row r="708">
      <c r="A708" s="68" t="n">
        <v>696</v>
      </c>
      <c r="B708" s="68" t="n">
        <v>695</v>
      </c>
      <c r="C708" s="69" t="n">
        <v>4713.35</v>
      </c>
      <c r="D708" s="69" t="n">
        <v>4689.26413</v>
      </c>
      <c r="E708" s="70">
        <f>C708-D708</f>
        <v/>
      </c>
      <c r="F708" s="70">
        <f>(E708-F757)^2</f>
        <v/>
      </c>
      <c r="G708" s="69">
        <f>(E708-F757)^3</f>
        <v/>
      </c>
      <c r="H708" s="69">
        <f>(E708-F757)^4</f>
        <v/>
      </c>
      <c r="I708" s="68" t="inlineStr"/>
    </row>
    <row r="709">
      <c r="A709" s="65" t="n">
        <v>697</v>
      </c>
      <c r="B709" s="65" t="n">
        <v>696</v>
      </c>
      <c r="C709" s="66" t="n">
        <v>4711.79</v>
      </c>
      <c r="D709" s="66" t="n">
        <v>4689.46658</v>
      </c>
      <c r="E709" s="67">
        <f>C709-D709</f>
        <v/>
      </c>
      <c r="F709" s="67">
        <f>(E709-F757)^2</f>
        <v/>
      </c>
      <c r="G709" s="66">
        <f>(E709-F757)^3</f>
        <v/>
      </c>
      <c r="H709" s="66">
        <f>(E709-F757)^4</f>
        <v/>
      </c>
      <c r="I709" s="65" t="inlineStr"/>
    </row>
    <row r="710">
      <c r="A710" s="68" t="n">
        <v>698</v>
      </c>
      <c r="B710" s="68" t="n">
        <v>697</v>
      </c>
      <c r="C710" s="69" t="n">
        <v>4718.94</v>
      </c>
      <c r="D710" s="69" t="n">
        <v>4689.66902</v>
      </c>
      <c r="E710" s="70">
        <f>C710-D710</f>
        <v/>
      </c>
      <c r="F710" s="70">
        <f>(E710-F757)^2</f>
        <v/>
      </c>
      <c r="G710" s="69">
        <f>(E710-F757)^3</f>
        <v/>
      </c>
      <c r="H710" s="69">
        <f>(E710-F757)^4</f>
        <v/>
      </c>
      <c r="I710" s="68" t="inlineStr"/>
    </row>
    <row r="711">
      <c r="A711" s="65" t="n">
        <v>699</v>
      </c>
      <c r="B711" s="65" t="n">
        <v>698</v>
      </c>
      <c r="C711" s="66" t="n">
        <v>4720.38</v>
      </c>
      <c r="D711" s="66" t="n">
        <v>4689.87147</v>
      </c>
      <c r="E711" s="67">
        <f>C711-D711</f>
        <v/>
      </c>
      <c r="F711" s="67">
        <f>(E711-F757)^2</f>
        <v/>
      </c>
      <c r="G711" s="66">
        <f>(E711-F757)^3</f>
        <v/>
      </c>
      <c r="H711" s="66">
        <f>(E711-F757)^4</f>
        <v/>
      </c>
      <c r="I711" s="65" t="inlineStr"/>
    </row>
    <row r="712">
      <c r="A712" s="68" t="n">
        <v>700</v>
      </c>
      <c r="B712" s="68" t="n">
        <v>699</v>
      </c>
      <c r="C712" s="69" t="n">
        <v>4724.48</v>
      </c>
      <c r="D712" s="69" t="n">
        <v>4690.07391</v>
      </c>
      <c r="E712" s="70">
        <f>C712-D712</f>
        <v/>
      </c>
      <c r="F712" s="70">
        <f>(E712-F757)^2</f>
        <v/>
      </c>
      <c r="G712" s="69">
        <f>(E712-F757)^3</f>
        <v/>
      </c>
      <c r="H712" s="69">
        <f>(E712-F757)^4</f>
        <v/>
      </c>
      <c r="I712" s="68" t="inlineStr"/>
    </row>
    <row r="713">
      <c r="A713" s="65" t="n">
        <v>701</v>
      </c>
      <c r="B713" s="65" t="n">
        <v>700</v>
      </c>
      <c r="C713" s="66" t="n">
        <v>4719.94</v>
      </c>
      <c r="D713" s="66" t="n">
        <v>4690.27636</v>
      </c>
      <c r="E713" s="67">
        <f>C713-D713</f>
        <v/>
      </c>
      <c r="F713" s="67">
        <f>(E713-F757)^2</f>
        <v/>
      </c>
      <c r="G713" s="66">
        <f>(E713-F757)^3</f>
        <v/>
      </c>
      <c r="H713" s="66">
        <f>(E713-F757)^4</f>
        <v/>
      </c>
      <c r="I713" s="65" t="inlineStr"/>
    </row>
    <row r="714">
      <c r="A714" s="68" t="n">
        <v>702</v>
      </c>
      <c r="B714" s="68" t="n">
        <v>701</v>
      </c>
      <c r="C714" s="69" t="n">
        <v>4722.05</v>
      </c>
      <c r="D714" s="69" t="n">
        <v>4690.4788</v>
      </c>
      <c r="E714" s="70">
        <f>C714-D714</f>
        <v/>
      </c>
      <c r="F714" s="70">
        <f>(E714-F757)^2</f>
        <v/>
      </c>
      <c r="G714" s="69">
        <f>(E714-F757)^3</f>
        <v/>
      </c>
      <c r="H714" s="69">
        <f>(E714-F757)^4</f>
        <v/>
      </c>
      <c r="I714" s="68" t="inlineStr"/>
    </row>
    <row r="715">
      <c r="A715" s="65" t="n">
        <v>703</v>
      </c>
      <c r="B715" s="65" t="n">
        <v>702</v>
      </c>
      <c r="C715" s="66" t="n">
        <v>4724.08</v>
      </c>
      <c r="D715" s="66" t="n">
        <v>4690.68125</v>
      </c>
      <c r="E715" s="67">
        <f>C715-D715</f>
        <v/>
      </c>
      <c r="F715" s="67">
        <f>(E715-F757)^2</f>
        <v/>
      </c>
      <c r="G715" s="66">
        <f>(E715-F757)^3</f>
        <v/>
      </c>
      <c r="H715" s="66">
        <f>(E715-F757)^4</f>
        <v/>
      </c>
      <c r="I715" s="65" t="inlineStr"/>
    </row>
    <row r="716">
      <c r="A716" s="68" t="n">
        <v>704</v>
      </c>
      <c r="B716" s="68" t="n">
        <v>703</v>
      </c>
      <c r="C716" s="69" t="n">
        <v>4721.18</v>
      </c>
      <c r="D716" s="69" t="n">
        <v>4690.8837</v>
      </c>
      <c r="E716" s="70">
        <f>C716-D716</f>
        <v/>
      </c>
      <c r="F716" s="70">
        <f>(E716-F757)^2</f>
        <v/>
      </c>
      <c r="G716" s="69">
        <f>(E716-F757)^3</f>
        <v/>
      </c>
      <c r="H716" s="69">
        <f>(E716-F757)^4</f>
        <v/>
      </c>
      <c r="I716" s="68" t="inlineStr"/>
    </row>
    <row r="717">
      <c r="A717" s="65" t="n">
        <v>705</v>
      </c>
      <c r="B717" s="65" t="n">
        <v>704</v>
      </c>
      <c r="C717" s="66" t="n">
        <v>4717.8</v>
      </c>
      <c r="D717" s="66" t="n">
        <v>4691.08614</v>
      </c>
      <c r="E717" s="67">
        <f>C717-D717</f>
        <v/>
      </c>
      <c r="F717" s="67">
        <f>(E717-F757)^2</f>
        <v/>
      </c>
      <c r="G717" s="66">
        <f>(E717-F757)^3</f>
        <v/>
      </c>
      <c r="H717" s="66">
        <f>(E717-F757)^4</f>
        <v/>
      </c>
      <c r="I717" s="65" t="inlineStr"/>
    </row>
    <row r="718">
      <c r="A718" s="68" t="n">
        <v>706</v>
      </c>
      <c r="B718" s="68" t="n">
        <v>705</v>
      </c>
      <c r="C718" s="69" t="n">
        <v>4704.7</v>
      </c>
      <c r="D718" s="69" t="n">
        <v>4691.28859</v>
      </c>
      <c r="E718" s="70">
        <f>C718-D718</f>
        <v/>
      </c>
      <c r="F718" s="70">
        <f>(E718-F757)^2</f>
        <v/>
      </c>
      <c r="G718" s="69">
        <f>(E718-F757)^3</f>
        <v/>
      </c>
      <c r="H718" s="69">
        <f>(E718-F757)^4</f>
        <v/>
      </c>
      <c r="I718" s="68" t="inlineStr"/>
    </row>
    <row r="719">
      <c r="A719" s="65" t="n">
        <v>707</v>
      </c>
      <c r="B719" s="65" t="n">
        <v>706</v>
      </c>
      <c r="C719" s="66" t="n">
        <v>4710.4</v>
      </c>
      <c r="D719" s="66" t="n">
        <v>4691.49103</v>
      </c>
      <c r="E719" s="67">
        <f>C719-D719</f>
        <v/>
      </c>
      <c r="F719" s="67">
        <f>(E719-F757)^2</f>
        <v/>
      </c>
      <c r="G719" s="66">
        <f>(E719-F757)^3</f>
        <v/>
      </c>
      <c r="H719" s="66">
        <f>(E719-F757)^4</f>
        <v/>
      </c>
      <c r="I719" s="65" t="inlineStr"/>
    </row>
    <row r="720">
      <c r="A720" s="68" t="n">
        <v>708</v>
      </c>
      <c r="B720" s="68" t="n">
        <v>707</v>
      </c>
      <c r="C720" s="69" t="n">
        <v>4723.84</v>
      </c>
      <c r="D720" s="69" t="n">
        <v>4691.69348</v>
      </c>
      <c r="E720" s="70">
        <f>C720-D720</f>
        <v/>
      </c>
      <c r="F720" s="70">
        <f>(E720-F757)^2</f>
        <v/>
      </c>
      <c r="G720" s="69">
        <f>(E720-F757)^3</f>
        <v/>
      </c>
      <c r="H720" s="69">
        <f>(E720-F757)^4</f>
        <v/>
      </c>
      <c r="I720" s="68" t="inlineStr"/>
    </row>
    <row r="721">
      <c r="A721" s="65" t="n">
        <v>709</v>
      </c>
      <c r="B721" s="65" t="n">
        <v>708</v>
      </c>
      <c r="C721" s="66" t="n">
        <v>4724.41</v>
      </c>
      <c r="D721" s="66" t="n">
        <v>4691.89592</v>
      </c>
      <c r="E721" s="67">
        <f>C721-D721</f>
        <v/>
      </c>
      <c r="F721" s="67">
        <f>(E721-F757)^2</f>
        <v/>
      </c>
      <c r="G721" s="66">
        <f>(E721-F757)^3</f>
        <v/>
      </c>
      <c r="H721" s="66">
        <f>(E721-F757)^4</f>
        <v/>
      </c>
      <c r="I721" s="65" t="inlineStr"/>
    </row>
    <row r="722">
      <c r="A722" s="68" t="n">
        <v>710</v>
      </c>
      <c r="B722" s="68" t="n">
        <v>709</v>
      </c>
      <c r="C722" s="69" t="n">
        <v>4720.41</v>
      </c>
      <c r="D722" s="69" t="n">
        <v>4692.09837</v>
      </c>
      <c r="E722" s="70">
        <f>C722-D722</f>
        <v/>
      </c>
      <c r="F722" s="70">
        <f>(E722-F757)^2</f>
        <v/>
      </c>
      <c r="G722" s="69">
        <f>(E722-F757)^3</f>
        <v/>
      </c>
      <c r="H722" s="69">
        <f>(E722-F757)^4</f>
        <v/>
      </c>
      <c r="I722" s="68" t="inlineStr"/>
    </row>
    <row r="723">
      <c r="A723" s="65" t="n">
        <v>711</v>
      </c>
      <c r="B723" s="65" t="n">
        <v>710</v>
      </c>
      <c r="C723" s="66" t="n">
        <v>4727.11</v>
      </c>
      <c r="D723" s="66" t="n">
        <v>4692.30082</v>
      </c>
      <c r="E723" s="67">
        <f>C723-D723</f>
        <v/>
      </c>
      <c r="F723" s="67">
        <f>(E723-F757)^2</f>
        <v/>
      </c>
      <c r="G723" s="66">
        <f>(E723-F757)^3</f>
        <v/>
      </c>
      <c r="H723" s="66">
        <f>(E723-F757)^4</f>
        <v/>
      </c>
      <c r="I723" s="65" t="inlineStr"/>
    </row>
    <row r="724">
      <c r="A724" s="68" t="n">
        <v>712</v>
      </c>
      <c r="B724" s="68" t="n">
        <v>711</v>
      </c>
      <c r="C724" s="69" t="n">
        <v>4738.02</v>
      </c>
      <c r="D724" s="69" t="n">
        <v>4692.50326</v>
      </c>
      <c r="E724" s="70">
        <f>C724-D724</f>
        <v/>
      </c>
      <c r="F724" s="70">
        <f>(E724-F757)^2</f>
        <v/>
      </c>
      <c r="G724" s="69">
        <f>(E724-F757)^3</f>
        <v/>
      </c>
      <c r="H724" s="69">
        <f>(E724-F757)^4</f>
        <v/>
      </c>
      <c r="I724" s="68" t="inlineStr"/>
    </row>
    <row r="725">
      <c r="A725" s="65" t="n">
        <v>713</v>
      </c>
      <c r="B725" s="65" t="n">
        <v>712</v>
      </c>
      <c r="C725" s="66" t="n">
        <v>4747.9</v>
      </c>
      <c r="D725" s="66" t="n">
        <v>4692.70571</v>
      </c>
      <c r="E725" s="67">
        <f>C725-D725</f>
        <v/>
      </c>
      <c r="F725" s="67">
        <f>(E725-F757)^2</f>
        <v/>
      </c>
      <c r="G725" s="66">
        <f>(E725-F757)^3</f>
        <v/>
      </c>
      <c r="H725" s="66">
        <f>(E725-F757)^4</f>
        <v/>
      </c>
      <c r="I725" s="65" t="inlineStr"/>
    </row>
    <row r="726">
      <c r="A726" s="68" t="n">
        <v>714</v>
      </c>
      <c r="B726" s="68" t="n">
        <v>713</v>
      </c>
      <c r="C726" s="69" t="n">
        <v>4731.78</v>
      </c>
      <c r="D726" s="69" t="n">
        <v>4692.90815</v>
      </c>
      <c r="E726" s="70">
        <f>C726-D726</f>
        <v/>
      </c>
      <c r="F726" s="70">
        <f>(E726-F757)^2</f>
        <v/>
      </c>
      <c r="G726" s="69">
        <f>(E726-F757)^3</f>
        <v/>
      </c>
      <c r="H726" s="69">
        <f>(E726-F757)^4</f>
        <v/>
      </c>
      <c r="I726" s="68" t="inlineStr"/>
    </row>
    <row r="727">
      <c r="A727" s="65" t="n">
        <v>715</v>
      </c>
      <c r="B727" s="65" t="n">
        <v>714</v>
      </c>
      <c r="C727" s="66" t="n">
        <v>4719.14</v>
      </c>
      <c r="D727" s="66" t="n">
        <v>4693.1106</v>
      </c>
      <c r="E727" s="67">
        <f>C727-D727</f>
        <v/>
      </c>
      <c r="F727" s="67">
        <f>(E727-F757)^2</f>
        <v/>
      </c>
      <c r="G727" s="66">
        <f>(E727-F757)^3</f>
        <v/>
      </c>
      <c r="H727" s="66">
        <f>(E727-F757)^4</f>
        <v/>
      </c>
      <c r="I727" s="65" t="inlineStr"/>
    </row>
    <row r="728">
      <c r="A728" s="68" t="n">
        <v>716</v>
      </c>
      <c r="B728" s="68" t="n">
        <v>715</v>
      </c>
      <c r="C728" s="69" t="n">
        <v>4722.71</v>
      </c>
      <c r="D728" s="69" t="n">
        <v>4693.31304</v>
      </c>
      <c r="E728" s="70">
        <f>C728-D728</f>
        <v/>
      </c>
      <c r="F728" s="70">
        <f>(E728-F757)^2</f>
        <v/>
      </c>
      <c r="G728" s="69">
        <f>(E728-F757)^3</f>
        <v/>
      </c>
      <c r="H728" s="69">
        <f>(E728-F757)^4</f>
        <v/>
      </c>
      <c r="I728" s="68" t="inlineStr"/>
    </row>
    <row r="729">
      <c r="A729" s="65" t="n">
        <v>717</v>
      </c>
      <c r="B729" s="65" t="n">
        <v>716</v>
      </c>
      <c r="C729" s="66" t="n">
        <v>4716.02</v>
      </c>
      <c r="D729" s="66" t="n">
        <v>4693.51549</v>
      </c>
      <c r="E729" s="67">
        <f>C729-D729</f>
        <v/>
      </c>
      <c r="F729" s="67">
        <f>(E729-F757)^2</f>
        <v/>
      </c>
      <c r="G729" s="66">
        <f>(E729-F757)^3</f>
        <v/>
      </c>
      <c r="H729" s="66">
        <f>(E729-F757)^4</f>
        <v/>
      </c>
      <c r="I729" s="65" t="inlineStr"/>
    </row>
    <row r="730">
      <c r="A730" s="68" t="n">
        <v>718</v>
      </c>
      <c r="B730" s="68" t="n">
        <v>717</v>
      </c>
      <c r="C730" s="69" t="n">
        <v>4707.62</v>
      </c>
      <c r="D730" s="69" t="n">
        <v>4693.71794</v>
      </c>
      <c r="E730" s="70">
        <f>C730-D730</f>
        <v/>
      </c>
      <c r="F730" s="70">
        <f>(E730-F757)^2</f>
        <v/>
      </c>
      <c r="G730" s="69">
        <f>(E730-F757)^3</f>
        <v/>
      </c>
      <c r="H730" s="69">
        <f>(E730-F757)^4</f>
        <v/>
      </c>
      <c r="I730" s="68" t="inlineStr"/>
    </row>
    <row r="731">
      <c r="A731" s="65" t="n">
        <v>719</v>
      </c>
      <c r="B731" s="65" t="n">
        <v>718</v>
      </c>
      <c r="C731" s="66" t="n">
        <v>4713.43</v>
      </c>
      <c r="D731" s="66" t="n">
        <v>4693.92038</v>
      </c>
      <c r="E731" s="67">
        <f>C731-D731</f>
        <v/>
      </c>
      <c r="F731" s="67">
        <f>(E731-F757)^2</f>
        <v/>
      </c>
      <c r="G731" s="66">
        <f>(E731-F757)^3</f>
        <v/>
      </c>
      <c r="H731" s="66">
        <f>(E731-F757)^4</f>
        <v/>
      </c>
      <c r="I731" s="65" t="inlineStr"/>
    </row>
    <row r="732">
      <c r="A732" s="68" t="n">
        <v>720</v>
      </c>
      <c r="B732" s="68" t="n">
        <v>719</v>
      </c>
      <c r="C732" s="69" t="n">
        <v>4705.96</v>
      </c>
      <c r="D732" s="69" t="n">
        <v>4694.12283</v>
      </c>
      <c r="E732" s="70">
        <f>C732-D732</f>
        <v/>
      </c>
      <c r="F732" s="70">
        <f>(E732-F757)^2</f>
        <v/>
      </c>
      <c r="G732" s="69">
        <f>(E732-F757)^3</f>
        <v/>
      </c>
      <c r="H732" s="69">
        <f>(E732-F757)^4</f>
        <v/>
      </c>
      <c r="I732" s="68" t="inlineStr"/>
    </row>
    <row r="733">
      <c r="A733" s="65" t="n">
        <v>721</v>
      </c>
      <c r="B733" s="65" t="n">
        <v>720</v>
      </c>
      <c r="C733" s="66" t="n">
        <v>4707.13</v>
      </c>
      <c r="D733" s="66" t="n">
        <v>4694.32527</v>
      </c>
      <c r="E733" s="67">
        <f>C733-D733</f>
        <v/>
      </c>
      <c r="F733" s="67">
        <f>(E733-F757)^2</f>
        <v/>
      </c>
      <c r="G733" s="66">
        <f>(E733-F757)^3</f>
        <v/>
      </c>
      <c r="H733" s="66">
        <f>(E733-F757)^4</f>
        <v/>
      </c>
      <c r="I733" s="65" t="inlineStr"/>
    </row>
    <row r="734">
      <c r="A734" s="68" t="n">
        <v>722</v>
      </c>
      <c r="B734" s="68" t="n">
        <v>721</v>
      </c>
      <c r="C734" s="69" t="n">
        <v>4711.49</v>
      </c>
      <c r="D734" s="69" t="n">
        <v>4694.52772</v>
      </c>
      <c r="E734" s="70">
        <f>C734-D734</f>
        <v/>
      </c>
      <c r="F734" s="70">
        <f>(E734-F757)^2</f>
        <v/>
      </c>
      <c r="G734" s="69">
        <f>(E734-F757)^3</f>
        <v/>
      </c>
      <c r="H734" s="69">
        <f>(E734-F757)^4</f>
        <v/>
      </c>
      <c r="I734" s="68" t="inlineStr"/>
    </row>
    <row r="735">
      <c r="A735" s="65" t="n">
        <v>723</v>
      </c>
      <c r="B735" s="65" t="n">
        <v>722</v>
      </c>
      <c r="C735" s="66" t="n">
        <v>4717.67</v>
      </c>
      <c r="D735" s="66" t="n">
        <v>4694.73016</v>
      </c>
      <c r="E735" s="67">
        <f>C735-D735</f>
        <v/>
      </c>
      <c r="F735" s="67">
        <f>(E735-F757)^2</f>
        <v/>
      </c>
      <c r="G735" s="66">
        <f>(E735-F757)^3</f>
        <v/>
      </c>
      <c r="H735" s="66">
        <f>(E735-F757)^4</f>
        <v/>
      </c>
      <c r="I735" s="65" t="inlineStr"/>
    </row>
    <row r="736">
      <c r="A736" s="68" t="n">
        <v>724</v>
      </c>
      <c r="B736" s="68" t="n">
        <v>723</v>
      </c>
      <c r="C736" s="69" t="n">
        <v>4713.4</v>
      </c>
      <c r="D736" s="69" t="n">
        <v>4694.93261</v>
      </c>
      <c r="E736" s="70">
        <f>C736-D736</f>
        <v/>
      </c>
      <c r="F736" s="70">
        <f>(E736-F757)^2</f>
        <v/>
      </c>
      <c r="G736" s="69">
        <f>(E736-F757)^3</f>
        <v/>
      </c>
      <c r="H736" s="69">
        <f>(E736-F757)^4</f>
        <v/>
      </c>
      <c r="I736" s="68" t="inlineStr"/>
    </row>
    <row r="737">
      <c r="A737" s="65" t="n">
        <v>725</v>
      </c>
      <c r="B737" s="65" t="n">
        <v>724</v>
      </c>
      <c r="C737" s="66" t="n">
        <v>4712.52</v>
      </c>
      <c r="D737" s="66" t="n">
        <v>4695.13505</v>
      </c>
      <c r="E737" s="67">
        <f>C737-D737</f>
        <v/>
      </c>
      <c r="F737" s="67">
        <f>(E737-F757)^2</f>
        <v/>
      </c>
      <c r="G737" s="66">
        <f>(E737-F757)^3</f>
        <v/>
      </c>
      <c r="H737" s="66">
        <f>(E737-F757)^4</f>
        <v/>
      </c>
      <c r="I737" s="65" t="inlineStr"/>
    </row>
    <row r="738">
      <c r="A738" s="68" t="n">
        <v>726</v>
      </c>
      <c r="B738" s="68" t="n">
        <v>725</v>
      </c>
      <c r="C738" s="69" t="n">
        <v>4715.4</v>
      </c>
      <c r="D738" s="69" t="n">
        <v>4695.3375</v>
      </c>
      <c r="E738" s="70">
        <f>C738-D738</f>
        <v/>
      </c>
      <c r="F738" s="70">
        <f>(E738-F757)^2</f>
        <v/>
      </c>
      <c r="G738" s="69">
        <f>(E738-F757)^3</f>
        <v/>
      </c>
      <c r="H738" s="69">
        <f>(E738-F757)^4</f>
        <v/>
      </c>
      <c r="I738" s="68" t="inlineStr"/>
    </row>
    <row r="739">
      <c r="A739" s="65" t="n">
        <v>727</v>
      </c>
      <c r="B739" s="65" t="n">
        <v>726</v>
      </c>
      <c r="C739" s="66" t="n">
        <v>4720.64</v>
      </c>
      <c r="D739" s="66" t="n">
        <v>4695.53995</v>
      </c>
      <c r="E739" s="67">
        <f>C739-D739</f>
        <v/>
      </c>
      <c r="F739" s="67">
        <f>(E739-F757)^2</f>
        <v/>
      </c>
      <c r="G739" s="66">
        <f>(E739-F757)^3</f>
        <v/>
      </c>
      <c r="H739" s="66">
        <f>(E739-F757)^4</f>
        <v/>
      </c>
      <c r="I739" s="65" t="inlineStr"/>
    </row>
    <row r="740">
      <c r="A740" s="68" t="n">
        <v>728</v>
      </c>
      <c r="B740" s="68" t="n">
        <v>727</v>
      </c>
      <c r="C740" s="69" t="n">
        <v>4720.74</v>
      </c>
      <c r="D740" s="69" t="n">
        <v>4695.74239</v>
      </c>
      <c r="E740" s="70">
        <f>C740-D740</f>
        <v/>
      </c>
      <c r="F740" s="70">
        <f>(E740-F757)^2</f>
        <v/>
      </c>
      <c r="G740" s="69">
        <f>(E740-F757)^3</f>
        <v/>
      </c>
      <c r="H740" s="69">
        <f>(E740-F757)^4</f>
        <v/>
      </c>
      <c r="I740" s="68" t="inlineStr"/>
    </row>
    <row r="741">
      <c r="A741" s="65" t="n">
        <v>729</v>
      </c>
      <c r="B741" s="65" t="n">
        <v>728</v>
      </c>
      <c r="C741" s="66" t="n">
        <v>4720.99</v>
      </c>
      <c r="D741" s="66" t="n">
        <v>4695.94484</v>
      </c>
      <c r="E741" s="67">
        <f>C741-D741</f>
        <v/>
      </c>
      <c r="F741" s="67">
        <f>(E741-F757)^2</f>
        <v/>
      </c>
      <c r="G741" s="66">
        <f>(E741-F757)^3</f>
        <v/>
      </c>
      <c r="H741" s="66">
        <f>(E741-F757)^4</f>
        <v/>
      </c>
      <c r="I741" s="65" t="inlineStr"/>
    </row>
    <row r="742">
      <c r="A742" s="68" t="n">
        <v>730</v>
      </c>
      <c r="B742" s="68" t="n">
        <v>729</v>
      </c>
      <c r="C742" s="69" t="n">
        <v>4727.48</v>
      </c>
      <c r="D742" s="69" t="n">
        <v>4696.14728</v>
      </c>
      <c r="E742" s="70">
        <f>C742-D742</f>
        <v/>
      </c>
      <c r="F742" s="70">
        <f>(E742-F757)^2</f>
        <v/>
      </c>
      <c r="G742" s="69">
        <f>(E742-F757)^3</f>
        <v/>
      </c>
      <c r="H742" s="69">
        <f>(E742-F757)^4</f>
        <v/>
      </c>
      <c r="I742" s="68" t="inlineStr"/>
    </row>
    <row r="743">
      <c r="A743" s="65" t="n">
        <v>731</v>
      </c>
      <c r="B743" s="65" t="n">
        <v>730</v>
      </c>
      <c r="C743" s="66" t="n">
        <v>4725.66</v>
      </c>
      <c r="D743" s="66" t="n">
        <v>4696.34973</v>
      </c>
      <c r="E743" s="67">
        <f>C743-D743</f>
        <v/>
      </c>
      <c r="F743" s="67">
        <f>(E743-F757)^2</f>
        <v/>
      </c>
      <c r="G743" s="66">
        <f>(E743-F757)^3</f>
        <v/>
      </c>
      <c r="H743" s="66">
        <f>(E743-F757)^4</f>
        <v/>
      </c>
      <c r="I743" s="65" t="inlineStr"/>
    </row>
    <row r="744">
      <c r="A744" s="68" t="n">
        <v>732</v>
      </c>
      <c r="B744" s="68" t="n">
        <v>731</v>
      </c>
      <c r="C744" s="69" t="n">
        <v>4724.59</v>
      </c>
      <c r="D744" s="69" t="n">
        <v>4696.55217</v>
      </c>
      <c r="E744" s="70">
        <f>C744-D744</f>
        <v/>
      </c>
      <c r="F744" s="70">
        <f>(E744-F757)^2</f>
        <v/>
      </c>
      <c r="G744" s="69">
        <f>(E744-F757)^3</f>
        <v/>
      </c>
      <c r="H744" s="69">
        <f>(E744-F757)^4</f>
        <v/>
      </c>
      <c r="I744" s="68" t="inlineStr"/>
    </row>
    <row r="745">
      <c r="A745" s="65" t="n">
        <v>733</v>
      </c>
      <c r="B745" s="65" t="n">
        <v>732</v>
      </c>
      <c r="C745" s="66" t="n">
        <v>4721.83</v>
      </c>
      <c r="D745" s="66" t="n">
        <v>4696.75462</v>
      </c>
      <c r="E745" s="67">
        <f>C745-D745</f>
        <v/>
      </c>
      <c r="F745" s="67">
        <f>(E745-F757)^2</f>
        <v/>
      </c>
      <c r="G745" s="66">
        <f>(E745-F757)^3</f>
        <v/>
      </c>
      <c r="H745" s="66">
        <f>(E745-F757)^4</f>
        <v/>
      </c>
      <c r="I745" s="65" t="inlineStr"/>
    </row>
    <row r="746">
      <c r="A746" s="68" t="n">
        <v>734</v>
      </c>
      <c r="B746" s="68" t="n">
        <v>733</v>
      </c>
      <c r="C746" s="69" t="n">
        <v>4723.57</v>
      </c>
      <c r="D746" s="69" t="n">
        <v>4696.95707</v>
      </c>
      <c r="E746" s="70">
        <f>C746-D746</f>
        <v/>
      </c>
      <c r="F746" s="70">
        <f>(E746-F757)^2</f>
        <v/>
      </c>
      <c r="G746" s="69">
        <f>(E746-F757)^3</f>
        <v/>
      </c>
      <c r="H746" s="69">
        <f>(E746-F757)^4</f>
        <v/>
      </c>
      <c r="I746" s="68" t="inlineStr"/>
    </row>
    <row r="747">
      <c r="A747" s="65" t="n">
        <v>735</v>
      </c>
      <c r="B747" s="65" t="n">
        <v>734</v>
      </c>
      <c r="C747" s="66" t="n">
        <v>4723.71</v>
      </c>
      <c r="D747" s="66" t="n">
        <v>4697.15951</v>
      </c>
      <c r="E747" s="67">
        <f>C747-D747</f>
        <v/>
      </c>
      <c r="F747" s="67">
        <f>(E747-F757)^2</f>
        <v/>
      </c>
      <c r="G747" s="66">
        <f>(E747-F757)^3</f>
        <v/>
      </c>
      <c r="H747" s="66">
        <f>(E747-F757)^4</f>
        <v/>
      </c>
      <c r="I747" s="65" t="inlineStr"/>
    </row>
    <row r="748">
      <c r="A748" s="68" t="n">
        <v>736</v>
      </c>
      <c r="B748" s="68" t="n">
        <v>735</v>
      </c>
      <c r="C748" s="69" t="n">
        <v>4725.3</v>
      </c>
      <c r="D748" s="69" t="n">
        <v>4697.36196</v>
      </c>
      <c r="E748" s="70">
        <f>C748-D748</f>
        <v/>
      </c>
      <c r="F748" s="70">
        <f>(E748-F757)^2</f>
        <v/>
      </c>
      <c r="G748" s="69">
        <f>(E748-F757)^3</f>
        <v/>
      </c>
      <c r="H748" s="69">
        <f>(E748-F757)^4</f>
        <v/>
      </c>
      <c r="I748" s="68" t="inlineStr"/>
    </row>
    <row r="749">
      <c r="A749" s="65" t="n">
        <v>737</v>
      </c>
      <c r="B749" s="65" t="n">
        <v>736</v>
      </c>
      <c r="C749" s="66" t="n">
        <v>4724.02</v>
      </c>
      <c r="D749" s="66" t="n">
        <v>4697.5644</v>
      </c>
      <c r="E749" s="67">
        <f>C749-D749</f>
        <v/>
      </c>
      <c r="F749" s="67">
        <f>(E749-F757)^2</f>
        <v/>
      </c>
      <c r="G749" s="66">
        <f>(E749-F757)^3</f>
        <v/>
      </c>
      <c r="H749" s="66">
        <f>(E749-F757)^4</f>
        <v/>
      </c>
      <c r="I749" s="65" t="inlineStr"/>
    </row>
    <row r="750">
      <c r="A750" s="68" t="n">
        <v>738</v>
      </c>
      <c r="B750" s="68" t="n">
        <v>737</v>
      </c>
      <c r="C750" s="69" t="n">
        <v>4718.85</v>
      </c>
      <c r="D750" s="69" t="n">
        <v>4697.76685</v>
      </c>
      <c r="E750" s="70">
        <f>C750-D750</f>
        <v/>
      </c>
      <c r="F750" s="70">
        <f>(E750-F757)^2</f>
        <v/>
      </c>
      <c r="G750" s="69">
        <f>(E750-F757)^3</f>
        <v/>
      </c>
      <c r="H750" s="69">
        <f>(E750-F757)^4</f>
        <v/>
      </c>
      <c r="I750" s="68" t="inlineStr"/>
    </row>
    <row r="751">
      <c r="A751" s="65" t="n">
        <v>739</v>
      </c>
      <c r="B751" s="65" t="n">
        <v>738</v>
      </c>
      <c r="C751" s="66" t="n">
        <v>4717.38</v>
      </c>
      <c r="D751" s="66" t="n">
        <v>4697.96929</v>
      </c>
      <c r="E751" s="67">
        <f>C751-D751</f>
        <v/>
      </c>
      <c r="F751" s="67">
        <f>(E751-F757)^2</f>
        <v/>
      </c>
      <c r="G751" s="66">
        <f>(E751-F757)^3</f>
        <v/>
      </c>
      <c r="H751" s="66">
        <f>(E751-F757)^4</f>
        <v/>
      </c>
      <c r="I751" s="65" t="inlineStr"/>
    </row>
    <row r="752">
      <c r="A752" s="68" t="n">
        <v>740</v>
      </c>
      <c r="B752" s="68" t="n">
        <v>739</v>
      </c>
      <c r="C752" s="69" t="n">
        <v>4716.4</v>
      </c>
      <c r="D752" s="69" t="n">
        <v>4698.17174</v>
      </c>
      <c r="E752" s="70">
        <f>C752-D752</f>
        <v/>
      </c>
      <c r="F752" s="70">
        <f>(E752-F757)^2</f>
        <v/>
      </c>
      <c r="G752" s="69">
        <f>(E752-F757)^3</f>
        <v/>
      </c>
      <c r="H752" s="69">
        <f>(E752-F757)^4</f>
        <v/>
      </c>
      <c r="I752" s="68" t="inlineStr"/>
    </row>
    <row r="753">
      <c r="A753" s="65" t="n">
        <v>741</v>
      </c>
      <c r="B753" s="65" t="n">
        <v>740</v>
      </c>
      <c r="C753" s="66" t="n">
        <v>4715.36</v>
      </c>
      <c r="D753" s="66" t="n">
        <v>4698.37419</v>
      </c>
      <c r="E753" s="67">
        <f>C753-D753</f>
        <v/>
      </c>
      <c r="F753" s="67">
        <f>(E753-F757)^2</f>
        <v/>
      </c>
      <c r="G753" s="66">
        <f>(E753-F757)^3</f>
        <v/>
      </c>
      <c r="H753" s="66">
        <f>(E753-F757)^4</f>
        <v/>
      </c>
      <c r="I753" s="65" t="inlineStr"/>
    </row>
    <row r="755" ht="18" customHeight="1" s="28">
      <c r="A755" s="61" t="inlineStr">
        <is>
          <t>STEP 2 — Summary Statistics: Mean, Variance, Skewness, Kurtosis, JB</t>
        </is>
      </c>
    </row>
    <row r="756">
      <c r="A756" s="72" t="inlineStr">
        <is>
          <t>n  (sample size)</t>
        </is>
      </c>
      <c r="F756" s="73" t="n">
        <v>741</v>
      </c>
    </row>
    <row r="757">
      <c r="A757" s="72" t="inlineStr">
        <is>
          <t>ē  =  AVERAGE(residuals)</t>
        </is>
      </c>
      <c r="F757" s="75">
        <f>AVERAGE(E13:E753)</f>
        <v/>
      </c>
    </row>
    <row r="758">
      <c r="A758" s="72" t="inlineStr">
        <is>
          <t>Σ(eᵢ−ē)²</t>
        </is>
      </c>
      <c r="F758" s="77">
        <f>SUM(F13:F753)</f>
        <v/>
      </c>
    </row>
    <row r="759">
      <c r="A759" s="72" t="inlineStr">
        <is>
          <t>Variance  σ²  =  Σ(eᵢ−ē)² / n</t>
        </is>
      </c>
      <c r="F759" s="75">
        <f>F758/F756</f>
        <v/>
      </c>
    </row>
    <row r="760">
      <c r="A760" s="72" t="inlineStr">
        <is>
          <t>Std Dev  σ  =  √σ²</t>
        </is>
      </c>
      <c r="F760" s="75">
        <f>SQRT(F759)</f>
        <v/>
      </c>
    </row>
    <row r="761">
      <c r="A761" s="72" t="inlineStr">
        <is>
          <t>Σ(eᵢ−ē)³</t>
        </is>
      </c>
      <c r="F761" s="77">
        <f>SUM(G13:G753)</f>
        <v/>
      </c>
    </row>
    <row r="762">
      <c r="A762" s="72" t="inlineStr">
        <is>
          <t>Σ(eᵢ−ē)⁴</t>
        </is>
      </c>
      <c r="F762" s="77">
        <f>SUM(H13:H753)</f>
        <v/>
      </c>
    </row>
    <row r="763">
      <c r="A763" s="72" t="inlineStr">
        <is>
          <t>Skewness  S  =  [Σ(eᵢ−ē)³/n] / σ³</t>
        </is>
      </c>
      <c r="F763" s="75">
        <f>(F761/F756)/(F760^3)</f>
        <v/>
      </c>
    </row>
    <row r="764">
      <c r="A764" s="72" t="inlineStr">
        <is>
          <t>Kurtosis  K  =  [Σ(eᵢ−ē)⁴/n] / σ⁴</t>
        </is>
      </c>
      <c r="F764" s="75">
        <f>(F762/F756)/(F760^4)</f>
        <v/>
      </c>
    </row>
    <row r="765">
      <c r="A765" s="72" t="inlineStr">
        <is>
          <t>Excess Kurtosis  (K − 3)</t>
        </is>
      </c>
      <c r="F765" s="75">
        <f>F764-3</f>
        <v/>
      </c>
    </row>
    <row r="766">
      <c r="A766" s="72" t="inlineStr">
        <is>
          <t>JB  =  (n/6) · [ S² + (K−3)²/4 ]</t>
        </is>
      </c>
      <c r="F766" s="74">
        <f>(F756/6)*(F763^2+(F765)^2/4)</f>
        <v/>
      </c>
    </row>
    <row r="767">
      <c r="A767" s="72" t="inlineStr">
        <is>
          <t>p-value  =  CHIDIST(JB, 2)</t>
        </is>
      </c>
      <c r="F767" s="80">
        <f>CHIDIST(F766,2)</f>
        <v/>
      </c>
    </row>
    <row r="768">
      <c r="A768" s="72" t="inlineStr">
        <is>
          <t>α  (significance level)</t>
        </is>
      </c>
      <c r="F768" s="77" t="n">
        <v>0.05</v>
      </c>
    </row>
    <row r="769" ht="22" customHeight="1" s="28">
      <c r="A769" s="78" t="inlineStr">
        <is>
          <t>DECISION:  p-value ≈ 8.78e-19 &lt; α (0.05)  ⟹  REJECT H₀  →  Base_FL residuals are NOT normally distributed  [JB ≈ 83.15 | Significant Skewness and/or Excess Kurtosis]</t>
        </is>
      </c>
    </row>
  </sheetData>
  <mergeCells count="38">
    <mergeCell ref="F764:I764"/>
    <mergeCell ref="B7:I7"/>
    <mergeCell ref="A757:E757"/>
    <mergeCell ref="A766:E766"/>
    <mergeCell ref="A760:E760"/>
    <mergeCell ref="F761:I761"/>
    <mergeCell ref="B3:I3"/>
    <mergeCell ref="A756:E756"/>
    <mergeCell ref="F760:I760"/>
    <mergeCell ref="A762:E762"/>
    <mergeCell ref="F766:I766"/>
    <mergeCell ref="B2:I2"/>
    <mergeCell ref="F756:I756"/>
    <mergeCell ref="F762:I762"/>
    <mergeCell ref="B8:I8"/>
    <mergeCell ref="A758:E758"/>
    <mergeCell ref="A767:E767"/>
    <mergeCell ref="A763:E763"/>
    <mergeCell ref="F758:I758"/>
    <mergeCell ref="F765:I765"/>
    <mergeCell ref="F767:I767"/>
    <mergeCell ref="B4:I4"/>
    <mergeCell ref="F757:I757"/>
    <mergeCell ref="A755:I755"/>
    <mergeCell ref="A769:I769"/>
    <mergeCell ref="A768:E768"/>
    <mergeCell ref="A759:E759"/>
    <mergeCell ref="B9:I9"/>
    <mergeCell ref="A11:I11"/>
    <mergeCell ref="F763:I763"/>
    <mergeCell ref="B6:I6"/>
    <mergeCell ref="A765:E765"/>
    <mergeCell ref="F768:I768"/>
    <mergeCell ref="A1:I1"/>
    <mergeCell ref="B5:I5"/>
    <mergeCell ref="A761:E761"/>
    <mergeCell ref="A764:E764"/>
    <mergeCell ref="F759:I75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style="28" min="1" max="1"/>
    <col width="16" customWidth="1" style="28" min="2" max="2"/>
    <col width="14" customWidth="1" style="28" min="3" max="3"/>
    <col width="16" customWidth="1" style="28" min="4" max="4"/>
    <col width="16" customWidth="1" style="28" min="5" max="5"/>
    <col width="18" customWidth="1" style="28" min="6" max="6"/>
    <col width="8" customWidth="1" style="28" min="7" max="7"/>
    <col width="8" customWidth="1" style="28" min="8" max="8"/>
  </cols>
  <sheetData>
    <row r="1" ht="26" customHeight="1" s="28">
      <c r="A1" s="58" t="inlineStr">
        <is>
          <t>BREUSCH-PAGAN HOMOSCEDASTICITY TEST  |  MODEL A  |  n = 65  |  Residual = close − Base_FL</t>
        </is>
      </c>
    </row>
    <row r="2" ht="16" customHeight="1" s="28">
      <c r="A2" s="59" t="inlineStr">
        <is>
          <t>H₀:</t>
        </is>
      </c>
      <c r="B2" s="60" t="inlineStr">
        <is>
          <t>Variance of residuals is constant (homoscedastic)   |   H₁: Variance depends on bar_index (heteroscedastic)</t>
        </is>
      </c>
    </row>
    <row r="3" ht="16" customHeight="1" s="28">
      <c r="A3" s="59" t="inlineStr">
        <is>
          <t>PURPOSE:</t>
        </is>
      </c>
      <c r="B3" s="60" t="inlineStr">
        <is>
          <t>Tests whether the variance of (close − Base_FL) grows or shrinks as bar_index increases, by regressing squared residuals on bar_index.</t>
        </is>
      </c>
    </row>
    <row r="4" ht="16" customHeight="1" s="28">
      <c r="A4" s="59" t="inlineStr">
        <is>
          <t>RESIDUAL:</t>
        </is>
      </c>
      <c r="B4" s="60" t="inlineStr">
        <is>
          <t>eᵢ  =  closeᵢ  −  Base_FLᵢ   [Base_FL from MQL5 EDT-Centroid indicator]</t>
        </is>
      </c>
    </row>
    <row r="5" ht="16" customHeight="1" s="28">
      <c r="A5" s="59" t="inlineStr">
        <is>
          <t>STEPS:</t>
        </is>
      </c>
      <c r="B5" s="60" t="inlineStr">
        <is>
          <t>1. Compute eᵢ = closeᵢ − Base_FLᵢ   (no OLS regression needed — Base_FL IS the fitted line)</t>
        </is>
      </c>
    </row>
    <row r="6" ht="16" customHeight="1" s="28">
      <c r="A6" s="59" t="inlineStr"/>
      <c r="B6" s="60" t="inlineStr">
        <is>
          <t>2. Square the residuals:  eᵢ²   (auxiliary dependent variable)</t>
        </is>
      </c>
    </row>
    <row r="7" ht="16" customHeight="1" s="28">
      <c r="A7" s="59" t="inlineStr"/>
      <c r="B7" s="60" t="inlineStr">
        <is>
          <t>3. Auxiliary OLS:  eᵢ²  =  γ₀ + γ₁·bar_index + u   →   R²_aux</t>
        </is>
      </c>
    </row>
    <row r="8" ht="16" customHeight="1" s="28">
      <c r="A8" s="59" t="inlineStr"/>
      <c r="B8" s="60" t="inlineStr">
        <is>
          <t>4. LM  =  n · R²_aux   ~  χ²(k),   k = 1</t>
        </is>
      </c>
    </row>
    <row r="9" ht="16" customHeight="1" s="28">
      <c r="A9" s="59" t="inlineStr">
        <is>
          <t>p-value:</t>
        </is>
      </c>
      <c r="B9" s="60" t="inlineStr">
        <is>
          <t>CHIDIST(LM, k)</t>
        </is>
      </c>
    </row>
    <row r="10" ht="16" customHeight="1" s="28">
      <c r="A10" s="59" t="inlineStr">
        <is>
          <t>DECISION:</t>
        </is>
      </c>
      <c r="B10" s="60" t="inlineStr">
        <is>
          <t>Reject H₀ if  p-value &lt; α = 0.05</t>
        </is>
      </c>
    </row>
    <row r="12" ht="18" customHeight="1" s="28">
      <c r="A12" s="61" t="inlineStr">
        <is>
          <t>STEP 1 — Residuals  eᵢ = closeᵢ − Base_FLᵢ  and Squared Residuals  eᵢ²   (crossing bars only)</t>
        </is>
      </c>
    </row>
    <row r="13" ht="32" customHeight="1" s="28">
      <c r="A13" s="62" t="inlineStr">
        <is>
          <t>i</t>
        </is>
      </c>
      <c r="B13" s="62" t="inlineStr">
        <is>
          <t>Bar Index (X)</t>
        </is>
      </c>
      <c r="C13" s="62" t="inlineStr">
        <is>
          <t>Close Price</t>
        </is>
      </c>
      <c r="D13" s="62" t="inlineStr">
        <is>
          <t>Base_FL  (MQL5)</t>
        </is>
      </c>
      <c r="E13" s="62" t="inlineStr">
        <is>
          <t>Residual  eᵢ</t>
        </is>
      </c>
      <c r="F13" s="62" t="inlineStr">
        <is>
          <t>eᵢ²  (aux. Y)</t>
        </is>
      </c>
      <c r="G13" s="62" t="inlineStr"/>
      <c r="H13" s="64" t="n"/>
    </row>
    <row r="14">
      <c r="A14" s="65" t="n">
        <v>1</v>
      </c>
      <c r="B14" s="65" t="n">
        <v>0</v>
      </c>
      <c r="C14" s="66" t="n">
        <v>4595.7</v>
      </c>
      <c r="D14" s="66" t="n">
        <v>4548.56437</v>
      </c>
      <c r="E14" s="67">
        <f>C14-D14</f>
        <v/>
      </c>
      <c r="F14" s="66">
        <f>E14^2</f>
        <v/>
      </c>
      <c r="G14" s="65" t="inlineStr"/>
      <c r="H14" s="65" t="inlineStr"/>
    </row>
    <row r="15">
      <c r="A15" s="68" t="n">
        <v>2</v>
      </c>
      <c r="B15" s="68" t="n">
        <v>1</v>
      </c>
      <c r="C15" s="69" t="n">
        <v>4590.84</v>
      </c>
      <c r="D15" s="69" t="n">
        <v>4550.38638</v>
      </c>
      <c r="E15" s="70">
        <f>C15-D15</f>
        <v/>
      </c>
      <c r="F15" s="69">
        <f>E15^2</f>
        <v/>
      </c>
      <c r="G15" s="68" t="inlineStr"/>
      <c r="H15" s="68" t="inlineStr"/>
    </row>
    <row r="16">
      <c r="A16" s="65" t="n">
        <v>3</v>
      </c>
      <c r="B16" s="65" t="n">
        <v>2</v>
      </c>
      <c r="C16" s="66" t="n">
        <v>4603.88</v>
      </c>
      <c r="D16" s="66" t="n">
        <v>4551.60106</v>
      </c>
      <c r="E16" s="67">
        <f>C16-D16</f>
        <v/>
      </c>
      <c r="F16" s="66">
        <f>E16^2</f>
        <v/>
      </c>
      <c r="G16" s="65" t="inlineStr"/>
      <c r="H16" s="65" t="inlineStr"/>
    </row>
    <row r="17">
      <c r="A17" s="68" t="n">
        <v>4</v>
      </c>
      <c r="B17" s="68" t="n">
        <v>3</v>
      </c>
      <c r="C17" s="69" t="n">
        <v>4600.87</v>
      </c>
      <c r="D17" s="69" t="n">
        <v>4552.81573</v>
      </c>
      <c r="E17" s="70">
        <f>C17-D17</f>
        <v/>
      </c>
      <c r="F17" s="69">
        <f>E17^2</f>
        <v/>
      </c>
      <c r="G17" s="68" t="inlineStr"/>
      <c r="H17" s="68" t="inlineStr"/>
    </row>
    <row r="18">
      <c r="A18" s="65" t="n">
        <v>5</v>
      </c>
      <c r="B18" s="65" t="n">
        <v>4</v>
      </c>
      <c r="C18" s="66" t="n">
        <v>4601.15</v>
      </c>
      <c r="D18" s="66" t="n">
        <v>4555.24508</v>
      </c>
      <c r="E18" s="67">
        <f>C18-D18</f>
        <v/>
      </c>
      <c r="F18" s="66">
        <f>E18^2</f>
        <v/>
      </c>
      <c r="G18" s="65" t="inlineStr"/>
      <c r="H18" s="65" t="inlineStr"/>
    </row>
    <row r="19">
      <c r="A19" s="68" t="n">
        <v>6</v>
      </c>
      <c r="B19" s="68" t="n">
        <v>5</v>
      </c>
      <c r="C19" s="69" t="n">
        <v>4571.78</v>
      </c>
      <c r="D19" s="69" t="n">
        <v>4559.49644</v>
      </c>
      <c r="E19" s="70">
        <f>C19-D19</f>
        <v/>
      </c>
      <c r="F19" s="69">
        <f>E19^2</f>
        <v/>
      </c>
      <c r="G19" s="68" t="inlineStr"/>
      <c r="H19" s="68" t="inlineStr"/>
    </row>
    <row r="20">
      <c r="A20" s="65" t="n">
        <v>7</v>
      </c>
      <c r="B20" s="65" t="n">
        <v>6</v>
      </c>
      <c r="C20" s="66" t="n">
        <v>4561.87</v>
      </c>
      <c r="D20" s="66" t="n">
        <v>4560.71111</v>
      </c>
      <c r="E20" s="67">
        <f>C20-D20</f>
        <v/>
      </c>
      <c r="F20" s="66">
        <f>E20^2</f>
        <v/>
      </c>
      <c r="G20" s="65" t="inlineStr"/>
      <c r="H20" s="65" t="inlineStr"/>
    </row>
    <row r="21">
      <c r="A21" s="68" t="n">
        <v>8</v>
      </c>
      <c r="B21" s="68" t="n">
        <v>7</v>
      </c>
      <c r="C21" s="69" t="n">
        <v>4538.69</v>
      </c>
      <c r="D21" s="69" t="n">
        <v>4562.93802</v>
      </c>
      <c r="E21" s="70">
        <f>C21-D21</f>
        <v/>
      </c>
      <c r="F21" s="69">
        <f>E21^2</f>
        <v/>
      </c>
      <c r="G21" s="68" t="inlineStr"/>
      <c r="H21" s="68" t="inlineStr"/>
    </row>
    <row r="22">
      <c r="A22" s="65" t="n">
        <v>9</v>
      </c>
      <c r="B22" s="65" t="n">
        <v>8</v>
      </c>
      <c r="C22" s="66" t="n">
        <v>4545.36</v>
      </c>
      <c r="D22" s="66" t="n">
        <v>4564.76003</v>
      </c>
      <c r="E22" s="67">
        <f>C22-D22</f>
        <v/>
      </c>
      <c r="F22" s="66">
        <f>E22^2</f>
        <v/>
      </c>
      <c r="G22" s="65" t="inlineStr"/>
      <c r="H22" s="65" t="inlineStr"/>
    </row>
    <row r="23">
      <c r="A23" s="68" t="n">
        <v>10</v>
      </c>
      <c r="B23" s="68" t="n">
        <v>9</v>
      </c>
      <c r="C23" s="69" t="n">
        <v>4538.19</v>
      </c>
      <c r="D23" s="69" t="n">
        <v>4566.37959</v>
      </c>
      <c r="E23" s="70">
        <f>C23-D23</f>
        <v/>
      </c>
      <c r="F23" s="69">
        <f>E23^2</f>
        <v/>
      </c>
      <c r="G23" s="68" t="inlineStr"/>
      <c r="H23" s="68" t="inlineStr"/>
    </row>
    <row r="24">
      <c r="A24" s="65" t="n">
        <v>11</v>
      </c>
      <c r="B24" s="65" t="n">
        <v>10</v>
      </c>
      <c r="C24" s="66" t="n">
        <v>4573.13</v>
      </c>
      <c r="D24" s="66" t="n">
        <v>4571.64318</v>
      </c>
      <c r="E24" s="67">
        <f>C24-D24</f>
        <v/>
      </c>
      <c r="F24" s="66">
        <f>E24^2</f>
        <v/>
      </c>
      <c r="G24" s="65" t="inlineStr"/>
      <c r="H24" s="65" t="inlineStr"/>
    </row>
    <row r="25">
      <c r="A25" s="68" t="n">
        <v>12</v>
      </c>
      <c r="B25" s="68" t="n">
        <v>11</v>
      </c>
      <c r="C25" s="69" t="n">
        <v>4553.22</v>
      </c>
      <c r="D25" s="69" t="n">
        <v>4573.87008</v>
      </c>
      <c r="E25" s="70">
        <f>C25-D25</f>
        <v/>
      </c>
      <c r="F25" s="69">
        <f>E25^2</f>
        <v/>
      </c>
      <c r="G25" s="68" t="inlineStr"/>
      <c r="H25" s="68" t="inlineStr"/>
    </row>
    <row r="26">
      <c r="A26" s="65" t="n">
        <v>13</v>
      </c>
      <c r="B26" s="65" t="n">
        <v>12</v>
      </c>
      <c r="C26" s="66" t="n">
        <v>4629.82</v>
      </c>
      <c r="D26" s="66" t="n">
        <v>4579.13367</v>
      </c>
      <c r="E26" s="67">
        <f>C26-D26</f>
        <v/>
      </c>
      <c r="F26" s="66">
        <f>E26^2</f>
        <v/>
      </c>
      <c r="G26" s="65" t="inlineStr"/>
      <c r="H26" s="65" t="inlineStr"/>
    </row>
    <row r="27">
      <c r="A27" s="68" t="n">
        <v>14</v>
      </c>
      <c r="B27" s="68" t="n">
        <v>13</v>
      </c>
      <c r="C27" s="69" t="n">
        <v>4615.95</v>
      </c>
      <c r="D27" s="69" t="n">
        <v>4583.58748</v>
      </c>
      <c r="E27" s="70">
        <f>C27-D27</f>
        <v/>
      </c>
      <c r="F27" s="69">
        <f>E27^2</f>
        <v/>
      </c>
      <c r="G27" s="68" t="inlineStr"/>
      <c r="H27" s="68" t="inlineStr"/>
    </row>
    <row r="28">
      <c r="A28" s="65" t="n">
        <v>15</v>
      </c>
      <c r="B28" s="65" t="n">
        <v>14</v>
      </c>
      <c r="C28" s="66" t="n">
        <v>4624.33</v>
      </c>
      <c r="D28" s="66" t="n">
        <v>4585.20704</v>
      </c>
      <c r="E28" s="67">
        <f>C28-D28</f>
        <v/>
      </c>
      <c r="F28" s="66">
        <f>E28^2</f>
        <v/>
      </c>
      <c r="G28" s="65" t="inlineStr"/>
      <c r="H28" s="65" t="inlineStr"/>
    </row>
    <row r="29">
      <c r="A29" s="68" t="n">
        <v>16</v>
      </c>
      <c r="B29" s="68" t="n">
        <v>15</v>
      </c>
      <c r="C29" s="69" t="n">
        <v>4616.72</v>
      </c>
      <c r="D29" s="69" t="n">
        <v>4586.21927</v>
      </c>
      <c r="E29" s="70">
        <f>C29-D29</f>
        <v/>
      </c>
      <c r="F29" s="69">
        <f>E29^2</f>
        <v/>
      </c>
      <c r="G29" s="68" t="inlineStr"/>
      <c r="H29" s="68" t="inlineStr"/>
    </row>
    <row r="30">
      <c r="A30" s="65" t="n">
        <v>17</v>
      </c>
      <c r="B30" s="65" t="n">
        <v>16</v>
      </c>
      <c r="C30" s="66" t="n">
        <v>4630.75</v>
      </c>
      <c r="D30" s="66" t="n">
        <v>4587.83884</v>
      </c>
      <c r="E30" s="67">
        <f>C30-D30</f>
        <v/>
      </c>
      <c r="F30" s="66">
        <f>E30^2</f>
        <v/>
      </c>
      <c r="G30" s="65" t="inlineStr"/>
      <c r="H30" s="65" t="inlineStr"/>
    </row>
    <row r="31">
      <c r="A31" s="68" t="n">
        <v>18</v>
      </c>
      <c r="B31" s="68" t="n">
        <v>17</v>
      </c>
      <c r="C31" s="69" t="n">
        <v>4620.2</v>
      </c>
      <c r="D31" s="69" t="n">
        <v>4589.66085</v>
      </c>
      <c r="E31" s="70">
        <f>C31-D31</f>
        <v/>
      </c>
      <c r="F31" s="69">
        <f>E31^2</f>
        <v/>
      </c>
      <c r="G31" s="68" t="inlineStr"/>
      <c r="H31" s="68" t="inlineStr"/>
    </row>
    <row r="32">
      <c r="A32" s="65" t="n">
        <v>19</v>
      </c>
      <c r="B32" s="65" t="n">
        <v>18</v>
      </c>
      <c r="C32" s="66" t="n">
        <v>4626.13</v>
      </c>
      <c r="D32" s="66" t="n">
        <v>4591.07797</v>
      </c>
      <c r="E32" s="67">
        <f>C32-D32</f>
        <v/>
      </c>
      <c r="F32" s="66">
        <f>E32^2</f>
        <v/>
      </c>
      <c r="G32" s="65" t="inlineStr"/>
      <c r="H32" s="65" t="inlineStr"/>
    </row>
    <row r="33">
      <c r="A33" s="68" t="n">
        <v>20</v>
      </c>
      <c r="B33" s="68" t="n">
        <v>19</v>
      </c>
      <c r="C33" s="69" t="n">
        <v>4566.78</v>
      </c>
      <c r="D33" s="69" t="n">
        <v>4596.544</v>
      </c>
      <c r="E33" s="70">
        <f>C33-D33</f>
        <v/>
      </c>
      <c r="F33" s="69">
        <f>E33^2</f>
        <v/>
      </c>
      <c r="G33" s="68" t="inlineStr"/>
      <c r="H33" s="68" t="inlineStr"/>
    </row>
    <row r="34">
      <c r="A34" s="65" t="n">
        <v>21</v>
      </c>
      <c r="B34" s="65" t="n">
        <v>20</v>
      </c>
      <c r="C34" s="66" t="n">
        <v>4642.75</v>
      </c>
      <c r="D34" s="66" t="n">
        <v>4601.4027</v>
      </c>
      <c r="E34" s="67">
        <f>C34-D34</f>
        <v/>
      </c>
      <c r="F34" s="66">
        <f>E34^2</f>
        <v/>
      </c>
      <c r="G34" s="65" t="inlineStr"/>
      <c r="H34" s="65" t="inlineStr"/>
    </row>
    <row r="35">
      <c r="A35" s="68" t="n">
        <v>22</v>
      </c>
      <c r="B35" s="68" t="n">
        <v>21</v>
      </c>
      <c r="C35" s="69" t="n">
        <v>4613.77</v>
      </c>
      <c r="D35" s="69" t="n">
        <v>4605.04672</v>
      </c>
      <c r="E35" s="70">
        <f>C35-D35</f>
        <v/>
      </c>
      <c r="F35" s="69">
        <f>E35^2</f>
        <v/>
      </c>
      <c r="G35" s="68" t="inlineStr"/>
      <c r="H35" s="68" t="inlineStr"/>
    </row>
    <row r="36">
      <c r="A36" s="65" t="n">
        <v>23</v>
      </c>
      <c r="B36" s="65" t="n">
        <v>22</v>
      </c>
      <c r="C36" s="66" t="n">
        <v>4615.08</v>
      </c>
      <c r="D36" s="66" t="n">
        <v>4606.26139</v>
      </c>
      <c r="E36" s="67">
        <f>C36-D36</f>
        <v/>
      </c>
      <c r="F36" s="66">
        <f>E36^2</f>
        <v/>
      </c>
      <c r="G36" s="65" t="inlineStr"/>
      <c r="H36" s="65" t="inlineStr"/>
    </row>
    <row r="37">
      <c r="A37" s="68" t="n">
        <v>24</v>
      </c>
      <c r="B37" s="68" t="n">
        <v>23</v>
      </c>
      <c r="C37" s="69" t="n">
        <v>4593.09</v>
      </c>
      <c r="D37" s="69" t="n">
        <v>4608.89319</v>
      </c>
      <c r="E37" s="70">
        <f>C37-D37</f>
        <v/>
      </c>
      <c r="F37" s="69">
        <f>E37^2</f>
        <v/>
      </c>
      <c r="G37" s="68" t="inlineStr"/>
      <c r="H37" s="68" t="inlineStr"/>
    </row>
    <row r="38">
      <c r="A38" s="65" t="n">
        <v>25</v>
      </c>
      <c r="B38" s="65" t="n">
        <v>24</v>
      </c>
      <c r="C38" s="66" t="n">
        <v>4608.12</v>
      </c>
      <c r="D38" s="66" t="n">
        <v>4610.51275</v>
      </c>
      <c r="E38" s="67">
        <f>C38-D38</f>
        <v/>
      </c>
      <c r="F38" s="66">
        <f>E38^2</f>
        <v/>
      </c>
      <c r="G38" s="65" t="inlineStr"/>
      <c r="H38" s="65" t="inlineStr"/>
    </row>
    <row r="39">
      <c r="A39" s="68" t="n">
        <v>26</v>
      </c>
      <c r="B39" s="68" t="n">
        <v>25</v>
      </c>
      <c r="C39" s="69" t="n">
        <v>4562.26</v>
      </c>
      <c r="D39" s="69" t="n">
        <v>4616.18123</v>
      </c>
      <c r="E39" s="70">
        <f>C39-D39</f>
        <v/>
      </c>
      <c r="F39" s="69">
        <f>E39^2</f>
        <v/>
      </c>
      <c r="G39" s="68" t="inlineStr"/>
      <c r="H39" s="68" t="inlineStr"/>
    </row>
    <row r="40">
      <c r="A40" s="65" t="n">
        <v>27</v>
      </c>
      <c r="B40" s="65" t="n">
        <v>26</v>
      </c>
      <c r="C40" s="66" t="n">
        <v>4571.2</v>
      </c>
      <c r="D40" s="66" t="n">
        <v>4618.61058</v>
      </c>
      <c r="E40" s="67">
        <f>C40-D40</f>
        <v/>
      </c>
      <c r="F40" s="66">
        <f>E40^2</f>
        <v/>
      </c>
      <c r="G40" s="65" t="inlineStr"/>
      <c r="H40" s="65" t="inlineStr"/>
    </row>
    <row r="41">
      <c r="A41" s="68" t="n">
        <v>28</v>
      </c>
      <c r="B41" s="68" t="n">
        <v>27</v>
      </c>
      <c r="C41" s="69" t="n">
        <v>4522.39</v>
      </c>
      <c r="D41" s="69" t="n">
        <v>4620.83748</v>
      </c>
      <c r="E41" s="70">
        <f>C41-D41</f>
        <v/>
      </c>
      <c r="F41" s="69">
        <f>E41^2</f>
        <v/>
      </c>
      <c r="G41" s="68" t="inlineStr"/>
      <c r="H41" s="68" t="inlineStr"/>
    </row>
    <row r="42">
      <c r="A42" s="65" t="n">
        <v>29</v>
      </c>
      <c r="B42" s="65" t="n">
        <v>28</v>
      </c>
      <c r="C42" s="66" t="n">
        <v>4511.95</v>
      </c>
      <c r="D42" s="66" t="n">
        <v>4621.84971</v>
      </c>
      <c r="E42" s="67">
        <f>C42-D42</f>
        <v/>
      </c>
      <c r="F42" s="66">
        <f>E42^2</f>
        <v/>
      </c>
      <c r="G42" s="65" t="inlineStr"/>
      <c r="H42" s="65" t="inlineStr"/>
    </row>
    <row r="43">
      <c r="A43" s="68" t="n">
        <v>30</v>
      </c>
      <c r="B43" s="68" t="n">
        <v>29</v>
      </c>
      <c r="C43" s="69" t="n">
        <v>4517.46</v>
      </c>
      <c r="D43" s="69" t="n">
        <v>4623.06439</v>
      </c>
      <c r="E43" s="70">
        <f>C43-D43</f>
        <v/>
      </c>
      <c r="F43" s="69">
        <f>E43^2</f>
        <v/>
      </c>
      <c r="G43" s="68" t="inlineStr"/>
      <c r="H43" s="68" t="inlineStr"/>
    </row>
    <row r="44">
      <c r="A44" s="65" t="n">
        <v>31</v>
      </c>
      <c r="B44" s="65" t="n">
        <v>30</v>
      </c>
      <c r="C44" s="66" t="n">
        <v>4519.02</v>
      </c>
      <c r="D44" s="66" t="n">
        <v>4624.48151</v>
      </c>
      <c r="E44" s="67">
        <f>C44-D44</f>
        <v/>
      </c>
      <c r="F44" s="66">
        <f>E44^2</f>
        <v/>
      </c>
      <c r="G44" s="65" t="inlineStr"/>
      <c r="H44" s="65" t="inlineStr"/>
    </row>
    <row r="45">
      <c r="A45" s="68" t="n">
        <v>32</v>
      </c>
      <c r="B45" s="68" t="n">
        <v>31</v>
      </c>
      <c r="C45" s="69" t="n">
        <v>4518.52</v>
      </c>
      <c r="D45" s="69" t="n">
        <v>4625.29129</v>
      </c>
      <c r="E45" s="70">
        <f>C45-D45</f>
        <v/>
      </c>
      <c r="F45" s="69">
        <f>E45^2</f>
        <v/>
      </c>
      <c r="G45" s="68" t="inlineStr"/>
      <c r="H45" s="68" t="inlineStr"/>
    </row>
    <row r="46">
      <c r="A46" s="65" t="n">
        <v>33</v>
      </c>
      <c r="B46" s="65" t="n">
        <v>32</v>
      </c>
      <c r="C46" s="66" t="n">
        <v>4539.17</v>
      </c>
      <c r="D46" s="66" t="n">
        <v>4627.92308</v>
      </c>
      <c r="E46" s="67">
        <f>C46-D46</f>
        <v/>
      </c>
      <c r="F46" s="66">
        <f>E46^2</f>
        <v/>
      </c>
      <c r="G46" s="65" t="inlineStr"/>
      <c r="H46" s="65" t="inlineStr"/>
    </row>
    <row r="47">
      <c r="A47" s="68" t="n">
        <v>34</v>
      </c>
      <c r="B47" s="68" t="n">
        <v>33</v>
      </c>
      <c r="C47" s="69" t="n">
        <v>4531.71</v>
      </c>
      <c r="D47" s="69" t="n">
        <v>4629.3402</v>
      </c>
      <c r="E47" s="70">
        <f>C47-D47</f>
        <v/>
      </c>
      <c r="F47" s="69">
        <f>E47^2</f>
        <v/>
      </c>
      <c r="G47" s="68" t="inlineStr"/>
      <c r="H47" s="68" t="inlineStr"/>
    </row>
    <row r="48">
      <c r="A48" s="65" t="n">
        <v>35</v>
      </c>
      <c r="B48" s="65" t="n">
        <v>34</v>
      </c>
      <c r="C48" s="66" t="n">
        <v>4555.5</v>
      </c>
      <c r="D48" s="66" t="n">
        <v>4633.38912</v>
      </c>
      <c r="E48" s="67">
        <f>C48-D48</f>
        <v/>
      </c>
      <c r="F48" s="66">
        <f>E48^2</f>
        <v/>
      </c>
      <c r="G48" s="65" t="inlineStr"/>
      <c r="H48" s="65" t="inlineStr"/>
    </row>
    <row r="49">
      <c r="A49" s="68" t="n">
        <v>36</v>
      </c>
      <c r="B49" s="68" t="n">
        <v>35</v>
      </c>
      <c r="C49" s="69" t="n">
        <v>4543.73</v>
      </c>
      <c r="D49" s="69" t="n">
        <v>4634.40135</v>
      </c>
      <c r="E49" s="70">
        <f>C49-D49</f>
        <v/>
      </c>
      <c r="F49" s="69">
        <f>E49^2</f>
        <v/>
      </c>
      <c r="G49" s="68" t="inlineStr"/>
      <c r="H49" s="68" t="inlineStr"/>
    </row>
    <row r="50">
      <c r="A50" s="65" t="n">
        <v>37</v>
      </c>
      <c r="B50" s="65" t="n">
        <v>36</v>
      </c>
      <c r="C50" s="66" t="n">
        <v>4580.89</v>
      </c>
      <c r="D50" s="66" t="n">
        <v>4637.84292</v>
      </c>
      <c r="E50" s="67">
        <f>C50-D50</f>
        <v/>
      </c>
      <c r="F50" s="66">
        <f>E50^2</f>
        <v/>
      </c>
      <c r="G50" s="65" t="inlineStr"/>
      <c r="H50" s="65" t="inlineStr"/>
    </row>
    <row r="51">
      <c r="A51" s="68" t="n">
        <v>38</v>
      </c>
      <c r="B51" s="68" t="n">
        <v>37</v>
      </c>
      <c r="C51" s="69" t="n">
        <v>4560.43</v>
      </c>
      <c r="D51" s="69" t="n">
        <v>4639.86738</v>
      </c>
      <c r="E51" s="70">
        <f>C51-D51</f>
        <v/>
      </c>
      <c r="F51" s="69">
        <f>E51^2</f>
        <v/>
      </c>
      <c r="G51" s="68" t="inlineStr"/>
      <c r="H51" s="68" t="inlineStr"/>
    </row>
    <row r="52">
      <c r="A52" s="65" t="n">
        <v>39</v>
      </c>
      <c r="B52" s="65" t="n">
        <v>38</v>
      </c>
      <c r="C52" s="66" t="n">
        <v>4561.04</v>
      </c>
      <c r="D52" s="66" t="n">
        <v>4640.87961</v>
      </c>
      <c r="E52" s="67">
        <f>C52-D52</f>
        <v/>
      </c>
      <c r="F52" s="66">
        <f>E52^2</f>
        <v/>
      </c>
      <c r="G52" s="65" t="inlineStr"/>
      <c r="H52" s="65" t="inlineStr"/>
    </row>
    <row r="53">
      <c r="A53" s="68" t="n">
        <v>40</v>
      </c>
      <c r="B53" s="68" t="n">
        <v>39</v>
      </c>
      <c r="C53" s="69" t="n">
        <v>4550.67</v>
      </c>
      <c r="D53" s="69" t="n">
        <v>4642.70162</v>
      </c>
      <c r="E53" s="70">
        <f>C53-D53</f>
        <v/>
      </c>
      <c r="F53" s="69">
        <f>E53^2</f>
        <v/>
      </c>
      <c r="G53" s="68" t="inlineStr"/>
      <c r="H53" s="68" t="inlineStr"/>
    </row>
    <row r="54">
      <c r="A54" s="65" t="n">
        <v>41</v>
      </c>
      <c r="B54" s="65" t="n">
        <v>40</v>
      </c>
      <c r="C54" s="66" t="n">
        <v>4711.97</v>
      </c>
      <c r="D54" s="66" t="n">
        <v>4653.2288</v>
      </c>
      <c r="E54" s="67">
        <f>C54-D54</f>
        <v/>
      </c>
      <c r="F54" s="66">
        <f>E54^2</f>
        <v/>
      </c>
      <c r="G54" s="65" t="inlineStr"/>
      <c r="H54" s="65" t="inlineStr"/>
    </row>
    <row r="55">
      <c r="A55" s="68" t="n">
        <v>42</v>
      </c>
      <c r="B55" s="68" t="n">
        <v>41</v>
      </c>
      <c r="C55" s="69" t="n">
        <v>4683.63</v>
      </c>
      <c r="D55" s="69" t="n">
        <v>4654.84836</v>
      </c>
      <c r="E55" s="70">
        <f>C55-D55</f>
        <v/>
      </c>
      <c r="F55" s="69">
        <f>E55^2</f>
        <v/>
      </c>
      <c r="G55" s="68" t="inlineStr"/>
      <c r="H55" s="68" t="inlineStr"/>
    </row>
    <row r="56">
      <c r="A56" s="65" t="n">
        <v>43</v>
      </c>
      <c r="B56" s="65" t="n">
        <v>42</v>
      </c>
      <c r="C56" s="66" t="n">
        <v>4703.14</v>
      </c>
      <c r="D56" s="66" t="n">
        <v>4656.26548</v>
      </c>
      <c r="E56" s="67">
        <f>C56-D56</f>
        <v/>
      </c>
      <c r="F56" s="66">
        <f>E56^2</f>
        <v/>
      </c>
      <c r="G56" s="65" t="inlineStr"/>
      <c r="H56" s="65" t="inlineStr"/>
    </row>
    <row r="57">
      <c r="A57" s="68" t="n">
        <v>44</v>
      </c>
      <c r="B57" s="68" t="n">
        <v>43</v>
      </c>
      <c r="C57" s="69" t="n">
        <v>4680.64</v>
      </c>
      <c r="D57" s="69" t="n">
        <v>4658.49238</v>
      </c>
      <c r="E57" s="70">
        <f>C57-D57</f>
        <v/>
      </c>
      <c r="F57" s="69">
        <f>E57^2</f>
        <v/>
      </c>
      <c r="G57" s="68" t="inlineStr"/>
      <c r="H57" s="68" t="inlineStr"/>
    </row>
    <row r="58">
      <c r="A58" s="65" t="n">
        <v>45</v>
      </c>
      <c r="B58" s="65" t="n">
        <v>44</v>
      </c>
      <c r="C58" s="66" t="n">
        <v>4689.09</v>
      </c>
      <c r="D58" s="66" t="n">
        <v>4660.92173</v>
      </c>
      <c r="E58" s="67">
        <f>C58-D58</f>
        <v/>
      </c>
      <c r="F58" s="66">
        <f>E58^2</f>
        <v/>
      </c>
      <c r="G58" s="65" t="inlineStr"/>
      <c r="H58" s="65" t="inlineStr"/>
    </row>
    <row r="59">
      <c r="A59" s="68" t="n">
        <v>46</v>
      </c>
      <c r="B59" s="68" t="n">
        <v>45</v>
      </c>
      <c r="C59" s="69" t="n">
        <v>4690.95</v>
      </c>
      <c r="D59" s="69" t="n">
        <v>4661.12418</v>
      </c>
      <c r="E59" s="70">
        <f>C59-D59</f>
        <v/>
      </c>
      <c r="F59" s="69">
        <f>E59^2</f>
        <v/>
      </c>
      <c r="G59" s="68" t="inlineStr"/>
      <c r="H59" s="68" t="inlineStr"/>
    </row>
    <row r="60">
      <c r="A60" s="65" t="n">
        <v>47</v>
      </c>
      <c r="B60" s="65" t="n">
        <v>46</v>
      </c>
      <c r="C60" s="66" t="n">
        <v>4693.6</v>
      </c>
      <c r="D60" s="66" t="n">
        <v>4662.33885</v>
      </c>
      <c r="E60" s="67">
        <f>C60-D60</f>
        <v/>
      </c>
      <c r="F60" s="66">
        <f>E60^2</f>
        <v/>
      </c>
      <c r="G60" s="65" t="inlineStr"/>
      <c r="H60" s="65" t="inlineStr"/>
    </row>
    <row r="61">
      <c r="A61" s="68" t="n">
        <v>48</v>
      </c>
      <c r="B61" s="68" t="n">
        <v>47</v>
      </c>
      <c r="C61" s="69" t="n">
        <v>4692.51</v>
      </c>
      <c r="D61" s="69" t="n">
        <v>4663.14863</v>
      </c>
      <c r="E61" s="70">
        <f>C61-D61</f>
        <v/>
      </c>
      <c r="F61" s="69">
        <f>E61^2</f>
        <v/>
      </c>
      <c r="G61" s="68" t="inlineStr"/>
      <c r="H61" s="68" t="inlineStr"/>
    </row>
    <row r="62">
      <c r="A62" s="65" t="n">
        <v>49</v>
      </c>
      <c r="B62" s="65" t="n">
        <v>48</v>
      </c>
      <c r="C62" s="66" t="n">
        <v>4704.24</v>
      </c>
      <c r="D62" s="66" t="n">
        <v>4664.97065</v>
      </c>
      <c r="E62" s="67">
        <f>C62-D62</f>
        <v/>
      </c>
      <c r="F62" s="66">
        <f>E62^2</f>
        <v/>
      </c>
      <c r="G62" s="65" t="inlineStr"/>
      <c r="H62" s="65" t="inlineStr"/>
    </row>
    <row r="63">
      <c r="A63" s="68" t="n">
        <v>50</v>
      </c>
      <c r="B63" s="68" t="n">
        <v>49</v>
      </c>
      <c r="C63" s="69" t="n">
        <v>4696.05</v>
      </c>
      <c r="D63" s="69" t="n">
        <v>4667.19755</v>
      </c>
      <c r="E63" s="70">
        <f>C63-D63</f>
        <v/>
      </c>
      <c r="F63" s="69">
        <f>E63^2</f>
        <v/>
      </c>
      <c r="G63" s="68" t="inlineStr"/>
      <c r="H63" s="68" t="inlineStr"/>
    </row>
    <row r="64">
      <c r="A64" s="65" t="n">
        <v>51</v>
      </c>
      <c r="B64" s="65" t="n">
        <v>50</v>
      </c>
      <c r="C64" s="66" t="n">
        <v>4742.66</v>
      </c>
      <c r="D64" s="66" t="n">
        <v>4669.42445</v>
      </c>
      <c r="E64" s="67">
        <f>C64-D64</f>
        <v/>
      </c>
      <c r="F64" s="66">
        <f>E64^2</f>
        <v/>
      </c>
      <c r="G64" s="65" t="inlineStr"/>
      <c r="H64" s="65" t="inlineStr"/>
    </row>
    <row r="65">
      <c r="A65" s="68" t="n">
        <v>52</v>
      </c>
      <c r="B65" s="68" t="n">
        <v>51</v>
      </c>
      <c r="C65" s="69" t="n">
        <v>4734.98</v>
      </c>
      <c r="D65" s="69" t="n">
        <v>4671.04402</v>
      </c>
      <c r="E65" s="70">
        <f>C65-D65</f>
        <v/>
      </c>
      <c r="F65" s="69">
        <f>E65^2</f>
        <v/>
      </c>
      <c r="G65" s="68" t="inlineStr"/>
      <c r="H65" s="68" t="inlineStr"/>
    </row>
    <row r="66">
      <c r="A66" s="65" t="n">
        <v>53</v>
      </c>
      <c r="B66" s="65" t="n">
        <v>52</v>
      </c>
      <c r="C66" s="66" t="n">
        <v>4762.74</v>
      </c>
      <c r="D66" s="66" t="n">
        <v>4674.89049</v>
      </c>
      <c r="E66" s="67">
        <f>C66-D66</f>
        <v/>
      </c>
      <c r="F66" s="66">
        <f>E66^2</f>
        <v/>
      </c>
      <c r="G66" s="65" t="inlineStr"/>
      <c r="H66" s="65" t="inlineStr"/>
    </row>
    <row r="67">
      <c r="A67" s="68" t="n">
        <v>54</v>
      </c>
      <c r="B67" s="68" t="n">
        <v>53</v>
      </c>
      <c r="C67" s="69" t="n">
        <v>4708.08</v>
      </c>
      <c r="D67" s="69" t="n">
        <v>4677.52228</v>
      </c>
      <c r="E67" s="70">
        <f>C67-D67</f>
        <v/>
      </c>
      <c r="F67" s="69">
        <f>E67^2</f>
        <v/>
      </c>
      <c r="G67" s="68" t="inlineStr"/>
      <c r="H67" s="68" t="inlineStr"/>
    </row>
    <row r="68">
      <c r="A68" s="65" t="n">
        <v>55</v>
      </c>
      <c r="B68" s="65" t="n">
        <v>54</v>
      </c>
      <c r="C68" s="66" t="n">
        <v>4709.69</v>
      </c>
      <c r="D68" s="66" t="n">
        <v>4678.73695</v>
      </c>
      <c r="E68" s="67">
        <f>C68-D68</f>
        <v/>
      </c>
      <c r="F68" s="66">
        <f>E68^2</f>
        <v/>
      </c>
      <c r="G68" s="65" t="inlineStr"/>
      <c r="H68" s="65" t="inlineStr"/>
    </row>
    <row r="69">
      <c r="A69" s="68" t="n">
        <v>56</v>
      </c>
      <c r="B69" s="68" t="n">
        <v>55</v>
      </c>
      <c r="C69" s="69" t="n">
        <v>4691.8</v>
      </c>
      <c r="D69" s="69" t="n">
        <v>4680.76141</v>
      </c>
      <c r="E69" s="70">
        <f>C69-D69</f>
        <v/>
      </c>
      <c r="F69" s="69">
        <f>E69^2</f>
        <v/>
      </c>
      <c r="G69" s="68" t="inlineStr"/>
      <c r="H69" s="68" t="inlineStr"/>
    </row>
    <row r="70">
      <c r="A70" s="65" t="n">
        <v>57</v>
      </c>
      <c r="B70" s="65" t="n">
        <v>56</v>
      </c>
      <c r="C70" s="66" t="n">
        <v>4720.44</v>
      </c>
      <c r="D70" s="66" t="n">
        <v>4684.20299</v>
      </c>
      <c r="E70" s="67">
        <f>C70-D70</f>
        <v/>
      </c>
      <c r="F70" s="66">
        <f>E70^2</f>
        <v/>
      </c>
      <c r="G70" s="65" t="inlineStr"/>
      <c r="H70" s="65" t="inlineStr"/>
    </row>
    <row r="71">
      <c r="A71" s="68" t="n">
        <v>58</v>
      </c>
      <c r="B71" s="68" t="n">
        <v>57</v>
      </c>
      <c r="C71" s="69" t="n">
        <v>4711.09</v>
      </c>
      <c r="D71" s="69" t="n">
        <v>4685.41766</v>
      </c>
      <c r="E71" s="70">
        <f>C71-D71</f>
        <v/>
      </c>
      <c r="F71" s="69">
        <f>E71^2</f>
        <v/>
      </c>
      <c r="G71" s="68" t="inlineStr"/>
      <c r="H71" s="68" t="inlineStr"/>
    </row>
    <row r="72">
      <c r="A72" s="65" t="n">
        <v>59</v>
      </c>
      <c r="B72" s="65" t="n">
        <v>58</v>
      </c>
      <c r="C72" s="66" t="n">
        <v>4728.52</v>
      </c>
      <c r="D72" s="66" t="n">
        <v>4686.83478</v>
      </c>
      <c r="E72" s="67">
        <f>C72-D72</f>
        <v/>
      </c>
      <c r="F72" s="66">
        <f>E72^2</f>
        <v/>
      </c>
      <c r="G72" s="65" t="inlineStr"/>
      <c r="H72" s="65" t="inlineStr"/>
    </row>
    <row r="73">
      <c r="A73" s="68" t="n">
        <v>60</v>
      </c>
      <c r="B73" s="68" t="n">
        <v>59</v>
      </c>
      <c r="C73" s="69" t="n">
        <v>4716.85</v>
      </c>
      <c r="D73" s="69" t="n">
        <v>4688.45435</v>
      </c>
      <c r="E73" s="70">
        <f>C73-D73</f>
        <v/>
      </c>
      <c r="F73" s="69">
        <f>E73^2</f>
        <v/>
      </c>
      <c r="G73" s="68" t="inlineStr"/>
      <c r="H73" s="68" t="inlineStr"/>
    </row>
    <row r="74">
      <c r="A74" s="65" t="n">
        <v>61</v>
      </c>
      <c r="B74" s="65" t="n">
        <v>60</v>
      </c>
      <c r="C74" s="66" t="n">
        <v>4722.05</v>
      </c>
      <c r="D74" s="66" t="n">
        <v>4690.4788</v>
      </c>
      <c r="E74" s="67">
        <f>C74-D74</f>
        <v/>
      </c>
      <c r="F74" s="66">
        <f>E74^2</f>
        <v/>
      </c>
      <c r="G74" s="65" t="inlineStr"/>
      <c r="H74" s="65" t="inlineStr"/>
    </row>
    <row r="75">
      <c r="A75" s="68" t="n">
        <v>62</v>
      </c>
      <c r="B75" s="68" t="n">
        <v>61</v>
      </c>
      <c r="C75" s="69" t="n">
        <v>4710.4</v>
      </c>
      <c r="D75" s="69" t="n">
        <v>4691.49103</v>
      </c>
      <c r="E75" s="70">
        <f>C75-D75</f>
        <v/>
      </c>
      <c r="F75" s="69">
        <f>E75^2</f>
        <v/>
      </c>
      <c r="G75" s="68" t="inlineStr"/>
      <c r="H75" s="68" t="inlineStr"/>
    </row>
    <row r="76">
      <c r="A76" s="65" t="n">
        <v>63</v>
      </c>
      <c r="B76" s="65" t="n">
        <v>62</v>
      </c>
      <c r="C76" s="66" t="n">
        <v>4731.78</v>
      </c>
      <c r="D76" s="66" t="n">
        <v>4692.90815</v>
      </c>
      <c r="E76" s="67">
        <f>C76-D76</f>
        <v/>
      </c>
      <c r="F76" s="66">
        <f>E76^2</f>
        <v/>
      </c>
      <c r="G76" s="65" t="inlineStr"/>
      <c r="H76" s="65" t="inlineStr"/>
    </row>
    <row r="77">
      <c r="A77" s="68" t="n">
        <v>64</v>
      </c>
      <c r="B77" s="68" t="n">
        <v>63</v>
      </c>
      <c r="C77" s="69" t="n">
        <v>4717.67</v>
      </c>
      <c r="D77" s="69" t="n">
        <v>4694.73016</v>
      </c>
      <c r="E77" s="70">
        <f>C77-D77</f>
        <v/>
      </c>
      <c r="F77" s="69">
        <f>E77^2</f>
        <v/>
      </c>
      <c r="G77" s="68" t="inlineStr"/>
      <c r="H77" s="68" t="inlineStr"/>
    </row>
    <row r="78">
      <c r="A78" s="65" t="n">
        <v>65</v>
      </c>
      <c r="B78" s="65" t="n">
        <v>64</v>
      </c>
      <c r="C78" s="66" t="n">
        <v>4725.3</v>
      </c>
      <c r="D78" s="66" t="n">
        <v>4697.36196</v>
      </c>
      <c r="E78" s="67">
        <f>C78-D78</f>
        <v/>
      </c>
      <c r="F78" s="66">
        <f>E78^2</f>
        <v/>
      </c>
      <c r="G78" s="65" t="inlineStr"/>
      <c r="H78" s="65" t="inlineStr"/>
    </row>
    <row r="80" ht="18" customHeight="1" s="28">
      <c r="A80" s="61" t="inlineStr">
        <is>
          <t>STEP 2 — Auxiliary OLS via LINEST:  eᵢ² = γ₀ + γ₁·bar_index + u   →   extract R²_aux</t>
        </is>
      </c>
    </row>
    <row r="81">
      <c r="A81" s="79" t="inlineStr">
        <is>
          <t>LINEST(y, x, TRUE, TRUE) → 5×2 array:  Row1=[slope,intercept]  Row2=[SE_slope,SE_int]  Row3=[R², SE_y]  Row4=[F, df_resid]  Row5=[SS_reg, SS_resid]</t>
        </is>
      </c>
    </row>
    <row r="82">
      <c r="A82" s="72" t="inlineStr">
        <is>
          <t>γ₁  — slope of bar_index in auxiliary regression</t>
        </is>
      </c>
      <c r="F82" s="75">
        <f>INDEX(LINEST(F14:F78,B14:B78,TRUE,TRUE),1,1)</f>
        <v/>
      </c>
    </row>
    <row r="83">
      <c r="A83" s="72" t="inlineStr">
        <is>
          <t>γ₀  — intercept of auxiliary regression</t>
        </is>
      </c>
      <c r="F83" s="75">
        <f>INDEX(LINEST(F14:F78,B14:B78,TRUE,TRUE),1,2)</f>
        <v/>
      </c>
    </row>
    <row r="84">
      <c r="A84" s="72" t="inlineStr">
        <is>
          <t>R²_aux  =  INDEX(LINEST(eᵢ², X, TRUE, TRUE), 3, 1)</t>
        </is>
      </c>
      <c r="F84" s="75">
        <f>INDEX(LINEST(F14:F78,B14:B78,TRUE,TRUE),3,1)</f>
        <v/>
      </c>
    </row>
    <row r="85">
      <c r="A85" s="72" t="inlineStr">
        <is>
          <t>SE of auxiliary regression</t>
        </is>
      </c>
      <c r="F85" s="77">
        <f>INDEX(LINEST(F14:F78,B14:B78,TRUE,TRUE),3,2)</f>
        <v/>
      </c>
    </row>
    <row r="86">
      <c r="A86" s="72" t="inlineStr">
        <is>
          <t>F-statistic  (auxiliary regression)</t>
        </is>
      </c>
      <c r="F86" s="74">
        <f>INDEX(LINEST(F14:F78,B14:B78,TRUE,TRUE),4,1)</f>
        <v/>
      </c>
    </row>
    <row r="87">
      <c r="A87" s="72" t="inlineStr">
        <is>
          <t>df residual  (auxiliary regression)</t>
        </is>
      </c>
      <c r="F87" s="73">
        <f>INDEX(LINEST(F14:F78,B14:B78,TRUE,TRUE),4,2)</f>
        <v/>
      </c>
    </row>
    <row r="89" ht="18" customHeight="1" s="28">
      <c r="A89" s="61" t="inlineStr">
        <is>
          <t>STEP 3 — LM Test Statistic  =  n · R²_aux   ~  χ²(1)</t>
        </is>
      </c>
    </row>
    <row r="90">
      <c r="A90" s="72" t="inlineStr">
        <is>
          <t>n  (sample size)</t>
        </is>
      </c>
      <c r="F90" s="73" t="n">
        <v>65</v>
      </c>
    </row>
    <row r="91">
      <c r="A91" s="72" t="inlineStr">
        <is>
          <t>k  (predictors in aux. reg.)</t>
        </is>
      </c>
      <c r="F91" s="73" t="n">
        <v>1</v>
      </c>
    </row>
    <row r="92">
      <c r="A92" s="72" t="inlineStr">
        <is>
          <t>R²_aux  (from LINEST Step 2)</t>
        </is>
      </c>
      <c r="F92" s="75">
        <f>F84</f>
        <v/>
      </c>
    </row>
    <row r="93">
      <c r="A93" s="72" t="inlineStr">
        <is>
          <t>LM  =  n · R²_aux</t>
        </is>
      </c>
      <c r="F93" s="75">
        <f>F90*F92</f>
        <v/>
      </c>
    </row>
    <row r="94">
      <c r="A94" s="72" t="inlineStr">
        <is>
          <t>p-value  =  CHIDIST(LM, k)</t>
        </is>
      </c>
      <c r="F94" s="75">
        <f>CHIDIST(F93,F91)</f>
        <v/>
      </c>
    </row>
    <row r="95">
      <c r="A95" s="72" t="inlineStr">
        <is>
          <t>Reference LM  (statsmodels)</t>
        </is>
      </c>
      <c r="F95" s="75" t="n">
        <v>0.095415</v>
      </c>
    </row>
    <row r="96">
      <c r="A96" s="72" t="inlineStr">
        <is>
          <t>Reference p-value  (statsmodels)</t>
        </is>
      </c>
      <c r="F96" s="75" t="n">
        <v>0.757403</v>
      </c>
    </row>
    <row r="97">
      <c r="A97" s="72" t="inlineStr">
        <is>
          <t>α  (significance level)</t>
        </is>
      </c>
      <c r="F97" s="77" t="n">
        <v>0.05</v>
      </c>
    </row>
    <row r="98" ht="22" customHeight="1" s="28">
      <c r="A98" s="81" t="inlineStr">
        <is>
          <t>DECISION:  p-value (0.7574) &gt; α (0.05)  ⟹  FAIL TO REJECT H₀  →  No significant heteroscedasticity in Base_FL crossing residuals  [LM = 0.0954 | Variance appears stable across bar_index]</t>
        </is>
      </c>
    </row>
  </sheetData>
  <mergeCells count="44">
    <mergeCell ref="F95:H95"/>
    <mergeCell ref="A83:E83"/>
    <mergeCell ref="B9:H9"/>
    <mergeCell ref="F94:H94"/>
    <mergeCell ref="A82:E82"/>
    <mergeCell ref="F85:H85"/>
    <mergeCell ref="B6:H6"/>
    <mergeCell ref="A98:H98"/>
    <mergeCell ref="A94:E94"/>
    <mergeCell ref="F97:H97"/>
    <mergeCell ref="A1:H1"/>
    <mergeCell ref="B5:H5"/>
    <mergeCell ref="F91:H91"/>
    <mergeCell ref="A87:E87"/>
    <mergeCell ref="F90:H90"/>
    <mergeCell ref="B4:H4"/>
    <mergeCell ref="A90:E90"/>
    <mergeCell ref="F93:H93"/>
    <mergeCell ref="F96:H96"/>
    <mergeCell ref="A84:E84"/>
    <mergeCell ref="B7:H7"/>
    <mergeCell ref="A80:H80"/>
    <mergeCell ref="G13:H13"/>
    <mergeCell ref="B3:H3"/>
    <mergeCell ref="F92:H92"/>
    <mergeCell ref="A89:H89"/>
    <mergeCell ref="A12:H12"/>
    <mergeCell ref="F82:H82"/>
    <mergeCell ref="A95:E95"/>
    <mergeCell ref="A86:E86"/>
    <mergeCell ref="A85:E85"/>
    <mergeCell ref="B2:H2"/>
    <mergeCell ref="A97:E97"/>
    <mergeCell ref="F87:H87"/>
    <mergeCell ref="A91:E91"/>
    <mergeCell ref="B8:H8"/>
    <mergeCell ref="A96:E96"/>
    <mergeCell ref="A81:H81"/>
    <mergeCell ref="F84:H84"/>
    <mergeCell ref="A93:E93"/>
    <mergeCell ref="B10:H10"/>
    <mergeCell ref="F83:H83"/>
    <mergeCell ref="F86:H86"/>
    <mergeCell ref="A92:E9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75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style="28" min="1" max="1"/>
    <col width="14" customWidth="1" style="28" min="2" max="2"/>
    <col width="14" customWidth="1" style="28" min="3" max="3"/>
    <col width="14" customWidth="1" style="28" min="4" max="4"/>
    <col width="16" customWidth="1" style="28" min="5" max="5"/>
    <col width="16" customWidth="1" style="28" min="6" max="6"/>
    <col width="16" customWidth="1" style="28" min="7" max="7"/>
    <col width="8" customWidth="1" style="28" min="8" max="8"/>
    <col width="6" customWidth="1" style="28" min="9" max="9"/>
  </cols>
  <sheetData>
    <row r="1" ht="26" customHeight="1" s="28">
      <c r="A1" s="58" t="inlineStr">
        <is>
          <t>WHITE'S HOMOSCEDASTICITY TEST  |  MODEL B  |  n = 741  |  Residual = close − Base_FL</t>
        </is>
      </c>
    </row>
    <row r="2" ht="16" customHeight="1" s="28">
      <c r="A2" s="59" t="inlineStr">
        <is>
          <t>H₀:</t>
        </is>
      </c>
      <c r="B2" s="60" t="inlineStr">
        <is>
          <t>Variance of residuals is constant (homoscedastic)   |   H₁: Variance depends on X or X²</t>
        </is>
      </c>
    </row>
    <row r="3" ht="16" customHeight="1" s="28">
      <c r="A3" s="59" t="inlineStr">
        <is>
          <t>PURPOSE:</t>
        </is>
      </c>
      <c r="B3" s="60" t="inlineStr">
        <is>
          <t>Extends Breusch-Pagan by including X² in auxiliary regression, capturing both linear AND non-linear variance patterns.  Recommended for n &gt; 100.</t>
        </is>
      </c>
    </row>
    <row r="4" ht="16" customHeight="1" s="28">
      <c r="A4" s="59" t="inlineStr">
        <is>
          <t>RESIDUAL:</t>
        </is>
      </c>
      <c r="B4" s="60" t="inlineStr">
        <is>
          <t>eᵢ  =  closeᵢ  −  Base_FLᵢ   [Base_FL from MQL5 EDT-Centroid indicator, all 741 bars]</t>
        </is>
      </c>
    </row>
    <row r="5" ht="16" customHeight="1" s="28">
      <c r="A5" s="59" t="inlineStr">
        <is>
          <t>STEPS:</t>
        </is>
      </c>
      <c r="B5" s="60" t="inlineStr">
        <is>
          <t>1. Compute eᵢ = closeᵢ − Base_FLᵢ   (Base_FL IS the fitted line — no OLS needed)</t>
        </is>
      </c>
    </row>
    <row r="6" ht="16" customHeight="1" s="28">
      <c r="A6" s="59" t="inlineStr"/>
      <c r="B6" s="60" t="inlineStr">
        <is>
          <t>2. Compute eᵢ²  and  Xᵢ²  (bar_index squared)</t>
        </is>
      </c>
    </row>
    <row r="7" ht="16" customHeight="1" s="28">
      <c r="A7" s="59" t="inlineStr"/>
      <c r="B7" s="60" t="inlineStr">
        <is>
          <t>3. Auxiliary OLS:  eᵢ²  =  γ₀ + γ₁·X + γ₂·X²  +  u   →   R²_aux</t>
        </is>
      </c>
    </row>
    <row r="8" ht="16" customHeight="1" s="28">
      <c r="A8" s="59" t="inlineStr"/>
      <c r="B8" s="60" t="inlineStr">
        <is>
          <t>4. LM  =  n · R²_aux   ~  χ²(k),   k = 2  (X and X²)</t>
        </is>
      </c>
    </row>
    <row r="9" ht="16" customHeight="1" s="28">
      <c r="A9" s="59" t="inlineStr">
        <is>
          <t>KEY DIFF:</t>
        </is>
      </c>
      <c r="B9" s="60" t="inlineStr">
        <is>
          <t>White detects curved variance patterns (e.g. low variance mid-series, high at both ends) that Breusch-Pagan misses.</t>
        </is>
      </c>
    </row>
    <row r="10" ht="16" customHeight="1" s="28">
      <c r="A10" s="59" t="inlineStr">
        <is>
          <t>DECISION:</t>
        </is>
      </c>
      <c r="B10" s="60" t="inlineStr">
        <is>
          <t>Reject H₀ if  p-value &lt; α = 0.05</t>
        </is>
      </c>
    </row>
    <row r="12" ht="18" customHeight="1" s="28">
      <c r="A12" s="61" t="inlineStr">
        <is>
          <t>STEP 1 — Residuals  eᵢ = closeᵢ − Base_FLᵢ,  eᵢ²,  and  Xᵢ²   (all 741 bars)</t>
        </is>
      </c>
    </row>
    <row r="13" ht="32" customHeight="1" s="28">
      <c r="A13" s="62" t="inlineStr">
        <is>
          <t>i</t>
        </is>
      </c>
      <c r="B13" s="62" t="inlineStr">
        <is>
          <t>X = Bar Index</t>
        </is>
      </c>
      <c r="C13" s="62" t="inlineStr">
        <is>
          <t>X²  (predictor²)</t>
        </is>
      </c>
      <c r="D13" s="62" t="inlineStr">
        <is>
          <t>Close Price</t>
        </is>
      </c>
      <c r="E13" s="62" t="inlineStr">
        <is>
          <t>Base_FL  (MQL5)</t>
        </is>
      </c>
      <c r="F13" s="62" t="inlineStr">
        <is>
          <t>Residual  eᵢ</t>
        </is>
      </c>
      <c r="G13" s="62" t="inlineStr">
        <is>
          <t>eᵢ²  (aux. Y)</t>
        </is>
      </c>
      <c r="H13" s="62" t="inlineStr"/>
      <c r="I13" s="64" t="n"/>
    </row>
    <row r="14">
      <c r="A14" s="65" t="n">
        <v>1</v>
      </c>
      <c r="B14" s="82" t="n">
        <v>0</v>
      </c>
      <c r="C14" s="82">
        <f>B14^2</f>
        <v/>
      </c>
      <c r="D14" s="66" t="n">
        <v>4595.7</v>
      </c>
      <c r="E14" s="66" t="n">
        <v>4548.56437</v>
      </c>
      <c r="F14" s="67">
        <f>D14-E14</f>
        <v/>
      </c>
      <c r="G14" s="66">
        <f>F14^2</f>
        <v/>
      </c>
      <c r="H14" s="65" t="inlineStr"/>
      <c r="I14" s="65" t="inlineStr"/>
    </row>
    <row r="15">
      <c r="A15" s="68" t="n">
        <v>2</v>
      </c>
      <c r="B15" s="83" t="n">
        <v>1</v>
      </c>
      <c r="C15" s="83">
        <f>B15^2</f>
        <v/>
      </c>
      <c r="D15" s="69" t="n">
        <v>4597.28</v>
      </c>
      <c r="E15" s="69" t="n">
        <v>4548.76682</v>
      </c>
      <c r="F15" s="70">
        <f>D15-E15</f>
        <v/>
      </c>
      <c r="G15" s="69">
        <f>F15^2</f>
        <v/>
      </c>
      <c r="H15" s="68" t="inlineStr"/>
      <c r="I15" s="68" t="inlineStr"/>
    </row>
    <row r="16">
      <c r="A16" s="65" t="n">
        <v>3</v>
      </c>
      <c r="B16" s="82" t="n">
        <v>2</v>
      </c>
      <c r="C16" s="82">
        <f>B16^2</f>
        <v/>
      </c>
      <c r="D16" s="66" t="n">
        <v>4592.85</v>
      </c>
      <c r="E16" s="66" t="n">
        <v>4548.96926</v>
      </c>
      <c r="F16" s="67">
        <f>D16-E16</f>
        <v/>
      </c>
      <c r="G16" s="66">
        <f>F16^2</f>
        <v/>
      </c>
      <c r="H16" s="65" t="inlineStr"/>
      <c r="I16" s="65" t="inlineStr"/>
    </row>
    <row r="17">
      <c r="A17" s="68" t="n">
        <v>4</v>
      </c>
      <c r="B17" s="83" t="n">
        <v>3</v>
      </c>
      <c r="C17" s="83">
        <f>B17^2</f>
        <v/>
      </c>
      <c r="D17" s="69" t="n">
        <v>4593.44</v>
      </c>
      <c r="E17" s="69" t="n">
        <v>4549.17171</v>
      </c>
      <c r="F17" s="70">
        <f>D17-E17</f>
        <v/>
      </c>
      <c r="G17" s="69">
        <f>F17^2</f>
        <v/>
      </c>
      <c r="H17" s="68" t="inlineStr"/>
      <c r="I17" s="68" t="inlineStr"/>
    </row>
    <row r="18">
      <c r="A18" s="65" t="n">
        <v>5</v>
      </c>
      <c r="B18" s="82" t="n">
        <v>4</v>
      </c>
      <c r="C18" s="82">
        <f>B18^2</f>
        <v/>
      </c>
      <c r="D18" s="66" t="n">
        <v>4597.18</v>
      </c>
      <c r="E18" s="66" t="n">
        <v>4549.37415</v>
      </c>
      <c r="F18" s="67">
        <f>D18-E18</f>
        <v/>
      </c>
      <c r="G18" s="66">
        <f>F18^2</f>
        <v/>
      </c>
      <c r="H18" s="65" t="inlineStr"/>
      <c r="I18" s="65" t="inlineStr"/>
    </row>
    <row r="19">
      <c r="A19" s="68" t="n">
        <v>6</v>
      </c>
      <c r="B19" s="83" t="n">
        <v>5</v>
      </c>
      <c r="C19" s="83">
        <f>B19^2</f>
        <v/>
      </c>
      <c r="D19" s="69" t="n">
        <v>4596.42</v>
      </c>
      <c r="E19" s="69" t="n">
        <v>4549.5766</v>
      </c>
      <c r="F19" s="70">
        <f>D19-E19</f>
        <v/>
      </c>
      <c r="G19" s="69">
        <f>F19^2</f>
        <v/>
      </c>
      <c r="H19" s="68" t="inlineStr"/>
      <c r="I19" s="68" t="inlineStr"/>
    </row>
    <row r="20">
      <c r="A20" s="65" t="n">
        <v>7</v>
      </c>
      <c r="B20" s="82" t="n">
        <v>6</v>
      </c>
      <c r="C20" s="82">
        <f>B20^2</f>
        <v/>
      </c>
      <c r="D20" s="66" t="n">
        <v>4595.82</v>
      </c>
      <c r="E20" s="66" t="n">
        <v>4549.77905</v>
      </c>
      <c r="F20" s="67">
        <f>D20-E20</f>
        <v/>
      </c>
      <c r="G20" s="66">
        <f>F20^2</f>
        <v/>
      </c>
      <c r="H20" s="65" t="inlineStr"/>
      <c r="I20" s="65" t="inlineStr"/>
    </row>
    <row r="21">
      <c r="A21" s="68" t="n">
        <v>8</v>
      </c>
      <c r="B21" s="83" t="n">
        <v>7</v>
      </c>
      <c r="C21" s="83">
        <f>B21^2</f>
        <v/>
      </c>
      <c r="D21" s="69" t="n">
        <v>4593.71</v>
      </c>
      <c r="E21" s="69" t="n">
        <v>4549.98149</v>
      </c>
      <c r="F21" s="70">
        <f>D21-E21</f>
        <v/>
      </c>
      <c r="G21" s="69">
        <f>F21^2</f>
        <v/>
      </c>
      <c r="H21" s="68" t="inlineStr"/>
      <c r="I21" s="68" t="inlineStr"/>
    </row>
    <row r="22">
      <c r="A22" s="65" t="n">
        <v>9</v>
      </c>
      <c r="B22" s="82" t="n">
        <v>8</v>
      </c>
      <c r="C22" s="82">
        <f>B22^2</f>
        <v/>
      </c>
      <c r="D22" s="66" t="n">
        <v>4594.16</v>
      </c>
      <c r="E22" s="66" t="n">
        <v>4550.18394</v>
      </c>
      <c r="F22" s="67">
        <f>D22-E22</f>
        <v/>
      </c>
      <c r="G22" s="66">
        <f>F22^2</f>
        <v/>
      </c>
      <c r="H22" s="65" t="inlineStr"/>
      <c r="I22" s="65" t="inlineStr"/>
    </row>
    <row r="23">
      <c r="A23" s="68" t="n">
        <v>10</v>
      </c>
      <c r="B23" s="83" t="n">
        <v>9</v>
      </c>
      <c r="C23" s="83">
        <f>B23^2</f>
        <v/>
      </c>
      <c r="D23" s="69" t="n">
        <v>4590.84</v>
      </c>
      <c r="E23" s="69" t="n">
        <v>4550.38638</v>
      </c>
      <c r="F23" s="70">
        <f>D23-E23</f>
        <v/>
      </c>
      <c r="G23" s="69">
        <f>F23^2</f>
        <v/>
      </c>
      <c r="H23" s="68" t="inlineStr"/>
      <c r="I23" s="68" t="inlineStr"/>
    </row>
    <row r="24">
      <c r="A24" s="65" t="n">
        <v>11</v>
      </c>
      <c r="B24" s="82" t="n">
        <v>10</v>
      </c>
      <c r="C24" s="82">
        <f>B24^2</f>
        <v/>
      </c>
      <c r="D24" s="66" t="n">
        <v>4592.2</v>
      </c>
      <c r="E24" s="66" t="n">
        <v>4550.58883</v>
      </c>
      <c r="F24" s="67">
        <f>D24-E24</f>
        <v/>
      </c>
      <c r="G24" s="66">
        <f>F24^2</f>
        <v/>
      </c>
      <c r="H24" s="65" t="inlineStr"/>
      <c r="I24" s="65" t="inlineStr"/>
    </row>
    <row r="25">
      <c r="A25" s="68" t="n">
        <v>12</v>
      </c>
      <c r="B25" s="83" t="n">
        <v>11</v>
      </c>
      <c r="C25" s="83">
        <f>B25^2</f>
        <v/>
      </c>
      <c r="D25" s="69" t="n">
        <v>4589.91</v>
      </c>
      <c r="E25" s="69" t="n">
        <v>4550.79127</v>
      </c>
      <c r="F25" s="70">
        <f>D25-E25</f>
        <v/>
      </c>
      <c r="G25" s="69">
        <f>F25^2</f>
        <v/>
      </c>
      <c r="H25" s="68" t="inlineStr"/>
      <c r="I25" s="68" t="inlineStr"/>
    </row>
    <row r="26">
      <c r="A26" s="65" t="n">
        <v>13</v>
      </c>
      <c r="B26" s="82" t="n">
        <v>12</v>
      </c>
      <c r="C26" s="82">
        <f>B26^2</f>
        <v/>
      </c>
      <c r="D26" s="66" t="n">
        <v>4595.51</v>
      </c>
      <c r="E26" s="66" t="n">
        <v>4550.99372</v>
      </c>
      <c r="F26" s="67">
        <f>D26-E26</f>
        <v/>
      </c>
      <c r="G26" s="66">
        <f>F26^2</f>
        <v/>
      </c>
      <c r="H26" s="65" t="inlineStr"/>
      <c r="I26" s="65" t="inlineStr"/>
    </row>
    <row r="27">
      <c r="A27" s="68" t="n">
        <v>14</v>
      </c>
      <c r="B27" s="83" t="n">
        <v>13</v>
      </c>
      <c r="C27" s="83">
        <f>B27^2</f>
        <v/>
      </c>
      <c r="D27" s="69" t="n">
        <v>4607.37</v>
      </c>
      <c r="E27" s="69" t="n">
        <v>4551.19617</v>
      </c>
      <c r="F27" s="70">
        <f>D27-E27</f>
        <v/>
      </c>
      <c r="G27" s="69">
        <f>F27^2</f>
        <v/>
      </c>
      <c r="H27" s="68" t="inlineStr"/>
      <c r="I27" s="68" t="inlineStr"/>
    </row>
    <row r="28">
      <c r="A28" s="65" t="n">
        <v>15</v>
      </c>
      <c r="B28" s="82" t="n">
        <v>14</v>
      </c>
      <c r="C28" s="82">
        <f>B28^2</f>
        <v/>
      </c>
      <c r="D28" s="66" t="n">
        <v>4600.13</v>
      </c>
      <c r="E28" s="66" t="n">
        <v>4551.39861</v>
      </c>
      <c r="F28" s="67">
        <f>D28-E28</f>
        <v/>
      </c>
      <c r="G28" s="66">
        <f>F28^2</f>
        <v/>
      </c>
      <c r="H28" s="65" t="inlineStr"/>
      <c r="I28" s="65" t="inlineStr"/>
    </row>
    <row r="29">
      <c r="A29" s="68" t="n">
        <v>16</v>
      </c>
      <c r="B29" s="83" t="n">
        <v>15</v>
      </c>
      <c r="C29" s="83">
        <f>B29^2</f>
        <v/>
      </c>
      <c r="D29" s="69" t="n">
        <v>4603.88</v>
      </c>
      <c r="E29" s="69" t="n">
        <v>4551.60106</v>
      </c>
      <c r="F29" s="70">
        <f>D29-E29</f>
        <v/>
      </c>
      <c r="G29" s="69">
        <f>F29^2</f>
        <v/>
      </c>
      <c r="H29" s="68" t="inlineStr"/>
      <c r="I29" s="68" t="inlineStr"/>
    </row>
    <row r="30">
      <c r="A30" s="65" t="n">
        <v>17</v>
      </c>
      <c r="B30" s="82" t="n">
        <v>16</v>
      </c>
      <c r="C30" s="82">
        <f>B30^2</f>
        <v/>
      </c>
      <c r="D30" s="66" t="n">
        <v>4600.27</v>
      </c>
      <c r="E30" s="66" t="n">
        <v>4551.8035</v>
      </c>
      <c r="F30" s="67">
        <f>D30-E30</f>
        <v/>
      </c>
      <c r="G30" s="66">
        <f>F30^2</f>
        <v/>
      </c>
      <c r="H30" s="65" t="inlineStr"/>
      <c r="I30" s="65" t="inlineStr"/>
    </row>
    <row r="31">
      <c r="A31" s="68" t="n">
        <v>18</v>
      </c>
      <c r="B31" s="83" t="n">
        <v>17</v>
      </c>
      <c r="C31" s="83">
        <f>B31^2</f>
        <v/>
      </c>
      <c r="D31" s="69" t="n">
        <v>4582.65</v>
      </c>
      <c r="E31" s="69" t="n">
        <v>4552.00595</v>
      </c>
      <c r="F31" s="70">
        <f>D31-E31</f>
        <v/>
      </c>
      <c r="G31" s="69">
        <f>F31^2</f>
        <v/>
      </c>
      <c r="H31" s="68" t="inlineStr"/>
      <c r="I31" s="68" t="inlineStr"/>
    </row>
    <row r="32">
      <c r="A32" s="65" t="n">
        <v>19</v>
      </c>
      <c r="B32" s="82" t="n">
        <v>18</v>
      </c>
      <c r="C32" s="82">
        <f>B32^2</f>
        <v/>
      </c>
      <c r="D32" s="66" t="n">
        <v>4580.48</v>
      </c>
      <c r="E32" s="66" t="n">
        <v>4552.20839</v>
      </c>
      <c r="F32" s="67">
        <f>D32-E32</f>
        <v/>
      </c>
      <c r="G32" s="66">
        <f>F32^2</f>
        <v/>
      </c>
      <c r="H32" s="65" t="inlineStr"/>
      <c r="I32" s="65" t="inlineStr"/>
    </row>
    <row r="33">
      <c r="A33" s="68" t="n">
        <v>20</v>
      </c>
      <c r="B33" s="83" t="n">
        <v>19</v>
      </c>
      <c r="C33" s="83">
        <f>B33^2</f>
        <v/>
      </c>
      <c r="D33" s="69" t="n">
        <v>4590.56</v>
      </c>
      <c r="E33" s="69" t="n">
        <v>4552.41084</v>
      </c>
      <c r="F33" s="70">
        <f>D33-E33</f>
        <v/>
      </c>
      <c r="G33" s="69">
        <f>F33^2</f>
        <v/>
      </c>
      <c r="H33" s="68" t="inlineStr"/>
      <c r="I33" s="68" t="inlineStr"/>
    </row>
    <row r="34">
      <c r="A34" s="65" t="n">
        <v>21</v>
      </c>
      <c r="B34" s="82" t="n">
        <v>20</v>
      </c>
      <c r="C34" s="82">
        <f>B34^2</f>
        <v/>
      </c>
      <c r="D34" s="66" t="n">
        <v>4584.98</v>
      </c>
      <c r="E34" s="66" t="n">
        <v>4552.61328</v>
      </c>
      <c r="F34" s="67">
        <f>D34-E34</f>
        <v/>
      </c>
      <c r="G34" s="66">
        <f>F34^2</f>
        <v/>
      </c>
      <c r="H34" s="65" t="inlineStr"/>
      <c r="I34" s="65" t="inlineStr"/>
    </row>
    <row r="35">
      <c r="A35" s="68" t="n">
        <v>22</v>
      </c>
      <c r="B35" s="83" t="n">
        <v>21</v>
      </c>
      <c r="C35" s="83">
        <f>B35^2</f>
        <v/>
      </c>
      <c r="D35" s="69" t="n">
        <v>4600.87</v>
      </c>
      <c r="E35" s="69" t="n">
        <v>4552.81573</v>
      </c>
      <c r="F35" s="70">
        <f>D35-E35</f>
        <v/>
      </c>
      <c r="G35" s="69">
        <f>F35^2</f>
        <v/>
      </c>
      <c r="H35" s="68" t="inlineStr"/>
      <c r="I35" s="68" t="inlineStr"/>
    </row>
    <row r="36">
      <c r="A36" s="65" t="n">
        <v>23</v>
      </c>
      <c r="B36" s="82" t="n">
        <v>22</v>
      </c>
      <c r="C36" s="82">
        <f>B36^2</f>
        <v/>
      </c>
      <c r="D36" s="66" t="n">
        <v>4598.93</v>
      </c>
      <c r="E36" s="66" t="n">
        <v>4553.01818</v>
      </c>
      <c r="F36" s="67">
        <f>D36-E36</f>
        <v/>
      </c>
      <c r="G36" s="66">
        <f>F36^2</f>
        <v/>
      </c>
      <c r="H36" s="65" t="inlineStr"/>
      <c r="I36" s="65" t="inlineStr"/>
    </row>
    <row r="37">
      <c r="A37" s="68" t="n">
        <v>24</v>
      </c>
      <c r="B37" s="83" t="n">
        <v>23</v>
      </c>
      <c r="C37" s="83">
        <f>B37^2</f>
        <v/>
      </c>
      <c r="D37" s="69" t="n">
        <v>4596.92</v>
      </c>
      <c r="E37" s="69" t="n">
        <v>4553.22062</v>
      </c>
      <c r="F37" s="70">
        <f>D37-E37</f>
        <v/>
      </c>
      <c r="G37" s="69">
        <f>F37^2</f>
        <v/>
      </c>
      <c r="H37" s="68" t="inlineStr"/>
      <c r="I37" s="68" t="inlineStr"/>
    </row>
    <row r="38">
      <c r="A38" s="65" t="n">
        <v>25</v>
      </c>
      <c r="B38" s="82" t="n">
        <v>24</v>
      </c>
      <c r="C38" s="82">
        <f>B38^2</f>
        <v/>
      </c>
      <c r="D38" s="66" t="n">
        <v>4593.75</v>
      </c>
      <c r="E38" s="66" t="n">
        <v>4553.42307</v>
      </c>
      <c r="F38" s="67">
        <f>D38-E38</f>
        <v/>
      </c>
      <c r="G38" s="66">
        <f>F38^2</f>
        <v/>
      </c>
      <c r="H38" s="65" t="inlineStr"/>
      <c r="I38" s="65" t="inlineStr"/>
    </row>
    <row r="39">
      <c r="A39" s="68" t="n">
        <v>26</v>
      </c>
      <c r="B39" s="83" t="n">
        <v>25</v>
      </c>
      <c r="C39" s="83">
        <f>B39^2</f>
        <v/>
      </c>
      <c r="D39" s="69" t="n">
        <v>4601.89</v>
      </c>
      <c r="E39" s="69" t="n">
        <v>4553.62551</v>
      </c>
      <c r="F39" s="70">
        <f>D39-E39</f>
        <v/>
      </c>
      <c r="G39" s="69">
        <f>F39^2</f>
        <v/>
      </c>
      <c r="H39" s="68" t="inlineStr"/>
      <c r="I39" s="68" t="inlineStr"/>
    </row>
    <row r="40">
      <c r="A40" s="65" t="n">
        <v>27</v>
      </c>
      <c r="B40" s="82" t="n">
        <v>26</v>
      </c>
      <c r="C40" s="82">
        <f>B40^2</f>
        <v/>
      </c>
      <c r="D40" s="66" t="n">
        <v>4598.67</v>
      </c>
      <c r="E40" s="66" t="n">
        <v>4553.82796</v>
      </c>
      <c r="F40" s="67">
        <f>D40-E40</f>
        <v/>
      </c>
      <c r="G40" s="66">
        <f>F40^2</f>
        <v/>
      </c>
      <c r="H40" s="65" t="inlineStr"/>
      <c r="I40" s="65" t="inlineStr"/>
    </row>
    <row r="41">
      <c r="A41" s="68" t="n">
        <v>28</v>
      </c>
      <c r="B41" s="83" t="n">
        <v>27</v>
      </c>
      <c r="C41" s="83">
        <f>B41^2</f>
        <v/>
      </c>
      <c r="D41" s="69" t="n">
        <v>4593.91</v>
      </c>
      <c r="E41" s="69" t="n">
        <v>4554.0304</v>
      </c>
      <c r="F41" s="70">
        <f>D41-E41</f>
        <v/>
      </c>
      <c r="G41" s="69">
        <f>F41^2</f>
        <v/>
      </c>
      <c r="H41" s="68" t="inlineStr"/>
      <c r="I41" s="68" t="inlineStr"/>
    </row>
    <row r="42">
      <c r="A42" s="65" t="n">
        <v>29</v>
      </c>
      <c r="B42" s="82" t="n">
        <v>28</v>
      </c>
      <c r="C42" s="82">
        <f>B42^2</f>
        <v/>
      </c>
      <c r="D42" s="66" t="n">
        <v>4595.48</v>
      </c>
      <c r="E42" s="66" t="n">
        <v>4554.23285</v>
      </c>
      <c r="F42" s="67">
        <f>D42-E42</f>
        <v/>
      </c>
      <c r="G42" s="66">
        <f>F42^2</f>
        <v/>
      </c>
      <c r="H42" s="65" t="inlineStr"/>
      <c r="I42" s="65" t="inlineStr"/>
    </row>
    <row r="43">
      <c r="A43" s="68" t="n">
        <v>30</v>
      </c>
      <c r="B43" s="83" t="n">
        <v>29</v>
      </c>
      <c r="C43" s="83">
        <f>B43^2</f>
        <v/>
      </c>
      <c r="D43" s="69" t="n">
        <v>4600.68</v>
      </c>
      <c r="E43" s="69" t="n">
        <v>4554.4353</v>
      </c>
      <c r="F43" s="70">
        <f>D43-E43</f>
        <v/>
      </c>
      <c r="G43" s="69">
        <f>F43^2</f>
        <v/>
      </c>
      <c r="H43" s="68" t="inlineStr"/>
      <c r="I43" s="68" t="inlineStr"/>
    </row>
    <row r="44">
      <c r="A44" s="65" t="n">
        <v>31</v>
      </c>
      <c r="B44" s="82" t="n">
        <v>30</v>
      </c>
      <c r="C44" s="82">
        <f>B44^2</f>
        <v/>
      </c>
      <c r="D44" s="66" t="n">
        <v>4601.86</v>
      </c>
      <c r="E44" s="66" t="n">
        <v>4554.63774</v>
      </c>
      <c r="F44" s="67">
        <f>D44-E44</f>
        <v/>
      </c>
      <c r="G44" s="66">
        <f>F44^2</f>
        <v/>
      </c>
      <c r="H44" s="65" t="inlineStr"/>
      <c r="I44" s="65" t="inlineStr"/>
    </row>
    <row r="45">
      <c r="A45" s="68" t="n">
        <v>32</v>
      </c>
      <c r="B45" s="83" t="n">
        <v>31</v>
      </c>
      <c r="C45" s="83">
        <f>B45^2</f>
        <v/>
      </c>
      <c r="D45" s="69" t="n">
        <v>4602.15</v>
      </c>
      <c r="E45" s="69" t="n">
        <v>4554.84019</v>
      </c>
      <c r="F45" s="70">
        <f>D45-E45</f>
        <v/>
      </c>
      <c r="G45" s="69">
        <f>F45^2</f>
        <v/>
      </c>
      <c r="H45" s="68" t="inlineStr"/>
      <c r="I45" s="68" t="inlineStr"/>
    </row>
    <row r="46">
      <c r="A46" s="65" t="n">
        <v>33</v>
      </c>
      <c r="B46" s="82" t="n">
        <v>32</v>
      </c>
      <c r="C46" s="82">
        <f>B46^2</f>
        <v/>
      </c>
      <c r="D46" s="66" t="n">
        <v>4604.85</v>
      </c>
      <c r="E46" s="66" t="n">
        <v>4555.04263</v>
      </c>
      <c r="F46" s="67">
        <f>D46-E46</f>
        <v/>
      </c>
      <c r="G46" s="66">
        <f>F46^2</f>
        <v/>
      </c>
      <c r="H46" s="65" t="inlineStr"/>
      <c r="I46" s="65" t="inlineStr"/>
    </row>
    <row r="47">
      <c r="A47" s="68" t="n">
        <v>34</v>
      </c>
      <c r="B47" s="83" t="n">
        <v>33</v>
      </c>
      <c r="C47" s="83">
        <f>B47^2</f>
        <v/>
      </c>
      <c r="D47" s="69" t="n">
        <v>4601.15</v>
      </c>
      <c r="E47" s="69" t="n">
        <v>4555.24508</v>
      </c>
      <c r="F47" s="70">
        <f>D47-E47</f>
        <v/>
      </c>
      <c r="G47" s="69">
        <f>F47^2</f>
        <v/>
      </c>
      <c r="H47" s="68" t="inlineStr"/>
      <c r="I47" s="68" t="inlineStr"/>
    </row>
    <row r="48">
      <c r="A48" s="65" t="n">
        <v>35</v>
      </c>
      <c r="B48" s="82" t="n">
        <v>34</v>
      </c>
      <c r="C48" s="82">
        <f>B48^2</f>
        <v/>
      </c>
      <c r="D48" s="66" t="n">
        <v>4600.72</v>
      </c>
      <c r="E48" s="66" t="n">
        <v>4555.44752</v>
      </c>
      <c r="F48" s="67">
        <f>D48-E48</f>
        <v/>
      </c>
      <c r="G48" s="66">
        <f>F48^2</f>
        <v/>
      </c>
      <c r="H48" s="65" t="inlineStr"/>
      <c r="I48" s="65" t="inlineStr"/>
    </row>
    <row r="49">
      <c r="A49" s="68" t="n">
        <v>36</v>
      </c>
      <c r="B49" s="83" t="n">
        <v>35</v>
      </c>
      <c r="C49" s="83">
        <f>B49^2</f>
        <v/>
      </c>
      <c r="D49" s="69" t="n">
        <v>4599.05</v>
      </c>
      <c r="E49" s="69" t="n">
        <v>4555.64997</v>
      </c>
      <c r="F49" s="70">
        <f>D49-E49</f>
        <v/>
      </c>
      <c r="G49" s="69">
        <f>F49^2</f>
        <v/>
      </c>
      <c r="H49" s="68" t="inlineStr"/>
      <c r="I49" s="68" t="inlineStr"/>
    </row>
    <row r="50">
      <c r="A50" s="65" t="n">
        <v>37</v>
      </c>
      <c r="B50" s="82" t="n">
        <v>36</v>
      </c>
      <c r="C50" s="82">
        <f>B50^2</f>
        <v/>
      </c>
      <c r="D50" s="66" t="n">
        <v>4590.9</v>
      </c>
      <c r="E50" s="66" t="n">
        <v>4555.85242</v>
      </c>
      <c r="F50" s="67">
        <f>D50-E50</f>
        <v/>
      </c>
      <c r="G50" s="66">
        <f>F50^2</f>
        <v/>
      </c>
      <c r="H50" s="65" t="inlineStr"/>
      <c r="I50" s="65" t="inlineStr"/>
    </row>
    <row r="51">
      <c r="A51" s="68" t="n">
        <v>38</v>
      </c>
      <c r="B51" s="83" t="n">
        <v>37</v>
      </c>
      <c r="C51" s="83">
        <f>B51^2</f>
        <v/>
      </c>
      <c r="D51" s="69" t="n">
        <v>4588.73</v>
      </c>
      <c r="E51" s="69" t="n">
        <v>4556.05486</v>
      </c>
      <c r="F51" s="70">
        <f>D51-E51</f>
        <v/>
      </c>
      <c r="G51" s="69">
        <f>F51^2</f>
        <v/>
      </c>
      <c r="H51" s="68" t="inlineStr"/>
      <c r="I51" s="68" t="inlineStr"/>
    </row>
    <row r="52">
      <c r="A52" s="65" t="n">
        <v>39</v>
      </c>
      <c r="B52" s="82" t="n">
        <v>38</v>
      </c>
      <c r="C52" s="82">
        <f>B52^2</f>
        <v/>
      </c>
      <c r="D52" s="66" t="n">
        <v>4585.04</v>
      </c>
      <c r="E52" s="66" t="n">
        <v>4556.25731</v>
      </c>
      <c r="F52" s="67">
        <f>D52-E52</f>
        <v/>
      </c>
      <c r="G52" s="66">
        <f>F52^2</f>
        <v/>
      </c>
      <c r="H52" s="65" t="inlineStr"/>
      <c r="I52" s="65" t="inlineStr"/>
    </row>
    <row r="53">
      <c r="A53" s="68" t="n">
        <v>40</v>
      </c>
      <c r="B53" s="83" t="n">
        <v>39</v>
      </c>
      <c r="C53" s="83">
        <f>B53^2</f>
        <v/>
      </c>
      <c r="D53" s="69" t="n">
        <v>4585.03</v>
      </c>
      <c r="E53" s="69" t="n">
        <v>4556.45975</v>
      </c>
      <c r="F53" s="70">
        <f>D53-E53</f>
        <v/>
      </c>
      <c r="G53" s="69">
        <f>F53^2</f>
        <v/>
      </c>
      <c r="H53" s="68" t="inlineStr"/>
      <c r="I53" s="68" t="inlineStr"/>
    </row>
    <row r="54">
      <c r="A54" s="65" t="n">
        <v>41</v>
      </c>
      <c r="B54" s="82" t="n">
        <v>40</v>
      </c>
      <c r="C54" s="82">
        <f>B54^2</f>
        <v/>
      </c>
      <c r="D54" s="66" t="n">
        <v>4584.52</v>
      </c>
      <c r="E54" s="66" t="n">
        <v>4556.6622</v>
      </c>
      <c r="F54" s="67">
        <f>D54-E54</f>
        <v/>
      </c>
      <c r="G54" s="66">
        <f>F54^2</f>
        <v/>
      </c>
      <c r="H54" s="65" t="inlineStr"/>
      <c r="I54" s="65" t="inlineStr"/>
    </row>
    <row r="55">
      <c r="A55" s="68" t="n">
        <v>42</v>
      </c>
      <c r="B55" s="83" t="n">
        <v>41</v>
      </c>
      <c r="C55" s="83">
        <f>B55^2</f>
        <v/>
      </c>
      <c r="D55" s="69" t="n">
        <v>4578.72</v>
      </c>
      <c r="E55" s="69" t="n">
        <v>4556.86464</v>
      </c>
      <c r="F55" s="70">
        <f>D55-E55</f>
        <v/>
      </c>
      <c r="G55" s="69">
        <f>F55^2</f>
        <v/>
      </c>
      <c r="H55" s="68" t="inlineStr"/>
      <c r="I55" s="68" t="inlineStr"/>
    </row>
    <row r="56">
      <c r="A56" s="65" t="n">
        <v>43</v>
      </c>
      <c r="B56" s="82" t="n">
        <v>42</v>
      </c>
      <c r="C56" s="82">
        <f>B56^2</f>
        <v/>
      </c>
      <c r="D56" s="66" t="n">
        <v>4575.11</v>
      </c>
      <c r="E56" s="66" t="n">
        <v>4557.06709</v>
      </c>
      <c r="F56" s="67">
        <f>D56-E56</f>
        <v/>
      </c>
      <c r="G56" s="66">
        <f>F56^2</f>
        <v/>
      </c>
      <c r="H56" s="65" t="inlineStr"/>
      <c r="I56" s="65" t="inlineStr"/>
    </row>
    <row r="57">
      <c r="A57" s="68" t="n">
        <v>44</v>
      </c>
      <c r="B57" s="83" t="n">
        <v>43</v>
      </c>
      <c r="C57" s="83">
        <f>B57^2</f>
        <v/>
      </c>
      <c r="D57" s="69" t="n">
        <v>4570.56</v>
      </c>
      <c r="E57" s="69" t="n">
        <v>4557.26954</v>
      </c>
      <c r="F57" s="70">
        <f>D57-E57</f>
        <v/>
      </c>
      <c r="G57" s="69">
        <f>F57^2</f>
        <v/>
      </c>
      <c r="H57" s="68" t="inlineStr"/>
      <c r="I57" s="68" t="inlineStr"/>
    </row>
    <row r="58">
      <c r="A58" s="65" t="n">
        <v>45</v>
      </c>
      <c r="B58" s="82" t="n">
        <v>44</v>
      </c>
      <c r="C58" s="82">
        <f>B58^2</f>
        <v/>
      </c>
      <c r="D58" s="66" t="n">
        <v>4567.92</v>
      </c>
      <c r="E58" s="66" t="n">
        <v>4557.47198</v>
      </c>
      <c r="F58" s="67">
        <f>D58-E58</f>
        <v/>
      </c>
      <c r="G58" s="66">
        <f>F58^2</f>
        <v/>
      </c>
      <c r="H58" s="65" t="inlineStr"/>
      <c r="I58" s="65" t="inlineStr"/>
    </row>
    <row r="59">
      <c r="A59" s="68" t="n">
        <v>46</v>
      </c>
      <c r="B59" s="83" t="n">
        <v>45</v>
      </c>
      <c r="C59" s="83">
        <f>B59^2</f>
        <v/>
      </c>
      <c r="D59" s="69" t="n">
        <v>4565.44</v>
      </c>
      <c r="E59" s="69" t="n">
        <v>4557.67443</v>
      </c>
      <c r="F59" s="70">
        <f>D59-E59</f>
        <v/>
      </c>
      <c r="G59" s="69">
        <f>F59^2</f>
        <v/>
      </c>
      <c r="H59" s="68" t="inlineStr"/>
      <c r="I59" s="68" t="inlineStr"/>
    </row>
    <row r="60">
      <c r="A60" s="65" t="n">
        <v>47</v>
      </c>
      <c r="B60" s="82" t="n">
        <v>46</v>
      </c>
      <c r="C60" s="82">
        <f>B60^2</f>
        <v/>
      </c>
      <c r="D60" s="66" t="n">
        <v>4566.65</v>
      </c>
      <c r="E60" s="66" t="n">
        <v>4557.87687</v>
      </c>
      <c r="F60" s="67">
        <f>D60-E60</f>
        <v/>
      </c>
      <c r="G60" s="66">
        <f>F60^2</f>
        <v/>
      </c>
      <c r="H60" s="65" t="inlineStr"/>
      <c r="I60" s="65" t="inlineStr"/>
    </row>
    <row r="61">
      <c r="A61" s="68" t="n">
        <v>48</v>
      </c>
      <c r="B61" s="83" t="n">
        <v>47</v>
      </c>
      <c r="C61" s="83">
        <f>B61^2</f>
        <v/>
      </c>
      <c r="D61" s="69" t="n">
        <v>4568.37</v>
      </c>
      <c r="E61" s="69" t="n">
        <v>4558.07932</v>
      </c>
      <c r="F61" s="70">
        <f>D61-E61</f>
        <v/>
      </c>
      <c r="G61" s="69">
        <f>F61^2</f>
        <v/>
      </c>
      <c r="H61" s="68" t="inlineStr"/>
      <c r="I61" s="68" t="inlineStr"/>
    </row>
    <row r="62">
      <c r="A62" s="65" t="n">
        <v>49</v>
      </c>
      <c r="B62" s="82" t="n">
        <v>48</v>
      </c>
      <c r="C62" s="82">
        <f>B62^2</f>
        <v/>
      </c>
      <c r="D62" s="66" t="n">
        <v>4573.2</v>
      </c>
      <c r="E62" s="66" t="n">
        <v>4558.28176</v>
      </c>
      <c r="F62" s="67">
        <f>D62-E62</f>
        <v/>
      </c>
      <c r="G62" s="66">
        <f>F62^2</f>
        <v/>
      </c>
      <c r="H62" s="65" t="inlineStr"/>
      <c r="I62" s="65" t="inlineStr"/>
    </row>
    <row r="63">
      <c r="A63" s="68" t="n">
        <v>50</v>
      </c>
      <c r="B63" s="83" t="n">
        <v>49</v>
      </c>
      <c r="C63" s="83">
        <f>B63^2</f>
        <v/>
      </c>
      <c r="D63" s="69" t="n">
        <v>4574.2</v>
      </c>
      <c r="E63" s="69" t="n">
        <v>4558.48421</v>
      </c>
      <c r="F63" s="70">
        <f>D63-E63</f>
        <v/>
      </c>
      <c r="G63" s="69">
        <f>F63^2</f>
        <v/>
      </c>
      <c r="H63" s="68" t="inlineStr"/>
      <c r="I63" s="68" t="inlineStr"/>
    </row>
    <row r="64">
      <c r="A64" s="65" t="n">
        <v>51</v>
      </c>
      <c r="B64" s="82" t="n">
        <v>50</v>
      </c>
      <c r="C64" s="82">
        <f>B64^2</f>
        <v/>
      </c>
      <c r="D64" s="66" t="n">
        <v>4565.69</v>
      </c>
      <c r="E64" s="66" t="n">
        <v>4558.68666</v>
      </c>
      <c r="F64" s="67">
        <f>D64-E64</f>
        <v/>
      </c>
      <c r="G64" s="66">
        <f>F64^2</f>
        <v/>
      </c>
      <c r="H64" s="65" t="inlineStr"/>
      <c r="I64" s="65" t="inlineStr"/>
    </row>
    <row r="65">
      <c r="A65" s="68" t="n">
        <v>52</v>
      </c>
      <c r="B65" s="83" t="n">
        <v>51</v>
      </c>
      <c r="C65" s="83">
        <f>B65^2</f>
        <v/>
      </c>
      <c r="D65" s="69" t="n">
        <v>4558.86</v>
      </c>
      <c r="E65" s="69" t="n">
        <v>4558.8891</v>
      </c>
      <c r="F65" s="70">
        <f>D65-E65</f>
        <v/>
      </c>
      <c r="G65" s="69">
        <f>F65^2</f>
        <v/>
      </c>
      <c r="H65" s="68" t="inlineStr"/>
      <c r="I65" s="68" t="inlineStr"/>
    </row>
    <row r="66">
      <c r="A66" s="65" t="n">
        <v>53</v>
      </c>
      <c r="B66" s="82" t="n">
        <v>52</v>
      </c>
      <c r="C66" s="82">
        <f>B66^2</f>
        <v/>
      </c>
      <c r="D66" s="66" t="n">
        <v>4555.94</v>
      </c>
      <c r="E66" s="66" t="n">
        <v>4559.09155</v>
      </c>
      <c r="F66" s="67">
        <f>D66-E66</f>
        <v/>
      </c>
      <c r="G66" s="66">
        <f>F66^2</f>
        <v/>
      </c>
      <c r="H66" s="65" t="inlineStr"/>
      <c r="I66" s="65" t="inlineStr"/>
    </row>
    <row r="67">
      <c r="A67" s="68" t="n">
        <v>54</v>
      </c>
      <c r="B67" s="83" t="n">
        <v>53</v>
      </c>
      <c r="C67" s="83">
        <f>B67^2</f>
        <v/>
      </c>
      <c r="D67" s="69" t="n">
        <v>4568.04</v>
      </c>
      <c r="E67" s="69" t="n">
        <v>4559.29399</v>
      </c>
      <c r="F67" s="70">
        <f>D67-E67</f>
        <v/>
      </c>
      <c r="G67" s="69">
        <f>F67^2</f>
        <v/>
      </c>
      <c r="H67" s="68" t="inlineStr"/>
      <c r="I67" s="68" t="inlineStr"/>
    </row>
    <row r="68">
      <c r="A68" s="65" t="n">
        <v>55</v>
      </c>
      <c r="B68" s="82" t="n">
        <v>54</v>
      </c>
      <c r="C68" s="82">
        <f>B68^2</f>
        <v/>
      </c>
      <c r="D68" s="66" t="n">
        <v>4571.78</v>
      </c>
      <c r="E68" s="66" t="n">
        <v>4559.49644</v>
      </c>
      <c r="F68" s="67">
        <f>D68-E68</f>
        <v/>
      </c>
      <c r="G68" s="66">
        <f>F68^2</f>
        <v/>
      </c>
      <c r="H68" s="65" t="inlineStr"/>
      <c r="I68" s="65" t="inlineStr"/>
    </row>
    <row r="69">
      <c r="A69" s="68" t="n">
        <v>56</v>
      </c>
      <c r="B69" s="83" t="n">
        <v>55</v>
      </c>
      <c r="C69" s="83">
        <f>B69^2</f>
        <v/>
      </c>
      <c r="D69" s="69" t="n">
        <v>4566.36</v>
      </c>
      <c r="E69" s="69" t="n">
        <v>4559.69888</v>
      </c>
      <c r="F69" s="70">
        <f>D69-E69</f>
        <v/>
      </c>
      <c r="G69" s="69">
        <f>F69^2</f>
        <v/>
      </c>
      <c r="H69" s="68" t="inlineStr"/>
      <c r="I69" s="68" t="inlineStr"/>
    </row>
    <row r="70">
      <c r="A70" s="65" t="n">
        <v>57</v>
      </c>
      <c r="B70" s="82" t="n">
        <v>56</v>
      </c>
      <c r="C70" s="82">
        <f>B70^2</f>
        <v/>
      </c>
      <c r="D70" s="66" t="n">
        <v>4569.98</v>
      </c>
      <c r="E70" s="66" t="n">
        <v>4559.90133</v>
      </c>
      <c r="F70" s="67">
        <f>D70-E70</f>
        <v/>
      </c>
      <c r="G70" s="66">
        <f>F70^2</f>
        <v/>
      </c>
      <c r="H70" s="65" t="inlineStr"/>
      <c r="I70" s="65" t="inlineStr"/>
    </row>
    <row r="71">
      <c r="A71" s="68" t="n">
        <v>58</v>
      </c>
      <c r="B71" s="83" t="n">
        <v>57</v>
      </c>
      <c r="C71" s="83">
        <f>B71^2</f>
        <v/>
      </c>
      <c r="D71" s="69" t="n">
        <v>4568.02</v>
      </c>
      <c r="E71" s="69" t="n">
        <v>4560.10378</v>
      </c>
      <c r="F71" s="70">
        <f>D71-E71</f>
        <v/>
      </c>
      <c r="G71" s="69">
        <f>F71^2</f>
        <v/>
      </c>
      <c r="H71" s="68" t="inlineStr"/>
      <c r="I71" s="68" t="inlineStr"/>
    </row>
    <row r="72">
      <c r="A72" s="65" t="n">
        <v>59</v>
      </c>
      <c r="B72" s="82" t="n">
        <v>58</v>
      </c>
      <c r="C72" s="82">
        <f>B72^2</f>
        <v/>
      </c>
      <c r="D72" s="66" t="n">
        <v>4564.76</v>
      </c>
      <c r="E72" s="66" t="n">
        <v>4560.30622</v>
      </c>
      <c r="F72" s="67">
        <f>D72-E72</f>
        <v/>
      </c>
      <c r="G72" s="66">
        <f>F72^2</f>
        <v/>
      </c>
      <c r="H72" s="65" t="inlineStr"/>
      <c r="I72" s="65" t="inlineStr"/>
    </row>
    <row r="73">
      <c r="A73" s="68" t="n">
        <v>60</v>
      </c>
      <c r="B73" s="83" t="n">
        <v>59</v>
      </c>
      <c r="C73" s="83">
        <f>B73^2</f>
        <v/>
      </c>
      <c r="D73" s="69" t="n">
        <v>4567.03</v>
      </c>
      <c r="E73" s="69" t="n">
        <v>4560.50867</v>
      </c>
      <c r="F73" s="70">
        <f>D73-E73</f>
        <v/>
      </c>
      <c r="G73" s="69">
        <f>F73^2</f>
        <v/>
      </c>
      <c r="H73" s="68" t="inlineStr"/>
      <c r="I73" s="68" t="inlineStr"/>
    </row>
    <row r="74">
      <c r="A74" s="65" t="n">
        <v>61</v>
      </c>
      <c r="B74" s="82" t="n">
        <v>60</v>
      </c>
      <c r="C74" s="82">
        <f>B74^2</f>
        <v/>
      </c>
      <c r="D74" s="66" t="n">
        <v>4561.87</v>
      </c>
      <c r="E74" s="66" t="n">
        <v>4560.71111</v>
      </c>
      <c r="F74" s="67">
        <f>D74-E74</f>
        <v/>
      </c>
      <c r="G74" s="66">
        <f>F74^2</f>
        <v/>
      </c>
      <c r="H74" s="65" t="inlineStr"/>
      <c r="I74" s="65" t="inlineStr"/>
    </row>
    <row r="75">
      <c r="A75" s="68" t="n">
        <v>62</v>
      </c>
      <c r="B75" s="83" t="n">
        <v>61</v>
      </c>
      <c r="C75" s="83">
        <f>B75^2</f>
        <v/>
      </c>
      <c r="D75" s="69" t="n">
        <v>4564.41</v>
      </c>
      <c r="E75" s="69" t="n">
        <v>4560.91356</v>
      </c>
      <c r="F75" s="70">
        <f>D75-E75</f>
        <v/>
      </c>
      <c r="G75" s="69">
        <f>F75^2</f>
        <v/>
      </c>
      <c r="H75" s="68" t="inlineStr"/>
      <c r="I75" s="68" t="inlineStr"/>
    </row>
    <row r="76">
      <c r="A76" s="65" t="n">
        <v>63</v>
      </c>
      <c r="B76" s="82" t="n">
        <v>62</v>
      </c>
      <c r="C76" s="82">
        <f>B76^2</f>
        <v/>
      </c>
      <c r="D76" s="66" t="n">
        <v>4559.4</v>
      </c>
      <c r="E76" s="66" t="n">
        <v>4561.116</v>
      </c>
      <c r="F76" s="67">
        <f>D76-E76</f>
        <v/>
      </c>
      <c r="G76" s="66">
        <f>F76^2</f>
        <v/>
      </c>
      <c r="H76" s="65" t="inlineStr"/>
      <c r="I76" s="65" t="inlineStr"/>
    </row>
    <row r="77">
      <c r="A77" s="68" t="n">
        <v>64</v>
      </c>
      <c r="B77" s="83" t="n">
        <v>63</v>
      </c>
      <c r="C77" s="83">
        <f>B77^2</f>
        <v/>
      </c>
      <c r="D77" s="69" t="n">
        <v>4557.62</v>
      </c>
      <c r="E77" s="69" t="n">
        <v>4561.31845</v>
      </c>
      <c r="F77" s="70">
        <f>D77-E77</f>
        <v/>
      </c>
      <c r="G77" s="69">
        <f>F77^2</f>
        <v/>
      </c>
      <c r="H77" s="68" t="inlineStr"/>
      <c r="I77" s="68" t="inlineStr"/>
    </row>
    <row r="78">
      <c r="A78" s="65" t="n">
        <v>65</v>
      </c>
      <c r="B78" s="82" t="n">
        <v>64</v>
      </c>
      <c r="C78" s="82">
        <f>B78^2</f>
        <v/>
      </c>
      <c r="D78" s="66" t="n">
        <v>4544.9</v>
      </c>
      <c r="E78" s="66" t="n">
        <v>4561.5209</v>
      </c>
      <c r="F78" s="67">
        <f>D78-E78</f>
        <v/>
      </c>
      <c r="G78" s="66">
        <f>F78^2</f>
        <v/>
      </c>
      <c r="H78" s="65" t="inlineStr"/>
      <c r="I78" s="65" t="inlineStr"/>
    </row>
    <row r="79">
      <c r="A79" s="68" t="n">
        <v>66</v>
      </c>
      <c r="B79" s="83" t="n">
        <v>65</v>
      </c>
      <c r="C79" s="83">
        <f>B79^2</f>
        <v/>
      </c>
      <c r="D79" s="69" t="n">
        <v>4549.8</v>
      </c>
      <c r="E79" s="69" t="n">
        <v>4561.72334</v>
      </c>
      <c r="F79" s="70">
        <f>D79-E79</f>
        <v/>
      </c>
      <c r="G79" s="69">
        <f>F79^2</f>
        <v/>
      </c>
      <c r="H79" s="68" t="inlineStr"/>
      <c r="I79" s="68" t="inlineStr"/>
    </row>
    <row r="80">
      <c r="A80" s="65" t="n">
        <v>67</v>
      </c>
      <c r="B80" s="82" t="n">
        <v>66</v>
      </c>
      <c r="C80" s="82">
        <f>B80^2</f>
        <v/>
      </c>
      <c r="D80" s="66" t="n">
        <v>4537.82</v>
      </c>
      <c r="E80" s="66" t="n">
        <v>4561.92579</v>
      </c>
      <c r="F80" s="67">
        <f>D80-E80</f>
        <v/>
      </c>
      <c r="G80" s="66">
        <f>F80^2</f>
        <v/>
      </c>
      <c r="H80" s="65" t="inlineStr"/>
      <c r="I80" s="65" t="inlineStr"/>
    </row>
    <row r="81">
      <c r="A81" s="68" t="n">
        <v>68</v>
      </c>
      <c r="B81" s="83" t="n">
        <v>67</v>
      </c>
      <c r="C81" s="83">
        <f>B81^2</f>
        <v/>
      </c>
      <c r="D81" s="69" t="n">
        <v>4514.81</v>
      </c>
      <c r="E81" s="69" t="n">
        <v>4562.12823</v>
      </c>
      <c r="F81" s="70">
        <f>D81-E81</f>
        <v/>
      </c>
      <c r="G81" s="69">
        <f>F81^2</f>
        <v/>
      </c>
      <c r="H81" s="68" t="inlineStr"/>
      <c r="I81" s="68" t="inlineStr"/>
    </row>
    <row r="82">
      <c r="A82" s="65" t="n">
        <v>69</v>
      </c>
      <c r="B82" s="82" t="n">
        <v>68</v>
      </c>
      <c r="C82" s="82">
        <f>B82^2</f>
        <v/>
      </c>
      <c r="D82" s="66" t="n">
        <v>4521.71</v>
      </c>
      <c r="E82" s="66" t="n">
        <v>4562.33068</v>
      </c>
      <c r="F82" s="67">
        <f>D82-E82</f>
        <v/>
      </c>
      <c r="G82" s="66">
        <f>F82^2</f>
        <v/>
      </c>
      <c r="H82" s="65" t="inlineStr"/>
      <c r="I82" s="65" t="inlineStr"/>
    </row>
    <row r="83">
      <c r="A83" s="68" t="n">
        <v>70</v>
      </c>
      <c r="B83" s="83" t="n">
        <v>69</v>
      </c>
      <c r="C83" s="83">
        <f>B83^2</f>
        <v/>
      </c>
      <c r="D83" s="69" t="n">
        <v>4526.15</v>
      </c>
      <c r="E83" s="69" t="n">
        <v>4562.53312</v>
      </c>
      <c r="F83" s="70">
        <f>D83-E83</f>
        <v/>
      </c>
      <c r="G83" s="69">
        <f>F83^2</f>
        <v/>
      </c>
      <c r="H83" s="68" t="inlineStr"/>
      <c r="I83" s="68" t="inlineStr"/>
    </row>
    <row r="84">
      <c r="A84" s="65" t="n">
        <v>71</v>
      </c>
      <c r="B84" s="82" t="n">
        <v>70</v>
      </c>
      <c r="C84" s="82">
        <f>B84^2</f>
        <v/>
      </c>
      <c r="D84" s="66" t="n">
        <v>4533.2</v>
      </c>
      <c r="E84" s="66" t="n">
        <v>4562.73557</v>
      </c>
      <c r="F84" s="67">
        <f>D84-E84</f>
        <v/>
      </c>
      <c r="G84" s="66">
        <f>F84^2</f>
        <v/>
      </c>
      <c r="H84" s="65" t="inlineStr"/>
      <c r="I84" s="65" t="inlineStr"/>
    </row>
    <row r="85">
      <c r="A85" s="68" t="n">
        <v>72</v>
      </c>
      <c r="B85" s="83" t="n">
        <v>71</v>
      </c>
      <c r="C85" s="83">
        <f>B85^2</f>
        <v/>
      </c>
      <c r="D85" s="69" t="n">
        <v>4538.69</v>
      </c>
      <c r="E85" s="69" t="n">
        <v>4562.93802</v>
      </c>
      <c r="F85" s="70">
        <f>D85-E85</f>
        <v/>
      </c>
      <c r="G85" s="69">
        <f>F85^2</f>
        <v/>
      </c>
      <c r="H85" s="68" t="inlineStr"/>
      <c r="I85" s="68" t="inlineStr"/>
    </row>
    <row r="86">
      <c r="A86" s="65" t="n">
        <v>73</v>
      </c>
      <c r="B86" s="82" t="n">
        <v>72</v>
      </c>
      <c r="C86" s="82">
        <f>B86^2</f>
        <v/>
      </c>
      <c r="D86" s="66" t="n">
        <v>4539.25</v>
      </c>
      <c r="E86" s="66" t="n">
        <v>4563.14046</v>
      </c>
      <c r="F86" s="67">
        <f>D86-E86</f>
        <v/>
      </c>
      <c r="G86" s="66">
        <f>F86^2</f>
        <v/>
      </c>
      <c r="H86" s="65" t="inlineStr"/>
      <c r="I86" s="65" t="inlineStr"/>
    </row>
    <row r="87">
      <c r="A87" s="68" t="n">
        <v>74</v>
      </c>
      <c r="B87" s="83" t="n">
        <v>73</v>
      </c>
      <c r="C87" s="83">
        <f>B87^2</f>
        <v/>
      </c>
      <c r="D87" s="69" t="n">
        <v>4538.08</v>
      </c>
      <c r="E87" s="69" t="n">
        <v>4563.34291</v>
      </c>
      <c r="F87" s="70">
        <f>D87-E87</f>
        <v/>
      </c>
      <c r="G87" s="69">
        <f>F87^2</f>
        <v/>
      </c>
      <c r="H87" s="68" t="inlineStr"/>
      <c r="I87" s="68" t="inlineStr"/>
    </row>
    <row r="88">
      <c r="A88" s="65" t="n">
        <v>75</v>
      </c>
      <c r="B88" s="82" t="n">
        <v>74</v>
      </c>
      <c r="C88" s="82">
        <f>B88^2</f>
        <v/>
      </c>
      <c r="D88" s="66" t="n">
        <v>4543.61</v>
      </c>
      <c r="E88" s="66" t="n">
        <v>4563.54535</v>
      </c>
      <c r="F88" s="67">
        <f>D88-E88</f>
        <v/>
      </c>
      <c r="G88" s="66">
        <f>F88^2</f>
        <v/>
      </c>
      <c r="H88" s="65" t="inlineStr"/>
      <c r="I88" s="65" t="inlineStr"/>
    </row>
    <row r="89">
      <c r="A89" s="68" t="n">
        <v>76</v>
      </c>
      <c r="B89" s="83" t="n">
        <v>75</v>
      </c>
      <c r="C89" s="83">
        <f>B89^2</f>
        <v/>
      </c>
      <c r="D89" s="69" t="n">
        <v>4553.17</v>
      </c>
      <c r="E89" s="69" t="n">
        <v>4563.7478</v>
      </c>
      <c r="F89" s="70">
        <f>D89-E89</f>
        <v/>
      </c>
      <c r="G89" s="69">
        <f>F89^2</f>
        <v/>
      </c>
      <c r="H89" s="68" t="inlineStr"/>
      <c r="I89" s="68" t="inlineStr"/>
    </row>
    <row r="90">
      <c r="A90" s="65" t="n">
        <v>77</v>
      </c>
      <c r="B90" s="82" t="n">
        <v>76</v>
      </c>
      <c r="C90" s="82">
        <f>B90^2</f>
        <v/>
      </c>
      <c r="D90" s="66" t="n">
        <v>4547.48</v>
      </c>
      <c r="E90" s="66" t="n">
        <v>4563.95024</v>
      </c>
      <c r="F90" s="67">
        <f>D90-E90</f>
        <v/>
      </c>
      <c r="G90" s="66">
        <f>F90^2</f>
        <v/>
      </c>
      <c r="H90" s="65" t="inlineStr"/>
      <c r="I90" s="65" t="inlineStr"/>
    </row>
    <row r="91">
      <c r="A91" s="68" t="n">
        <v>78</v>
      </c>
      <c r="B91" s="83" t="n">
        <v>77</v>
      </c>
      <c r="C91" s="83">
        <f>B91^2</f>
        <v/>
      </c>
      <c r="D91" s="69" t="n">
        <v>4559.1</v>
      </c>
      <c r="E91" s="69" t="n">
        <v>4564.15269</v>
      </c>
      <c r="F91" s="70">
        <f>D91-E91</f>
        <v/>
      </c>
      <c r="G91" s="69">
        <f>F91^2</f>
        <v/>
      </c>
      <c r="H91" s="68" t="inlineStr"/>
      <c r="I91" s="68" t="inlineStr"/>
    </row>
    <row r="92">
      <c r="A92" s="65" t="n">
        <v>79</v>
      </c>
      <c r="B92" s="82" t="n">
        <v>78</v>
      </c>
      <c r="C92" s="82">
        <f>B92^2</f>
        <v/>
      </c>
      <c r="D92" s="66" t="n">
        <v>4560.23</v>
      </c>
      <c r="E92" s="66" t="n">
        <v>4564.35514</v>
      </c>
      <c r="F92" s="67">
        <f>D92-E92</f>
        <v/>
      </c>
      <c r="G92" s="66">
        <f>F92^2</f>
        <v/>
      </c>
      <c r="H92" s="65" t="inlineStr"/>
      <c r="I92" s="65" t="inlineStr"/>
    </row>
    <row r="93">
      <c r="A93" s="68" t="n">
        <v>80</v>
      </c>
      <c r="B93" s="83" t="n">
        <v>79</v>
      </c>
      <c r="C93" s="83">
        <f>B93^2</f>
        <v/>
      </c>
      <c r="D93" s="69" t="n">
        <v>4550.51</v>
      </c>
      <c r="E93" s="69" t="n">
        <v>4564.55758</v>
      </c>
      <c r="F93" s="70">
        <f>D93-E93</f>
        <v/>
      </c>
      <c r="G93" s="69">
        <f>F93^2</f>
        <v/>
      </c>
      <c r="H93" s="68" t="inlineStr"/>
      <c r="I93" s="68" t="inlineStr"/>
    </row>
    <row r="94">
      <c r="A94" s="65" t="n">
        <v>81</v>
      </c>
      <c r="B94" s="82" t="n">
        <v>80</v>
      </c>
      <c r="C94" s="82">
        <f>B94^2</f>
        <v/>
      </c>
      <c r="D94" s="66" t="n">
        <v>4545.36</v>
      </c>
      <c r="E94" s="66" t="n">
        <v>4564.76003</v>
      </c>
      <c r="F94" s="67">
        <f>D94-E94</f>
        <v/>
      </c>
      <c r="G94" s="66">
        <f>F94^2</f>
        <v/>
      </c>
      <c r="H94" s="65" t="inlineStr"/>
      <c r="I94" s="65" t="inlineStr"/>
    </row>
    <row r="95">
      <c r="A95" s="68" t="n">
        <v>82</v>
      </c>
      <c r="B95" s="83" t="n">
        <v>81</v>
      </c>
      <c r="C95" s="83">
        <f>B95^2</f>
        <v/>
      </c>
      <c r="D95" s="69" t="n">
        <v>4550.68</v>
      </c>
      <c r="E95" s="69" t="n">
        <v>4564.96247</v>
      </c>
      <c r="F95" s="70">
        <f>D95-E95</f>
        <v/>
      </c>
      <c r="G95" s="69">
        <f>F95^2</f>
        <v/>
      </c>
      <c r="H95" s="68" t="inlineStr"/>
      <c r="I95" s="68" t="inlineStr"/>
    </row>
    <row r="96">
      <c r="A96" s="65" t="n">
        <v>83</v>
      </c>
      <c r="B96" s="82" t="n">
        <v>82</v>
      </c>
      <c r="C96" s="82">
        <f>B96^2</f>
        <v/>
      </c>
      <c r="D96" s="66" t="n">
        <v>4547.23</v>
      </c>
      <c r="E96" s="66" t="n">
        <v>4565.16492</v>
      </c>
      <c r="F96" s="67">
        <f>D96-E96</f>
        <v/>
      </c>
      <c r="G96" s="66">
        <f>F96^2</f>
        <v/>
      </c>
      <c r="H96" s="65" t="inlineStr"/>
      <c r="I96" s="65" t="inlineStr"/>
    </row>
    <row r="97">
      <c r="A97" s="68" t="n">
        <v>84</v>
      </c>
      <c r="B97" s="83" t="n">
        <v>83</v>
      </c>
      <c r="C97" s="83">
        <f>B97^2</f>
        <v/>
      </c>
      <c r="D97" s="69" t="n">
        <v>4544.75</v>
      </c>
      <c r="E97" s="69" t="n">
        <v>4565.36736</v>
      </c>
      <c r="F97" s="70">
        <f>D97-E97</f>
        <v/>
      </c>
      <c r="G97" s="69">
        <f>F97^2</f>
        <v/>
      </c>
      <c r="H97" s="68" t="inlineStr"/>
      <c r="I97" s="68" t="inlineStr"/>
    </row>
    <row r="98">
      <c r="A98" s="65" t="n">
        <v>85</v>
      </c>
      <c r="B98" s="82" t="n">
        <v>84</v>
      </c>
      <c r="C98" s="82">
        <f>B98^2</f>
        <v/>
      </c>
      <c r="D98" s="66" t="n">
        <v>4547.33</v>
      </c>
      <c r="E98" s="66" t="n">
        <v>4565.56981</v>
      </c>
      <c r="F98" s="67">
        <f>D98-E98</f>
        <v/>
      </c>
      <c r="G98" s="66">
        <f>F98^2</f>
        <v/>
      </c>
      <c r="H98" s="65" t="inlineStr"/>
      <c r="I98" s="65" t="inlineStr"/>
    </row>
    <row r="99">
      <c r="A99" s="68" t="n">
        <v>86</v>
      </c>
      <c r="B99" s="83" t="n">
        <v>85</v>
      </c>
      <c r="C99" s="83">
        <f>B99^2</f>
        <v/>
      </c>
      <c r="D99" s="69" t="n">
        <v>4525.75</v>
      </c>
      <c r="E99" s="69" t="n">
        <v>4565.77226</v>
      </c>
      <c r="F99" s="70">
        <f>D99-E99</f>
        <v/>
      </c>
      <c r="G99" s="69">
        <f>F99^2</f>
        <v/>
      </c>
      <c r="H99" s="68" t="inlineStr"/>
      <c r="I99" s="68" t="inlineStr"/>
    </row>
    <row r="100">
      <c r="A100" s="65" t="n">
        <v>87</v>
      </c>
      <c r="B100" s="82" t="n">
        <v>86</v>
      </c>
      <c r="C100" s="82">
        <f>B100^2</f>
        <v/>
      </c>
      <c r="D100" s="66" t="n">
        <v>4532.95</v>
      </c>
      <c r="E100" s="66" t="n">
        <v>4565.9747</v>
      </c>
      <c r="F100" s="67">
        <f>D100-E100</f>
        <v/>
      </c>
      <c r="G100" s="66">
        <f>F100^2</f>
        <v/>
      </c>
      <c r="H100" s="65" t="inlineStr"/>
      <c r="I100" s="65" t="inlineStr"/>
    </row>
    <row r="101">
      <c r="A101" s="68" t="n">
        <v>88</v>
      </c>
      <c r="B101" s="83" t="n">
        <v>87</v>
      </c>
      <c r="C101" s="83">
        <f>B101^2</f>
        <v/>
      </c>
      <c r="D101" s="69" t="n">
        <v>4520.81</v>
      </c>
      <c r="E101" s="69" t="n">
        <v>4566.17715</v>
      </c>
      <c r="F101" s="70">
        <f>D101-E101</f>
        <v/>
      </c>
      <c r="G101" s="69">
        <f>F101^2</f>
        <v/>
      </c>
      <c r="H101" s="68" t="inlineStr"/>
      <c r="I101" s="68" t="inlineStr"/>
    </row>
    <row r="102">
      <c r="A102" s="65" t="n">
        <v>89</v>
      </c>
      <c r="B102" s="82" t="n">
        <v>88</v>
      </c>
      <c r="C102" s="82">
        <f>B102^2</f>
        <v/>
      </c>
      <c r="D102" s="66" t="n">
        <v>4538.19</v>
      </c>
      <c r="E102" s="66" t="n">
        <v>4566.37959</v>
      </c>
      <c r="F102" s="67">
        <f>D102-E102</f>
        <v/>
      </c>
      <c r="G102" s="66">
        <f>F102^2</f>
        <v/>
      </c>
      <c r="H102" s="65" t="inlineStr"/>
      <c r="I102" s="65" t="inlineStr"/>
    </row>
    <row r="103">
      <c r="A103" s="68" t="n">
        <v>90</v>
      </c>
      <c r="B103" s="83" t="n">
        <v>89</v>
      </c>
      <c r="C103" s="83">
        <f>B103^2</f>
        <v/>
      </c>
      <c r="D103" s="69" t="n">
        <v>4547.72</v>
      </c>
      <c r="E103" s="69" t="n">
        <v>4566.58204</v>
      </c>
      <c r="F103" s="70">
        <f>D103-E103</f>
        <v/>
      </c>
      <c r="G103" s="69">
        <f>F103^2</f>
        <v/>
      </c>
      <c r="H103" s="68" t="inlineStr"/>
      <c r="I103" s="68" t="inlineStr"/>
    </row>
    <row r="104">
      <c r="A104" s="65" t="n">
        <v>91</v>
      </c>
      <c r="B104" s="82" t="n">
        <v>90</v>
      </c>
      <c r="C104" s="82">
        <f>B104^2</f>
        <v/>
      </c>
      <c r="D104" s="66" t="n">
        <v>4542.84</v>
      </c>
      <c r="E104" s="66" t="n">
        <v>4566.78448</v>
      </c>
      <c r="F104" s="67">
        <f>D104-E104</f>
        <v/>
      </c>
      <c r="G104" s="66">
        <f>F104^2</f>
        <v/>
      </c>
      <c r="H104" s="65" t="inlineStr"/>
      <c r="I104" s="65" t="inlineStr"/>
    </row>
    <row r="105">
      <c r="A105" s="68" t="n">
        <v>92</v>
      </c>
      <c r="B105" s="83" t="n">
        <v>91</v>
      </c>
      <c r="C105" s="83">
        <f>B105^2</f>
        <v/>
      </c>
      <c r="D105" s="69" t="n">
        <v>4539.61</v>
      </c>
      <c r="E105" s="69" t="n">
        <v>4566.98693</v>
      </c>
      <c r="F105" s="70">
        <f>D105-E105</f>
        <v/>
      </c>
      <c r="G105" s="69">
        <f>F105^2</f>
        <v/>
      </c>
      <c r="H105" s="68" t="inlineStr"/>
      <c r="I105" s="68" t="inlineStr"/>
    </row>
    <row r="106">
      <c r="A106" s="65" t="n">
        <v>93</v>
      </c>
      <c r="B106" s="82" t="n">
        <v>92</v>
      </c>
      <c r="C106" s="82">
        <f>B106^2</f>
        <v/>
      </c>
      <c r="D106" s="66" t="n">
        <v>4547.05</v>
      </c>
      <c r="E106" s="66" t="n">
        <v>4567.18938</v>
      </c>
      <c r="F106" s="67">
        <f>D106-E106</f>
        <v/>
      </c>
      <c r="G106" s="66">
        <f>F106^2</f>
        <v/>
      </c>
      <c r="H106" s="65" t="inlineStr"/>
      <c r="I106" s="65" t="inlineStr"/>
    </row>
    <row r="107">
      <c r="A107" s="68" t="n">
        <v>94</v>
      </c>
      <c r="B107" s="83" t="n">
        <v>93</v>
      </c>
      <c r="C107" s="83">
        <f>B107^2</f>
        <v/>
      </c>
      <c r="D107" s="69" t="n">
        <v>4546.25</v>
      </c>
      <c r="E107" s="69" t="n">
        <v>4567.39182</v>
      </c>
      <c r="F107" s="70">
        <f>D107-E107</f>
        <v/>
      </c>
      <c r="G107" s="69">
        <f>F107^2</f>
        <v/>
      </c>
      <c r="H107" s="68" t="inlineStr"/>
      <c r="I107" s="68" t="inlineStr"/>
    </row>
    <row r="108">
      <c r="A108" s="65" t="n">
        <v>95</v>
      </c>
      <c r="B108" s="82" t="n">
        <v>94</v>
      </c>
      <c r="C108" s="82">
        <f>B108^2</f>
        <v/>
      </c>
      <c r="D108" s="66" t="n">
        <v>4543.25</v>
      </c>
      <c r="E108" s="66" t="n">
        <v>4567.59427</v>
      </c>
      <c r="F108" s="67">
        <f>D108-E108</f>
        <v/>
      </c>
      <c r="G108" s="66">
        <f>F108^2</f>
        <v/>
      </c>
      <c r="H108" s="65" t="inlineStr"/>
      <c r="I108" s="65" t="inlineStr"/>
    </row>
    <row r="109">
      <c r="A109" s="68" t="n">
        <v>96</v>
      </c>
      <c r="B109" s="83" t="n">
        <v>95</v>
      </c>
      <c r="C109" s="83">
        <f>B109^2</f>
        <v/>
      </c>
      <c r="D109" s="69" t="n">
        <v>4543.79</v>
      </c>
      <c r="E109" s="69" t="n">
        <v>4567.79671</v>
      </c>
      <c r="F109" s="70">
        <f>D109-E109</f>
        <v/>
      </c>
      <c r="G109" s="69">
        <f>F109^2</f>
        <v/>
      </c>
      <c r="H109" s="68" t="inlineStr"/>
      <c r="I109" s="68" t="inlineStr"/>
    </row>
    <row r="110">
      <c r="A110" s="65" t="n">
        <v>97</v>
      </c>
      <c r="B110" s="82" t="n">
        <v>96</v>
      </c>
      <c r="C110" s="82">
        <f>B110^2</f>
        <v/>
      </c>
      <c r="D110" s="66" t="n">
        <v>4543.57</v>
      </c>
      <c r="E110" s="66" t="n">
        <v>4567.99916</v>
      </c>
      <c r="F110" s="67">
        <f>D110-E110</f>
        <v/>
      </c>
      <c r="G110" s="66">
        <f>F110^2</f>
        <v/>
      </c>
      <c r="H110" s="65" t="inlineStr"/>
      <c r="I110" s="65" t="inlineStr"/>
    </row>
    <row r="111">
      <c r="A111" s="68" t="n">
        <v>98</v>
      </c>
      <c r="B111" s="83" t="n">
        <v>97</v>
      </c>
      <c r="C111" s="83">
        <f>B111^2</f>
        <v/>
      </c>
      <c r="D111" s="69" t="n">
        <v>4546.4</v>
      </c>
      <c r="E111" s="69" t="n">
        <v>4568.2016</v>
      </c>
      <c r="F111" s="70">
        <f>D111-E111</f>
        <v/>
      </c>
      <c r="G111" s="69">
        <f>F111^2</f>
        <v/>
      </c>
      <c r="H111" s="68" t="inlineStr"/>
      <c r="I111" s="68" t="inlineStr"/>
    </row>
    <row r="112">
      <c r="A112" s="65" t="n">
        <v>99</v>
      </c>
      <c r="B112" s="82" t="n">
        <v>98</v>
      </c>
      <c r="C112" s="82">
        <f>B112^2</f>
        <v/>
      </c>
      <c r="D112" s="66" t="n">
        <v>4549.14</v>
      </c>
      <c r="E112" s="66" t="n">
        <v>4568.40405</v>
      </c>
      <c r="F112" s="67">
        <f>D112-E112</f>
        <v/>
      </c>
      <c r="G112" s="66">
        <f>F112^2</f>
        <v/>
      </c>
      <c r="H112" s="65" t="inlineStr"/>
      <c r="I112" s="65" t="inlineStr"/>
    </row>
    <row r="113">
      <c r="A113" s="68" t="n">
        <v>100</v>
      </c>
      <c r="B113" s="83" t="n">
        <v>99</v>
      </c>
      <c r="C113" s="83">
        <f>B113^2</f>
        <v/>
      </c>
      <c r="D113" s="69" t="n">
        <v>4548.51</v>
      </c>
      <c r="E113" s="69" t="n">
        <v>4568.60649</v>
      </c>
      <c r="F113" s="70">
        <f>D113-E113</f>
        <v/>
      </c>
      <c r="G113" s="69">
        <f>F113^2</f>
        <v/>
      </c>
      <c r="H113" s="68" t="inlineStr"/>
      <c r="I113" s="68" t="inlineStr"/>
    </row>
    <row r="114">
      <c r="A114" s="65" t="n">
        <v>101</v>
      </c>
      <c r="B114" s="82" t="n">
        <v>100</v>
      </c>
      <c r="C114" s="82">
        <f>B114^2</f>
        <v/>
      </c>
      <c r="D114" s="66" t="n">
        <v>4552.08</v>
      </c>
      <c r="E114" s="66" t="n">
        <v>4568.80894</v>
      </c>
      <c r="F114" s="67">
        <f>D114-E114</f>
        <v/>
      </c>
      <c r="G114" s="66">
        <f>F114^2</f>
        <v/>
      </c>
      <c r="H114" s="65" t="inlineStr"/>
      <c r="I114" s="65" t="inlineStr"/>
    </row>
    <row r="115">
      <c r="A115" s="68" t="n">
        <v>102</v>
      </c>
      <c r="B115" s="83" t="n">
        <v>101</v>
      </c>
      <c r="C115" s="83">
        <f>B115^2</f>
        <v/>
      </c>
      <c r="D115" s="69" t="n">
        <v>4553.33</v>
      </c>
      <c r="E115" s="69" t="n">
        <v>4569.01139</v>
      </c>
      <c r="F115" s="70">
        <f>D115-E115</f>
        <v/>
      </c>
      <c r="G115" s="69">
        <f>F115^2</f>
        <v/>
      </c>
      <c r="H115" s="68" t="inlineStr"/>
      <c r="I115" s="68" t="inlineStr"/>
    </row>
    <row r="116">
      <c r="A116" s="65" t="n">
        <v>103</v>
      </c>
      <c r="B116" s="82" t="n">
        <v>102</v>
      </c>
      <c r="C116" s="82">
        <f>B116^2</f>
        <v/>
      </c>
      <c r="D116" s="66" t="n">
        <v>4551.63</v>
      </c>
      <c r="E116" s="66" t="n">
        <v>4569.21383</v>
      </c>
      <c r="F116" s="67">
        <f>D116-E116</f>
        <v/>
      </c>
      <c r="G116" s="66">
        <f>F116^2</f>
        <v/>
      </c>
      <c r="H116" s="65" t="inlineStr"/>
      <c r="I116" s="65" t="inlineStr"/>
    </row>
    <row r="117">
      <c r="A117" s="68" t="n">
        <v>104</v>
      </c>
      <c r="B117" s="83" t="n">
        <v>103</v>
      </c>
      <c r="C117" s="83">
        <f>B117^2</f>
        <v/>
      </c>
      <c r="D117" s="69" t="n">
        <v>4554.44</v>
      </c>
      <c r="E117" s="69" t="n">
        <v>4569.41628</v>
      </c>
      <c r="F117" s="70">
        <f>D117-E117</f>
        <v/>
      </c>
      <c r="G117" s="69">
        <f>F117^2</f>
        <v/>
      </c>
      <c r="H117" s="68" t="inlineStr"/>
      <c r="I117" s="68" t="inlineStr"/>
    </row>
    <row r="118">
      <c r="A118" s="65" t="n">
        <v>105</v>
      </c>
      <c r="B118" s="82" t="n">
        <v>104</v>
      </c>
      <c r="C118" s="82">
        <f>B118^2</f>
        <v/>
      </c>
      <c r="D118" s="66" t="n">
        <v>4561.66</v>
      </c>
      <c r="E118" s="66" t="n">
        <v>4569.61872</v>
      </c>
      <c r="F118" s="67">
        <f>D118-E118</f>
        <v/>
      </c>
      <c r="G118" s="66">
        <f>F118^2</f>
        <v/>
      </c>
      <c r="H118" s="65" t="inlineStr"/>
      <c r="I118" s="65" t="inlineStr"/>
    </row>
    <row r="119">
      <c r="A119" s="68" t="n">
        <v>106</v>
      </c>
      <c r="B119" s="83" t="n">
        <v>105</v>
      </c>
      <c r="C119" s="83">
        <f>B119^2</f>
        <v/>
      </c>
      <c r="D119" s="69" t="n">
        <v>4557.93</v>
      </c>
      <c r="E119" s="69" t="n">
        <v>4569.82117</v>
      </c>
      <c r="F119" s="70">
        <f>D119-E119</f>
        <v/>
      </c>
      <c r="G119" s="69">
        <f>F119^2</f>
        <v/>
      </c>
      <c r="H119" s="68" t="inlineStr"/>
      <c r="I119" s="68" t="inlineStr"/>
    </row>
    <row r="120">
      <c r="A120" s="65" t="n">
        <v>107</v>
      </c>
      <c r="B120" s="82" t="n">
        <v>106</v>
      </c>
      <c r="C120" s="82">
        <f>B120^2</f>
        <v/>
      </c>
      <c r="D120" s="66" t="n">
        <v>4563.57</v>
      </c>
      <c r="E120" s="66" t="n">
        <v>4570.02361</v>
      </c>
      <c r="F120" s="67">
        <f>D120-E120</f>
        <v/>
      </c>
      <c r="G120" s="66">
        <f>F120^2</f>
        <v/>
      </c>
      <c r="H120" s="65" t="inlineStr"/>
      <c r="I120" s="65" t="inlineStr"/>
    </row>
    <row r="121">
      <c r="A121" s="68" t="n">
        <v>108</v>
      </c>
      <c r="B121" s="83" t="n">
        <v>107</v>
      </c>
      <c r="C121" s="83">
        <f>B121^2</f>
        <v/>
      </c>
      <c r="D121" s="69" t="n">
        <v>4567.11</v>
      </c>
      <c r="E121" s="69" t="n">
        <v>4570.22606</v>
      </c>
      <c r="F121" s="70">
        <f>D121-E121</f>
        <v/>
      </c>
      <c r="G121" s="69">
        <f>F121^2</f>
        <v/>
      </c>
      <c r="H121" s="68" t="inlineStr"/>
      <c r="I121" s="68" t="inlineStr"/>
    </row>
    <row r="122">
      <c r="A122" s="65" t="n">
        <v>109</v>
      </c>
      <c r="B122" s="82" t="n">
        <v>108</v>
      </c>
      <c r="C122" s="82">
        <f>B122^2</f>
        <v/>
      </c>
      <c r="D122" s="66" t="n">
        <v>4569.83</v>
      </c>
      <c r="E122" s="66" t="n">
        <v>4570.42851</v>
      </c>
      <c r="F122" s="67">
        <f>D122-E122</f>
        <v/>
      </c>
      <c r="G122" s="66">
        <f>F122^2</f>
        <v/>
      </c>
      <c r="H122" s="65" t="inlineStr"/>
      <c r="I122" s="65" t="inlineStr"/>
    </row>
    <row r="123">
      <c r="A123" s="68" t="n">
        <v>110</v>
      </c>
      <c r="B123" s="83" t="n">
        <v>109</v>
      </c>
      <c r="C123" s="83">
        <f>B123^2</f>
        <v/>
      </c>
      <c r="D123" s="69" t="n">
        <v>4568.52</v>
      </c>
      <c r="E123" s="69" t="n">
        <v>4570.63095</v>
      </c>
      <c r="F123" s="70">
        <f>D123-E123</f>
        <v/>
      </c>
      <c r="G123" s="69">
        <f>F123^2</f>
        <v/>
      </c>
      <c r="H123" s="68" t="inlineStr"/>
      <c r="I123" s="68" t="inlineStr"/>
    </row>
    <row r="124">
      <c r="A124" s="65" t="n">
        <v>111</v>
      </c>
      <c r="B124" s="82" t="n">
        <v>110</v>
      </c>
      <c r="C124" s="82">
        <f>B124^2</f>
        <v/>
      </c>
      <c r="D124" s="66" t="n">
        <v>4579.79</v>
      </c>
      <c r="E124" s="66" t="n">
        <v>4570.8334</v>
      </c>
      <c r="F124" s="67">
        <f>D124-E124</f>
        <v/>
      </c>
      <c r="G124" s="66">
        <f>F124^2</f>
        <v/>
      </c>
      <c r="H124" s="65" t="inlineStr"/>
      <c r="I124" s="65" t="inlineStr"/>
    </row>
    <row r="125">
      <c r="A125" s="68" t="n">
        <v>112</v>
      </c>
      <c r="B125" s="83" t="n">
        <v>111</v>
      </c>
      <c r="C125" s="83">
        <f>B125^2</f>
        <v/>
      </c>
      <c r="D125" s="69" t="n">
        <v>4576.31</v>
      </c>
      <c r="E125" s="69" t="n">
        <v>4571.03584</v>
      </c>
      <c r="F125" s="70">
        <f>D125-E125</f>
        <v/>
      </c>
      <c r="G125" s="69">
        <f>F125^2</f>
        <v/>
      </c>
      <c r="H125" s="68" t="inlineStr"/>
      <c r="I125" s="68" t="inlineStr"/>
    </row>
    <row r="126">
      <c r="A126" s="65" t="n">
        <v>113</v>
      </c>
      <c r="B126" s="82" t="n">
        <v>112</v>
      </c>
      <c r="C126" s="82">
        <f>B126^2</f>
        <v/>
      </c>
      <c r="D126" s="66" t="n">
        <v>4579.13</v>
      </c>
      <c r="E126" s="66" t="n">
        <v>4571.23829</v>
      </c>
      <c r="F126" s="67">
        <f>D126-E126</f>
        <v/>
      </c>
      <c r="G126" s="66">
        <f>F126^2</f>
        <v/>
      </c>
      <c r="H126" s="65" t="inlineStr"/>
      <c r="I126" s="65" t="inlineStr"/>
    </row>
    <row r="127">
      <c r="A127" s="68" t="n">
        <v>114</v>
      </c>
      <c r="B127" s="83" t="n">
        <v>113</v>
      </c>
      <c r="C127" s="83">
        <f>B127^2</f>
        <v/>
      </c>
      <c r="D127" s="69" t="n">
        <v>4579.74</v>
      </c>
      <c r="E127" s="69" t="n">
        <v>4571.44073</v>
      </c>
      <c r="F127" s="70">
        <f>D127-E127</f>
        <v/>
      </c>
      <c r="G127" s="69">
        <f>F127^2</f>
        <v/>
      </c>
      <c r="H127" s="68" t="inlineStr"/>
      <c r="I127" s="68" t="inlineStr"/>
    </row>
    <row r="128">
      <c r="A128" s="65" t="n">
        <v>115</v>
      </c>
      <c r="B128" s="82" t="n">
        <v>114</v>
      </c>
      <c r="C128" s="82">
        <f>B128^2</f>
        <v/>
      </c>
      <c r="D128" s="66" t="n">
        <v>4573.13</v>
      </c>
      <c r="E128" s="66" t="n">
        <v>4571.64318</v>
      </c>
      <c r="F128" s="67">
        <f>D128-E128</f>
        <v/>
      </c>
      <c r="G128" s="66">
        <f>F128^2</f>
        <v/>
      </c>
      <c r="H128" s="65" t="inlineStr"/>
      <c r="I128" s="65" t="inlineStr"/>
    </row>
    <row r="129">
      <c r="A129" s="68" t="n">
        <v>116</v>
      </c>
      <c r="B129" s="83" t="n">
        <v>115</v>
      </c>
      <c r="C129" s="83">
        <f>B129^2</f>
        <v/>
      </c>
      <c r="D129" s="69" t="n">
        <v>4562.53</v>
      </c>
      <c r="E129" s="69" t="n">
        <v>4571.84563</v>
      </c>
      <c r="F129" s="70">
        <f>D129-E129</f>
        <v/>
      </c>
      <c r="G129" s="69">
        <f>F129^2</f>
        <v/>
      </c>
      <c r="H129" s="68" t="inlineStr"/>
      <c r="I129" s="68" t="inlineStr"/>
    </row>
    <row r="130">
      <c r="A130" s="65" t="n">
        <v>117</v>
      </c>
      <c r="B130" s="82" t="n">
        <v>116</v>
      </c>
      <c r="C130" s="82">
        <f>B130^2</f>
        <v/>
      </c>
      <c r="D130" s="66" t="n">
        <v>4565.02</v>
      </c>
      <c r="E130" s="66" t="n">
        <v>4572.04807</v>
      </c>
      <c r="F130" s="67">
        <f>D130-E130</f>
        <v/>
      </c>
      <c r="G130" s="66">
        <f>F130^2</f>
        <v/>
      </c>
      <c r="H130" s="65" t="inlineStr"/>
      <c r="I130" s="65" t="inlineStr"/>
    </row>
    <row r="131">
      <c r="A131" s="68" t="n">
        <v>118</v>
      </c>
      <c r="B131" s="83" t="n">
        <v>117</v>
      </c>
      <c r="C131" s="83">
        <f>B131^2</f>
        <v/>
      </c>
      <c r="D131" s="69" t="n">
        <v>4564.98</v>
      </c>
      <c r="E131" s="69" t="n">
        <v>4572.25052</v>
      </c>
      <c r="F131" s="70">
        <f>D131-E131</f>
        <v/>
      </c>
      <c r="G131" s="69">
        <f>F131^2</f>
        <v/>
      </c>
      <c r="H131" s="68" t="inlineStr"/>
      <c r="I131" s="68" t="inlineStr"/>
    </row>
    <row r="132">
      <c r="A132" s="65" t="n">
        <v>119</v>
      </c>
      <c r="B132" s="82" t="n">
        <v>118</v>
      </c>
      <c r="C132" s="82">
        <f>B132^2</f>
        <v/>
      </c>
      <c r="D132" s="66" t="n">
        <v>4563.32</v>
      </c>
      <c r="E132" s="66" t="n">
        <v>4572.45296</v>
      </c>
      <c r="F132" s="67">
        <f>D132-E132</f>
        <v/>
      </c>
      <c r="G132" s="66">
        <f>F132^2</f>
        <v/>
      </c>
      <c r="H132" s="65" t="inlineStr"/>
      <c r="I132" s="65" t="inlineStr"/>
    </row>
    <row r="133">
      <c r="A133" s="68" t="n">
        <v>120</v>
      </c>
      <c r="B133" s="83" t="n">
        <v>119</v>
      </c>
      <c r="C133" s="83">
        <f>B133^2</f>
        <v/>
      </c>
      <c r="D133" s="69" t="n">
        <v>4561.66</v>
      </c>
      <c r="E133" s="69" t="n">
        <v>4572.65541</v>
      </c>
      <c r="F133" s="70">
        <f>D133-E133</f>
        <v/>
      </c>
      <c r="G133" s="69">
        <f>F133^2</f>
        <v/>
      </c>
      <c r="H133" s="68" t="inlineStr"/>
      <c r="I133" s="68" t="inlineStr"/>
    </row>
    <row r="134">
      <c r="A134" s="65" t="n">
        <v>121</v>
      </c>
      <c r="B134" s="82" t="n">
        <v>120</v>
      </c>
      <c r="C134" s="82">
        <f>B134^2</f>
        <v/>
      </c>
      <c r="D134" s="66" t="n">
        <v>4556.09</v>
      </c>
      <c r="E134" s="66" t="n">
        <v>4572.85785</v>
      </c>
      <c r="F134" s="67">
        <f>D134-E134</f>
        <v/>
      </c>
      <c r="G134" s="66">
        <f>F134^2</f>
        <v/>
      </c>
      <c r="H134" s="65" t="inlineStr"/>
      <c r="I134" s="65" t="inlineStr"/>
    </row>
    <row r="135">
      <c r="A135" s="68" t="n">
        <v>122</v>
      </c>
      <c r="B135" s="83" t="n">
        <v>121</v>
      </c>
      <c r="C135" s="83">
        <f>B135^2</f>
        <v/>
      </c>
      <c r="D135" s="69" t="n">
        <v>4555.41</v>
      </c>
      <c r="E135" s="69" t="n">
        <v>4573.0603</v>
      </c>
      <c r="F135" s="70">
        <f>D135-E135</f>
        <v/>
      </c>
      <c r="G135" s="69">
        <f>F135^2</f>
        <v/>
      </c>
      <c r="H135" s="68" t="inlineStr"/>
      <c r="I135" s="68" t="inlineStr"/>
    </row>
    <row r="136">
      <c r="A136" s="65" t="n">
        <v>123</v>
      </c>
      <c r="B136" s="82" t="n">
        <v>122</v>
      </c>
      <c r="C136" s="82">
        <f>B136^2</f>
        <v/>
      </c>
      <c r="D136" s="66" t="n">
        <v>4547.28</v>
      </c>
      <c r="E136" s="66" t="n">
        <v>4573.26275</v>
      </c>
      <c r="F136" s="67">
        <f>D136-E136</f>
        <v/>
      </c>
      <c r="G136" s="66">
        <f>F136^2</f>
        <v/>
      </c>
      <c r="H136" s="65" t="inlineStr"/>
      <c r="I136" s="65" t="inlineStr"/>
    </row>
    <row r="137">
      <c r="A137" s="68" t="n">
        <v>124</v>
      </c>
      <c r="B137" s="83" t="n">
        <v>123</v>
      </c>
      <c r="C137" s="83">
        <f>B137^2</f>
        <v/>
      </c>
      <c r="D137" s="69" t="n">
        <v>4544.74</v>
      </c>
      <c r="E137" s="69" t="n">
        <v>4573.46519</v>
      </c>
      <c r="F137" s="70">
        <f>D137-E137</f>
        <v/>
      </c>
      <c r="G137" s="69">
        <f>F137^2</f>
        <v/>
      </c>
      <c r="H137" s="68" t="inlineStr"/>
      <c r="I137" s="68" t="inlineStr"/>
    </row>
    <row r="138">
      <c r="A138" s="65" t="n">
        <v>125</v>
      </c>
      <c r="B138" s="82" t="n">
        <v>124</v>
      </c>
      <c r="C138" s="82">
        <f>B138^2</f>
        <v/>
      </c>
      <c r="D138" s="66" t="n">
        <v>4541.91</v>
      </c>
      <c r="E138" s="66" t="n">
        <v>4573.66764</v>
      </c>
      <c r="F138" s="67">
        <f>D138-E138</f>
        <v/>
      </c>
      <c r="G138" s="66">
        <f>F138^2</f>
        <v/>
      </c>
      <c r="H138" s="65" t="inlineStr"/>
      <c r="I138" s="65" t="inlineStr"/>
    </row>
    <row r="139">
      <c r="A139" s="68" t="n">
        <v>126</v>
      </c>
      <c r="B139" s="83" t="n">
        <v>125</v>
      </c>
      <c r="C139" s="83">
        <f>B139^2</f>
        <v/>
      </c>
      <c r="D139" s="69" t="n">
        <v>4553.22</v>
      </c>
      <c r="E139" s="69" t="n">
        <v>4573.87008</v>
      </c>
      <c r="F139" s="70">
        <f>D139-E139</f>
        <v/>
      </c>
      <c r="G139" s="69">
        <f>F139^2</f>
        <v/>
      </c>
      <c r="H139" s="68" t="inlineStr"/>
      <c r="I139" s="68" t="inlineStr"/>
    </row>
    <row r="140">
      <c r="A140" s="65" t="n">
        <v>127</v>
      </c>
      <c r="B140" s="82" t="n">
        <v>126</v>
      </c>
      <c r="C140" s="82">
        <f>B140^2</f>
        <v/>
      </c>
      <c r="D140" s="66" t="n">
        <v>4555.73</v>
      </c>
      <c r="E140" s="66" t="n">
        <v>4574.07253</v>
      </c>
      <c r="F140" s="67">
        <f>D140-E140</f>
        <v/>
      </c>
      <c r="G140" s="66">
        <f>F140^2</f>
        <v/>
      </c>
      <c r="H140" s="65" t="inlineStr"/>
      <c r="I140" s="65" t="inlineStr"/>
    </row>
    <row r="141">
      <c r="A141" s="68" t="n">
        <v>128</v>
      </c>
      <c r="B141" s="83" t="n">
        <v>127</v>
      </c>
      <c r="C141" s="83">
        <f>B141^2</f>
        <v/>
      </c>
      <c r="D141" s="69" t="n">
        <v>4564.04</v>
      </c>
      <c r="E141" s="69" t="n">
        <v>4574.27497</v>
      </c>
      <c r="F141" s="70">
        <f>D141-E141</f>
        <v/>
      </c>
      <c r="G141" s="69">
        <f>F141^2</f>
        <v/>
      </c>
      <c r="H141" s="68" t="inlineStr"/>
      <c r="I141" s="68" t="inlineStr"/>
    </row>
    <row r="142">
      <c r="A142" s="65" t="n">
        <v>129</v>
      </c>
      <c r="B142" s="82" t="n">
        <v>128</v>
      </c>
      <c r="C142" s="82">
        <f>B142^2</f>
        <v/>
      </c>
      <c r="D142" s="66" t="n">
        <v>4562.71</v>
      </c>
      <c r="E142" s="66" t="n">
        <v>4574.47742</v>
      </c>
      <c r="F142" s="67">
        <f>D142-E142</f>
        <v/>
      </c>
      <c r="G142" s="66">
        <f>F142^2</f>
        <v/>
      </c>
      <c r="H142" s="65" t="inlineStr"/>
      <c r="I142" s="65" t="inlineStr"/>
    </row>
    <row r="143">
      <c r="A143" s="68" t="n">
        <v>130</v>
      </c>
      <c r="B143" s="83" t="n">
        <v>129</v>
      </c>
      <c r="C143" s="83">
        <f>B143^2</f>
        <v/>
      </c>
      <c r="D143" s="69" t="n">
        <v>4566.21</v>
      </c>
      <c r="E143" s="69" t="n">
        <v>4574.67987</v>
      </c>
      <c r="F143" s="70">
        <f>D143-E143</f>
        <v/>
      </c>
      <c r="G143" s="69">
        <f>F143^2</f>
        <v/>
      </c>
      <c r="H143" s="68" t="inlineStr"/>
      <c r="I143" s="68" t="inlineStr"/>
    </row>
    <row r="144">
      <c r="A144" s="65" t="n">
        <v>131</v>
      </c>
      <c r="B144" s="82" t="n">
        <v>130</v>
      </c>
      <c r="C144" s="82">
        <f>B144^2</f>
        <v/>
      </c>
      <c r="D144" s="66" t="n">
        <v>4569.57</v>
      </c>
      <c r="E144" s="66" t="n">
        <v>4574.88231</v>
      </c>
      <c r="F144" s="67">
        <f>D144-E144</f>
        <v/>
      </c>
      <c r="G144" s="66">
        <f>F144^2</f>
        <v/>
      </c>
      <c r="H144" s="65" t="inlineStr"/>
      <c r="I144" s="65" t="inlineStr"/>
    </row>
    <row r="145">
      <c r="A145" s="68" t="n">
        <v>132</v>
      </c>
      <c r="B145" s="83" t="n">
        <v>131</v>
      </c>
      <c r="C145" s="83">
        <f>B145^2</f>
        <v/>
      </c>
      <c r="D145" s="69" t="n">
        <v>4575.23</v>
      </c>
      <c r="E145" s="69" t="n">
        <v>4575.08476</v>
      </c>
      <c r="F145" s="70">
        <f>D145-E145</f>
        <v/>
      </c>
      <c r="G145" s="69">
        <f>F145^2</f>
        <v/>
      </c>
      <c r="H145" s="68" t="inlineStr"/>
      <c r="I145" s="68" t="inlineStr"/>
    </row>
    <row r="146">
      <c r="A146" s="65" t="n">
        <v>133</v>
      </c>
      <c r="B146" s="82" t="n">
        <v>132</v>
      </c>
      <c r="C146" s="82">
        <f>B146^2</f>
        <v/>
      </c>
      <c r="D146" s="66" t="n">
        <v>4589.44</v>
      </c>
      <c r="E146" s="66" t="n">
        <v>4575.2872</v>
      </c>
      <c r="F146" s="67">
        <f>D146-E146</f>
        <v/>
      </c>
      <c r="G146" s="66">
        <f>F146^2</f>
        <v/>
      </c>
      <c r="H146" s="65" t="inlineStr"/>
      <c r="I146" s="65" t="inlineStr"/>
    </row>
    <row r="147">
      <c r="A147" s="68" t="n">
        <v>134</v>
      </c>
      <c r="B147" s="83" t="n">
        <v>133</v>
      </c>
      <c r="C147" s="83">
        <f>B147^2</f>
        <v/>
      </c>
      <c r="D147" s="69" t="n">
        <v>4591.59</v>
      </c>
      <c r="E147" s="69" t="n">
        <v>4575.48965</v>
      </c>
      <c r="F147" s="70">
        <f>D147-E147</f>
        <v/>
      </c>
      <c r="G147" s="69">
        <f>F147^2</f>
        <v/>
      </c>
      <c r="H147" s="68" t="inlineStr"/>
      <c r="I147" s="68" t="inlineStr"/>
    </row>
    <row r="148">
      <c r="A148" s="65" t="n">
        <v>135</v>
      </c>
      <c r="B148" s="82" t="n">
        <v>134</v>
      </c>
      <c r="C148" s="82">
        <f>B148^2</f>
        <v/>
      </c>
      <c r="D148" s="66" t="n">
        <v>4591.59</v>
      </c>
      <c r="E148" s="66" t="n">
        <v>4575.69209</v>
      </c>
      <c r="F148" s="67">
        <f>D148-E148</f>
        <v/>
      </c>
      <c r="G148" s="66">
        <f>F148^2</f>
        <v/>
      </c>
      <c r="H148" s="65" t="inlineStr"/>
      <c r="I148" s="65" t="inlineStr"/>
    </row>
    <row r="149">
      <c r="A149" s="68" t="n">
        <v>136</v>
      </c>
      <c r="B149" s="83" t="n">
        <v>135</v>
      </c>
      <c r="C149" s="83">
        <f>B149^2</f>
        <v/>
      </c>
      <c r="D149" s="69" t="n">
        <v>4596.69</v>
      </c>
      <c r="E149" s="69" t="n">
        <v>4575.89454</v>
      </c>
      <c r="F149" s="70">
        <f>D149-E149</f>
        <v/>
      </c>
      <c r="G149" s="69">
        <f>F149^2</f>
        <v/>
      </c>
      <c r="H149" s="68" t="inlineStr"/>
      <c r="I149" s="68" t="inlineStr"/>
    </row>
    <row r="150">
      <c r="A150" s="65" t="n">
        <v>137</v>
      </c>
      <c r="B150" s="82" t="n">
        <v>136</v>
      </c>
      <c r="C150" s="82">
        <f>B150^2</f>
        <v/>
      </c>
      <c r="D150" s="66" t="n">
        <v>4598.44</v>
      </c>
      <c r="E150" s="66" t="n">
        <v>4576.09699</v>
      </c>
      <c r="F150" s="67">
        <f>D150-E150</f>
        <v/>
      </c>
      <c r="G150" s="66">
        <f>F150^2</f>
        <v/>
      </c>
      <c r="H150" s="65" t="inlineStr"/>
      <c r="I150" s="65" t="inlineStr"/>
    </row>
    <row r="151">
      <c r="A151" s="68" t="n">
        <v>138</v>
      </c>
      <c r="B151" s="83" t="n">
        <v>137</v>
      </c>
      <c r="C151" s="83">
        <f>B151^2</f>
        <v/>
      </c>
      <c r="D151" s="69" t="n">
        <v>4618.7</v>
      </c>
      <c r="E151" s="69" t="n">
        <v>4576.29943</v>
      </c>
      <c r="F151" s="70">
        <f>D151-E151</f>
        <v/>
      </c>
      <c r="G151" s="69">
        <f>F151^2</f>
        <v/>
      </c>
      <c r="H151" s="68" t="inlineStr"/>
      <c r="I151" s="68" t="inlineStr"/>
    </row>
    <row r="152">
      <c r="A152" s="65" t="n">
        <v>139</v>
      </c>
      <c r="B152" s="82" t="n">
        <v>138</v>
      </c>
      <c r="C152" s="82">
        <f>B152^2</f>
        <v/>
      </c>
      <c r="D152" s="66" t="n">
        <v>4617.35</v>
      </c>
      <c r="E152" s="66" t="n">
        <v>4576.50188</v>
      </c>
      <c r="F152" s="67">
        <f>D152-E152</f>
        <v/>
      </c>
      <c r="G152" s="66">
        <f>F152^2</f>
        <v/>
      </c>
      <c r="H152" s="65" t="inlineStr"/>
      <c r="I152" s="65" t="inlineStr"/>
    </row>
    <row r="153">
      <c r="A153" s="68" t="n">
        <v>140</v>
      </c>
      <c r="B153" s="83" t="n">
        <v>139</v>
      </c>
      <c r="C153" s="83">
        <f>B153^2</f>
        <v/>
      </c>
      <c r="D153" s="69" t="n">
        <v>4614.82</v>
      </c>
      <c r="E153" s="69" t="n">
        <v>4576.70432</v>
      </c>
      <c r="F153" s="70">
        <f>D153-E153</f>
        <v/>
      </c>
      <c r="G153" s="69">
        <f>F153^2</f>
        <v/>
      </c>
      <c r="H153" s="68" t="inlineStr"/>
      <c r="I153" s="68" t="inlineStr"/>
    </row>
    <row r="154">
      <c r="A154" s="65" t="n">
        <v>141</v>
      </c>
      <c r="B154" s="82" t="n">
        <v>140</v>
      </c>
      <c r="C154" s="82">
        <f>B154^2</f>
        <v/>
      </c>
      <c r="D154" s="66" t="n">
        <v>4616</v>
      </c>
      <c r="E154" s="66" t="n">
        <v>4576.90677</v>
      </c>
      <c r="F154" s="67">
        <f>D154-E154</f>
        <v/>
      </c>
      <c r="G154" s="66">
        <f>F154^2</f>
        <v/>
      </c>
      <c r="H154" s="65" t="inlineStr"/>
      <c r="I154" s="65" t="inlineStr"/>
    </row>
    <row r="155">
      <c r="A155" s="68" t="n">
        <v>142</v>
      </c>
      <c r="B155" s="83" t="n">
        <v>141</v>
      </c>
      <c r="C155" s="83">
        <f>B155^2</f>
        <v/>
      </c>
      <c r="D155" s="69" t="n">
        <v>4618.96</v>
      </c>
      <c r="E155" s="69" t="n">
        <v>4577.10921</v>
      </c>
      <c r="F155" s="70">
        <f>D155-E155</f>
        <v/>
      </c>
      <c r="G155" s="69">
        <f>F155^2</f>
        <v/>
      </c>
      <c r="H155" s="68" t="inlineStr"/>
      <c r="I155" s="68" t="inlineStr"/>
    </row>
    <row r="156">
      <c r="A156" s="65" t="n">
        <v>143</v>
      </c>
      <c r="B156" s="82" t="n">
        <v>142</v>
      </c>
      <c r="C156" s="82">
        <f>B156^2</f>
        <v/>
      </c>
      <c r="D156" s="66" t="n">
        <v>4625.41</v>
      </c>
      <c r="E156" s="66" t="n">
        <v>4577.31166</v>
      </c>
      <c r="F156" s="67">
        <f>D156-E156</f>
        <v/>
      </c>
      <c r="G156" s="66">
        <f>F156^2</f>
        <v/>
      </c>
      <c r="H156" s="65" t="inlineStr"/>
      <c r="I156" s="65" t="inlineStr"/>
    </row>
    <row r="157">
      <c r="A157" s="68" t="n">
        <v>144</v>
      </c>
      <c r="B157" s="83" t="n">
        <v>143</v>
      </c>
      <c r="C157" s="83">
        <f>B157^2</f>
        <v/>
      </c>
      <c r="D157" s="69" t="n">
        <v>4619.35</v>
      </c>
      <c r="E157" s="69" t="n">
        <v>4577.51411</v>
      </c>
      <c r="F157" s="70">
        <f>D157-E157</f>
        <v/>
      </c>
      <c r="G157" s="69">
        <f>F157^2</f>
        <v/>
      </c>
      <c r="H157" s="68" t="inlineStr"/>
      <c r="I157" s="68" t="inlineStr"/>
    </row>
    <row r="158">
      <c r="A158" s="65" t="n">
        <v>145</v>
      </c>
      <c r="B158" s="82" t="n">
        <v>144</v>
      </c>
      <c r="C158" s="82">
        <f>B158^2</f>
        <v/>
      </c>
      <c r="D158" s="66" t="n">
        <v>4624.91</v>
      </c>
      <c r="E158" s="66" t="n">
        <v>4577.71655</v>
      </c>
      <c r="F158" s="67">
        <f>D158-E158</f>
        <v/>
      </c>
      <c r="G158" s="66">
        <f>F158^2</f>
        <v/>
      </c>
      <c r="H158" s="65" t="inlineStr"/>
      <c r="I158" s="65" t="inlineStr"/>
    </row>
    <row r="159">
      <c r="A159" s="68" t="n">
        <v>146</v>
      </c>
      <c r="B159" s="83" t="n">
        <v>145</v>
      </c>
      <c r="C159" s="83">
        <f>B159^2</f>
        <v/>
      </c>
      <c r="D159" s="69" t="n">
        <v>4626.92</v>
      </c>
      <c r="E159" s="69" t="n">
        <v>4577.919</v>
      </c>
      <c r="F159" s="70">
        <f>D159-E159</f>
        <v/>
      </c>
      <c r="G159" s="69">
        <f>F159^2</f>
        <v/>
      </c>
      <c r="H159" s="68" t="inlineStr"/>
      <c r="I159" s="68" t="inlineStr"/>
    </row>
    <row r="160">
      <c r="A160" s="65" t="n">
        <v>147</v>
      </c>
      <c r="B160" s="82" t="n">
        <v>146</v>
      </c>
      <c r="C160" s="82">
        <f>B160^2</f>
        <v/>
      </c>
      <c r="D160" s="66" t="n">
        <v>4643.78</v>
      </c>
      <c r="E160" s="66" t="n">
        <v>4578.12144</v>
      </c>
      <c r="F160" s="67">
        <f>D160-E160</f>
        <v/>
      </c>
      <c r="G160" s="66">
        <f>F160^2</f>
        <v/>
      </c>
      <c r="H160" s="65" t="inlineStr"/>
      <c r="I160" s="65" t="inlineStr"/>
    </row>
    <row r="161">
      <c r="A161" s="68" t="n">
        <v>148</v>
      </c>
      <c r="B161" s="83" t="n">
        <v>147</v>
      </c>
      <c r="C161" s="83">
        <f>B161^2</f>
        <v/>
      </c>
      <c r="D161" s="69" t="n">
        <v>4636.62</v>
      </c>
      <c r="E161" s="69" t="n">
        <v>4578.32389</v>
      </c>
      <c r="F161" s="70">
        <f>D161-E161</f>
        <v/>
      </c>
      <c r="G161" s="69">
        <f>F161^2</f>
        <v/>
      </c>
      <c r="H161" s="68" t="inlineStr"/>
      <c r="I161" s="68" t="inlineStr"/>
    </row>
    <row r="162">
      <c r="A162" s="65" t="n">
        <v>149</v>
      </c>
      <c r="B162" s="82" t="n">
        <v>148</v>
      </c>
      <c r="C162" s="82">
        <f>B162^2</f>
        <v/>
      </c>
      <c r="D162" s="66" t="n">
        <v>4639.68</v>
      </c>
      <c r="E162" s="66" t="n">
        <v>4578.52633</v>
      </c>
      <c r="F162" s="67">
        <f>D162-E162</f>
        <v/>
      </c>
      <c r="G162" s="66">
        <f>F162^2</f>
        <v/>
      </c>
      <c r="H162" s="65" t="inlineStr"/>
      <c r="I162" s="65" t="inlineStr"/>
    </row>
    <row r="163">
      <c r="A163" s="68" t="n">
        <v>150</v>
      </c>
      <c r="B163" s="83" t="n">
        <v>149</v>
      </c>
      <c r="C163" s="83">
        <f>B163^2</f>
        <v/>
      </c>
      <c r="D163" s="69" t="n">
        <v>4635.99</v>
      </c>
      <c r="E163" s="69" t="n">
        <v>4578.72878</v>
      </c>
      <c r="F163" s="70">
        <f>D163-E163</f>
        <v/>
      </c>
      <c r="G163" s="69">
        <f>F163^2</f>
        <v/>
      </c>
      <c r="H163" s="68" t="inlineStr"/>
      <c r="I163" s="68" t="inlineStr"/>
    </row>
    <row r="164">
      <c r="A164" s="65" t="n">
        <v>151</v>
      </c>
      <c r="B164" s="82" t="n">
        <v>150</v>
      </c>
      <c r="C164" s="82">
        <f>B164^2</f>
        <v/>
      </c>
      <c r="D164" s="66" t="n">
        <v>4637.7</v>
      </c>
      <c r="E164" s="66" t="n">
        <v>4578.93123</v>
      </c>
      <c r="F164" s="67">
        <f>D164-E164</f>
        <v/>
      </c>
      <c r="G164" s="66">
        <f>F164^2</f>
        <v/>
      </c>
      <c r="H164" s="65" t="inlineStr"/>
      <c r="I164" s="65" t="inlineStr"/>
    </row>
    <row r="165">
      <c r="A165" s="68" t="n">
        <v>152</v>
      </c>
      <c r="B165" s="83" t="n">
        <v>151</v>
      </c>
      <c r="C165" s="83">
        <f>B165^2</f>
        <v/>
      </c>
      <c r="D165" s="69" t="n">
        <v>4629.82</v>
      </c>
      <c r="E165" s="69" t="n">
        <v>4579.13367</v>
      </c>
      <c r="F165" s="70">
        <f>D165-E165</f>
        <v/>
      </c>
      <c r="G165" s="69">
        <f>F165^2</f>
        <v/>
      </c>
      <c r="H165" s="68" t="inlineStr"/>
      <c r="I165" s="68" t="inlineStr"/>
    </row>
    <row r="166">
      <c r="A166" s="65" t="n">
        <v>153</v>
      </c>
      <c r="B166" s="82" t="n">
        <v>152</v>
      </c>
      <c r="C166" s="82">
        <f>B166^2</f>
        <v/>
      </c>
      <c r="D166" s="66" t="n">
        <v>4630.21</v>
      </c>
      <c r="E166" s="66" t="n">
        <v>4579.33612</v>
      </c>
      <c r="F166" s="67">
        <f>D166-E166</f>
        <v/>
      </c>
      <c r="G166" s="66">
        <f>F166^2</f>
        <v/>
      </c>
      <c r="H166" s="65" t="inlineStr"/>
      <c r="I166" s="65" t="inlineStr"/>
    </row>
    <row r="167">
      <c r="A167" s="68" t="n">
        <v>154</v>
      </c>
      <c r="B167" s="83" t="n">
        <v>153</v>
      </c>
      <c r="C167" s="83">
        <f>B167^2</f>
        <v/>
      </c>
      <c r="D167" s="69" t="n">
        <v>4635.81</v>
      </c>
      <c r="E167" s="69" t="n">
        <v>4579.53856</v>
      </c>
      <c r="F167" s="70">
        <f>D167-E167</f>
        <v/>
      </c>
      <c r="G167" s="69">
        <f>F167^2</f>
        <v/>
      </c>
      <c r="H167" s="68" t="inlineStr"/>
      <c r="I167" s="68" t="inlineStr"/>
    </row>
    <row r="168">
      <c r="A168" s="65" t="n">
        <v>155</v>
      </c>
      <c r="B168" s="82" t="n">
        <v>154</v>
      </c>
      <c r="C168" s="82">
        <f>B168^2</f>
        <v/>
      </c>
      <c r="D168" s="66" t="n">
        <v>4630.51</v>
      </c>
      <c r="E168" s="66" t="n">
        <v>4579.74101</v>
      </c>
      <c r="F168" s="67">
        <f>D168-E168</f>
        <v/>
      </c>
      <c r="G168" s="66">
        <f>F168^2</f>
        <v/>
      </c>
      <c r="H168" s="65" t="inlineStr"/>
      <c r="I168" s="65" t="inlineStr"/>
    </row>
    <row r="169">
      <c r="A169" s="68" t="n">
        <v>156</v>
      </c>
      <c r="B169" s="83" t="n">
        <v>155</v>
      </c>
      <c r="C169" s="83">
        <f>B169^2</f>
        <v/>
      </c>
      <c r="D169" s="69" t="n">
        <v>4625.92</v>
      </c>
      <c r="E169" s="69" t="n">
        <v>4579.94345</v>
      </c>
      <c r="F169" s="70">
        <f>D169-E169</f>
        <v/>
      </c>
      <c r="G169" s="69">
        <f>F169^2</f>
        <v/>
      </c>
      <c r="H169" s="68" t="inlineStr"/>
      <c r="I169" s="68" t="inlineStr"/>
    </row>
    <row r="170">
      <c r="A170" s="65" t="n">
        <v>157</v>
      </c>
      <c r="B170" s="82" t="n">
        <v>156</v>
      </c>
      <c r="C170" s="82">
        <f>B170^2</f>
        <v/>
      </c>
      <c r="D170" s="66" t="n">
        <v>4639.57</v>
      </c>
      <c r="E170" s="66" t="n">
        <v>4580.1459</v>
      </c>
      <c r="F170" s="67">
        <f>D170-E170</f>
        <v/>
      </c>
      <c r="G170" s="66">
        <f>F170^2</f>
        <v/>
      </c>
      <c r="H170" s="65" t="inlineStr"/>
      <c r="I170" s="65" t="inlineStr"/>
    </row>
    <row r="171">
      <c r="A171" s="68" t="n">
        <v>158</v>
      </c>
      <c r="B171" s="83" t="n">
        <v>157</v>
      </c>
      <c r="C171" s="83">
        <f>B171^2</f>
        <v/>
      </c>
      <c r="D171" s="69" t="n">
        <v>4641.5</v>
      </c>
      <c r="E171" s="69" t="n">
        <v>4580.34835</v>
      </c>
      <c r="F171" s="70">
        <f>D171-E171</f>
        <v/>
      </c>
      <c r="G171" s="69">
        <f>F171^2</f>
        <v/>
      </c>
      <c r="H171" s="68" t="inlineStr"/>
      <c r="I171" s="68" t="inlineStr"/>
    </row>
    <row r="172">
      <c r="A172" s="65" t="n">
        <v>159</v>
      </c>
      <c r="B172" s="82" t="n">
        <v>158</v>
      </c>
      <c r="C172" s="82">
        <f>B172^2</f>
        <v/>
      </c>
      <c r="D172" s="66" t="n">
        <v>4633.5</v>
      </c>
      <c r="E172" s="66" t="n">
        <v>4580.55079</v>
      </c>
      <c r="F172" s="67">
        <f>D172-E172</f>
        <v/>
      </c>
      <c r="G172" s="66">
        <f>F172^2</f>
        <v/>
      </c>
      <c r="H172" s="65" t="inlineStr"/>
      <c r="I172" s="65" t="inlineStr"/>
    </row>
    <row r="173">
      <c r="A173" s="68" t="n">
        <v>160</v>
      </c>
      <c r="B173" s="83" t="n">
        <v>159</v>
      </c>
      <c r="C173" s="83">
        <f>B173^2</f>
        <v/>
      </c>
      <c r="D173" s="69" t="n">
        <v>4625.44</v>
      </c>
      <c r="E173" s="69" t="n">
        <v>4580.75324</v>
      </c>
      <c r="F173" s="70">
        <f>D173-E173</f>
        <v/>
      </c>
      <c r="G173" s="69">
        <f>F173^2</f>
        <v/>
      </c>
      <c r="H173" s="68" t="inlineStr"/>
      <c r="I173" s="68" t="inlineStr"/>
    </row>
    <row r="174">
      <c r="A174" s="65" t="n">
        <v>161</v>
      </c>
      <c r="B174" s="82" t="n">
        <v>160</v>
      </c>
      <c r="C174" s="82">
        <f>B174^2</f>
        <v/>
      </c>
      <c r="D174" s="66" t="n">
        <v>4610.99</v>
      </c>
      <c r="E174" s="66" t="n">
        <v>4580.95568</v>
      </c>
      <c r="F174" s="67">
        <f>D174-E174</f>
        <v/>
      </c>
      <c r="G174" s="66">
        <f>F174^2</f>
        <v/>
      </c>
      <c r="H174" s="65" t="inlineStr"/>
      <c r="I174" s="65" t="inlineStr"/>
    </row>
    <row r="175">
      <c r="A175" s="68" t="n">
        <v>162</v>
      </c>
      <c r="B175" s="83" t="n">
        <v>161</v>
      </c>
      <c r="C175" s="83">
        <f>B175^2</f>
        <v/>
      </c>
      <c r="D175" s="69" t="n">
        <v>4620.39</v>
      </c>
      <c r="E175" s="69" t="n">
        <v>4581.15813</v>
      </c>
      <c r="F175" s="70">
        <f>D175-E175</f>
        <v/>
      </c>
      <c r="G175" s="69">
        <f>F175^2</f>
        <v/>
      </c>
      <c r="H175" s="68" t="inlineStr"/>
      <c r="I175" s="68" t="inlineStr"/>
    </row>
    <row r="176">
      <c r="A176" s="65" t="n">
        <v>163</v>
      </c>
      <c r="B176" s="82" t="n">
        <v>162</v>
      </c>
      <c r="C176" s="82">
        <f>B176^2</f>
        <v/>
      </c>
      <c r="D176" s="66" t="n">
        <v>4622.81</v>
      </c>
      <c r="E176" s="66" t="n">
        <v>4581.36057</v>
      </c>
      <c r="F176" s="67">
        <f>D176-E176</f>
        <v/>
      </c>
      <c r="G176" s="66">
        <f>F176^2</f>
        <v/>
      </c>
      <c r="H176" s="65" t="inlineStr"/>
      <c r="I176" s="65" t="inlineStr"/>
    </row>
    <row r="177">
      <c r="A177" s="68" t="n">
        <v>164</v>
      </c>
      <c r="B177" s="83" t="n">
        <v>163</v>
      </c>
      <c r="C177" s="83">
        <f>B177^2</f>
        <v/>
      </c>
      <c r="D177" s="69" t="n">
        <v>4617.7</v>
      </c>
      <c r="E177" s="69" t="n">
        <v>4581.56302</v>
      </c>
      <c r="F177" s="70">
        <f>D177-E177</f>
        <v/>
      </c>
      <c r="G177" s="69">
        <f>F177^2</f>
        <v/>
      </c>
      <c r="H177" s="68" t="inlineStr"/>
      <c r="I177" s="68" t="inlineStr"/>
    </row>
    <row r="178">
      <c r="A178" s="65" t="n">
        <v>165</v>
      </c>
      <c r="B178" s="82" t="n">
        <v>164</v>
      </c>
      <c r="C178" s="82">
        <f>B178^2</f>
        <v/>
      </c>
      <c r="D178" s="66" t="n">
        <v>4619.59</v>
      </c>
      <c r="E178" s="66" t="n">
        <v>4581.76547</v>
      </c>
      <c r="F178" s="67">
        <f>D178-E178</f>
        <v/>
      </c>
      <c r="G178" s="66">
        <f>F178^2</f>
        <v/>
      </c>
      <c r="H178" s="65" t="inlineStr"/>
      <c r="I178" s="65" t="inlineStr"/>
    </row>
    <row r="179">
      <c r="A179" s="68" t="n">
        <v>166</v>
      </c>
      <c r="B179" s="83" t="n">
        <v>165</v>
      </c>
      <c r="C179" s="83">
        <f>B179^2</f>
        <v/>
      </c>
      <c r="D179" s="69" t="n">
        <v>4620.13</v>
      </c>
      <c r="E179" s="69" t="n">
        <v>4581.96791</v>
      </c>
      <c r="F179" s="70">
        <f>D179-E179</f>
        <v/>
      </c>
      <c r="G179" s="69">
        <f>F179^2</f>
        <v/>
      </c>
      <c r="H179" s="68" t="inlineStr"/>
      <c r="I179" s="68" t="inlineStr"/>
    </row>
    <row r="180">
      <c r="A180" s="65" t="n">
        <v>167</v>
      </c>
      <c r="B180" s="82" t="n">
        <v>166</v>
      </c>
      <c r="C180" s="82">
        <f>B180^2</f>
        <v/>
      </c>
      <c r="D180" s="66" t="n">
        <v>4623.09</v>
      </c>
      <c r="E180" s="66" t="n">
        <v>4582.17036</v>
      </c>
      <c r="F180" s="67">
        <f>D180-E180</f>
        <v/>
      </c>
      <c r="G180" s="66">
        <f>F180^2</f>
        <v/>
      </c>
      <c r="H180" s="65" t="inlineStr"/>
      <c r="I180" s="65" t="inlineStr"/>
    </row>
    <row r="181">
      <c r="A181" s="68" t="n">
        <v>168</v>
      </c>
      <c r="B181" s="83" t="n">
        <v>167</v>
      </c>
      <c r="C181" s="83">
        <f>B181^2</f>
        <v/>
      </c>
      <c r="D181" s="69" t="n">
        <v>4615.65</v>
      </c>
      <c r="E181" s="69" t="n">
        <v>4582.3728</v>
      </c>
      <c r="F181" s="70">
        <f>D181-E181</f>
        <v/>
      </c>
      <c r="G181" s="69">
        <f>F181^2</f>
        <v/>
      </c>
      <c r="H181" s="68" t="inlineStr"/>
      <c r="I181" s="68" t="inlineStr"/>
    </row>
    <row r="182">
      <c r="A182" s="65" t="n">
        <v>169</v>
      </c>
      <c r="B182" s="82" t="n">
        <v>168</v>
      </c>
      <c r="C182" s="82">
        <f>B182^2</f>
        <v/>
      </c>
      <c r="D182" s="66" t="n">
        <v>4615.35</v>
      </c>
      <c r="E182" s="66" t="n">
        <v>4582.57525</v>
      </c>
      <c r="F182" s="67">
        <f>D182-E182</f>
        <v/>
      </c>
      <c r="G182" s="66">
        <f>F182^2</f>
        <v/>
      </c>
      <c r="H182" s="65" t="inlineStr"/>
      <c r="I182" s="65" t="inlineStr"/>
    </row>
    <row r="183">
      <c r="A183" s="68" t="n">
        <v>170</v>
      </c>
      <c r="B183" s="83" t="n">
        <v>169</v>
      </c>
      <c r="C183" s="83">
        <f>B183^2</f>
        <v/>
      </c>
      <c r="D183" s="69" t="n">
        <v>4611.63</v>
      </c>
      <c r="E183" s="69" t="n">
        <v>4582.77769</v>
      </c>
      <c r="F183" s="70">
        <f>D183-E183</f>
        <v/>
      </c>
      <c r="G183" s="69">
        <f>F183^2</f>
        <v/>
      </c>
      <c r="H183" s="68" t="inlineStr"/>
      <c r="I183" s="68" t="inlineStr"/>
    </row>
    <row r="184">
      <c r="A184" s="65" t="n">
        <v>171</v>
      </c>
      <c r="B184" s="82" t="n">
        <v>170</v>
      </c>
      <c r="C184" s="82">
        <f>B184^2</f>
        <v/>
      </c>
      <c r="D184" s="66" t="n">
        <v>4608.08</v>
      </c>
      <c r="E184" s="66" t="n">
        <v>4582.98014</v>
      </c>
      <c r="F184" s="67">
        <f>D184-E184</f>
        <v/>
      </c>
      <c r="G184" s="66">
        <f>F184^2</f>
        <v/>
      </c>
      <c r="H184" s="65" t="inlineStr"/>
      <c r="I184" s="65" t="inlineStr"/>
    </row>
    <row r="185">
      <c r="A185" s="68" t="n">
        <v>172</v>
      </c>
      <c r="B185" s="83" t="n">
        <v>171</v>
      </c>
      <c r="C185" s="83">
        <f>B185^2</f>
        <v/>
      </c>
      <c r="D185" s="69" t="n">
        <v>4609.12</v>
      </c>
      <c r="E185" s="69" t="n">
        <v>4583.18259</v>
      </c>
      <c r="F185" s="70">
        <f>D185-E185</f>
        <v/>
      </c>
      <c r="G185" s="69">
        <f>F185^2</f>
        <v/>
      </c>
      <c r="H185" s="68" t="inlineStr"/>
      <c r="I185" s="68" t="inlineStr"/>
    </row>
    <row r="186">
      <c r="A186" s="65" t="n">
        <v>173</v>
      </c>
      <c r="B186" s="82" t="n">
        <v>172</v>
      </c>
      <c r="C186" s="82">
        <f>B186^2</f>
        <v/>
      </c>
      <c r="D186" s="66" t="n">
        <v>4607.62</v>
      </c>
      <c r="E186" s="66" t="n">
        <v>4583.38503</v>
      </c>
      <c r="F186" s="67">
        <f>D186-E186</f>
        <v/>
      </c>
      <c r="G186" s="66">
        <f>F186^2</f>
        <v/>
      </c>
      <c r="H186" s="65" t="inlineStr"/>
      <c r="I186" s="65" t="inlineStr"/>
    </row>
    <row r="187">
      <c r="A187" s="68" t="n">
        <v>174</v>
      </c>
      <c r="B187" s="83" t="n">
        <v>173</v>
      </c>
      <c r="C187" s="83">
        <f>B187^2</f>
        <v/>
      </c>
      <c r="D187" s="69" t="n">
        <v>4615.95</v>
      </c>
      <c r="E187" s="69" t="n">
        <v>4583.58748</v>
      </c>
      <c r="F187" s="70">
        <f>D187-E187</f>
        <v/>
      </c>
      <c r="G187" s="69">
        <f>F187^2</f>
        <v/>
      </c>
      <c r="H187" s="68" t="inlineStr"/>
      <c r="I187" s="68" t="inlineStr"/>
    </row>
    <row r="188">
      <c r="A188" s="65" t="n">
        <v>175</v>
      </c>
      <c r="B188" s="82" t="n">
        <v>174</v>
      </c>
      <c r="C188" s="82">
        <f>B188^2</f>
        <v/>
      </c>
      <c r="D188" s="66" t="n">
        <v>4618</v>
      </c>
      <c r="E188" s="66" t="n">
        <v>4583.78992</v>
      </c>
      <c r="F188" s="67">
        <f>D188-E188</f>
        <v/>
      </c>
      <c r="G188" s="66">
        <f>F188^2</f>
        <v/>
      </c>
      <c r="H188" s="65" t="inlineStr"/>
      <c r="I188" s="65" t="inlineStr"/>
    </row>
    <row r="189">
      <c r="A189" s="68" t="n">
        <v>176</v>
      </c>
      <c r="B189" s="83" t="n">
        <v>175</v>
      </c>
      <c r="C189" s="83">
        <f>B189^2</f>
        <v/>
      </c>
      <c r="D189" s="69" t="n">
        <v>4617.86</v>
      </c>
      <c r="E189" s="69" t="n">
        <v>4583.99237</v>
      </c>
      <c r="F189" s="70">
        <f>D189-E189</f>
        <v/>
      </c>
      <c r="G189" s="69">
        <f>F189^2</f>
        <v/>
      </c>
      <c r="H189" s="68" t="inlineStr"/>
      <c r="I189" s="68" t="inlineStr"/>
    </row>
    <row r="190">
      <c r="A190" s="65" t="n">
        <v>177</v>
      </c>
      <c r="B190" s="82" t="n">
        <v>176</v>
      </c>
      <c r="C190" s="82">
        <f>B190^2</f>
        <v/>
      </c>
      <c r="D190" s="66" t="n">
        <v>4616.86</v>
      </c>
      <c r="E190" s="66" t="n">
        <v>4584.19481</v>
      </c>
      <c r="F190" s="67">
        <f>D190-E190</f>
        <v/>
      </c>
      <c r="G190" s="66">
        <f>F190^2</f>
        <v/>
      </c>
      <c r="H190" s="65" t="inlineStr"/>
      <c r="I190" s="65" t="inlineStr"/>
    </row>
    <row r="191">
      <c r="A191" s="68" t="n">
        <v>178</v>
      </c>
      <c r="B191" s="83" t="n">
        <v>177</v>
      </c>
      <c r="C191" s="83">
        <f>B191^2</f>
        <v/>
      </c>
      <c r="D191" s="69" t="n">
        <v>4620.57</v>
      </c>
      <c r="E191" s="69" t="n">
        <v>4584.39726</v>
      </c>
      <c r="F191" s="70">
        <f>D191-E191</f>
        <v/>
      </c>
      <c r="G191" s="69">
        <f>F191^2</f>
        <v/>
      </c>
      <c r="H191" s="68" t="inlineStr"/>
      <c r="I191" s="68" t="inlineStr"/>
    </row>
    <row r="192">
      <c r="A192" s="65" t="n">
        <v>179</v>
      </c>
      <c r="B192" s="82" t="n">
        <v>178</v>
      </c>
      <c r="C192" s="82">
        <f>B192^2</f>
        <v/>
      </c>
      <c r="D192" s="66" t="n">
        <v>4620.79</v>
      </c>
      <c r="E192" s="66" t="n">
        <v>4584.5997</v>
      </c>
      <c r="F192" s="67">
        <f>D192-E192</f>
        <v/>
      </c>
      <c r="G192" s="66">
        <f>F192^2</f>
        <v/>
      </c>
      <c r="H192" s="65" t="inlineStr"/>
      <c r="I192" s="65" t="inlineStr"/>
    </row>
    <row r="193">
      <c r="A193" s="68" t="n">
        <v>180</v>
      </c>
      <c r="B193" s="83" t="n">
        <v>179</v>
      </c>
      <c r="C193" s="83">
        <f>B193^2</f>
        <v/>
      </c>
      <c r="D193" s="69" t="n">
        <v>4620.7</v>
      </c>
      <c r="E193" s="69" t="n">
        <v>4584.80215</v>
      </c>
      <c r="F193" s="70">
        <f>D193-E193</f>
        <v/>
      </c>
      <c r="G193" s="69">
        <f>F193^2</f>
        <v/>
      </c>
      <c r="H193" s="68" t="inlineStr"/>
      <c r="I193" s="68" t="inlineStr"/>
    </row>
    <row r="194">
      <c r="A194" s="65" t="n">
        <v>181</v>
      </c>
      <c r="B194" s="82" t="n">
        <v>180</v>
      </c>
      <c r="C194" s="82">
        <f>B194^2</f>
        <v/>
      </c>
      <c r="D194" s="66" t="n">
        <v>4622.48</v>
      </c>
      <c r="E194" s="66" t="n">
        <v>4585.0046</v>
      </c>
      <c r="F194" s="67">
        <f>D194-E194</f>
        <v/>
      </c>
      <c r="G194" s="66">
        <f>F194^2</f>
        <v/>
      </c>
      <c r="H194" s="65" t="inlineStr"/>
      <c r="I194" s="65" t="inlineStr"/>
    </row>
    <row r="195">
      <c r="A195" s="68" t="n">
        <v>182</v>
      </c>
      <c r="B195" s="83" t="n">
        <v>181</v>
      </c>
      <c r="C195" s="83">
        <f>B195^2</f>
        <v/>
      </c>
      <c r="D195" s="69" t="n">
        <v>4624.33</v>
      </c>
      <c r="E195" s="69" t="n">
        <v>4585.20704</v>
      </c>
      <c r="F195" s="70">
        <f>D195-E195</f>
        <v/>
      </c>
      <c r="G195" s="69">
        <f>F195^2</f>
        <v/>
      </c>
      <c r="H195" s="68" t="inlineStr"/>
      <c r="I195" s="68" t="inlineStr"/>
    </row>
    <row r="196">
      <c r="A196" s="65" t="n">
        <v>183</v>
      </c>
      <c r="B196" s="82" t="n">
        <v>182</v>
      </c>
      <c r="C196" s="82">
        <f>B196^2</f>
        <v/>
      </c>
      <c r="D196" s="66" t="n">
        <v>4617.77</v>
      </c>
      <c r="E196" s="66" t="n">
        <v>4585.40949</v>
      </c>
      <c r="F196" s="67">
        <f>D196-E196</f>
        <v/>
      </c>
      <c r="G196" s="66">
        <f>F196^2</f>
        <v/>
      </c>
      <c r="H196" s="65" t="inlineStr"/>
      <c r="I196" s="65" t="inlineStr"/>
    </row>
    <row r="197">
      <c r="A197" s="68" t="n">
        <v>184</v>
      </c>
      <c r="B197" s="83" t="n">
        <v>183</v>
      </c>
      <c r="C197" s="83">
        <f>B197^2</f>
        <v/>
      </c>
      <c r="D197" s="69" t="n">
        <v>4622.49</v>
      </c>
      <c r="E197" s="69" t="n">
        <v>4585.61193</v>
      </c>
      <c r="F197" s="70">
        <f>D197-E197</f>
        <v/>
      </c>
      <c r="G197" s="69">
        <f>F197^2</f>
        <v/>
      </c>
      <c r="H197" s="68" t="inlineStr"/>
      <c r="I197" s="68" t="inlineStr"/>
    </row>
    <row r="198">
      <c r="A198" s="65" t="n">
        <v>185</v>
      </c>
      <c r="B198" s="82" t="n">
        <v>184</v>
      </c>
      <c r="C198" s="82">
        <f>B198^2</f>
        <v/>
      </c>
      <c r="D198" s="66" t="n">
        <v>4617.07</v>
      </c>
      <c r="E198" s="66" t="n">
        <v>4585.81438</v>
      </c>
      <c r="F198" s="67">
        <f>D198-E198</f>
        <v/>
      </c>
      <c r="G198" s="66">
        <f>F198^2</f>
        <v/>
      </c>
      <c r="H198" s="65" t="inlineStr"/>
      <c r="I198" s="65" t="inlineStr"/>
    </row>
    <row r="199">
      <c r="A199" s="68" t="n">
        <v>186</v>
      </c>
      <c r="B199" s="83" t="n">
        <v>185</v>
      </c>
      <c r="C199" s="83">
        <f>B199^2</f>
        <v/>
      </c>
      <c r="D199" s="69" t="n">
        <v>4616.16</v>
      </c>
      <c r="E199" s="69" t="n">
        <v>4586.01682</v>
      </c>
      <c r="F199" s="70">
        <f>D199-E199</f>
        <v/>
      </c>
      <c r="G199" s="69">
        <f>F199^2</f>
        <v/>
      </c>
      <c r="H199" s="68" t="inlineStr"/>
      <c r="I199" s="68" t="inlineStr"/>
    </row>
    <row r="200">
      <c r="A200" s="65" t="n">
        <v>187</v>
      </c>
      <c r="B200" s="82" t="n">
        <v>186</v>
      </c>
      <c r="C200" s="82">
        <f>B200^2</f>
        <v/>
      </c>
      <c r="D200" s="66" t="n">
        <v>4616.72</v>
      </c>
      <c r="E200" s="66" t="n">
        <v>4586.21927</v>
      </c>
      <c r="F200" s="67">
        <f>D200-E200</f>
        <v/>
      </c>
      <c r="G200" s="66">
        <f>F200^2</f>
        <v/>
      </c>
      <c r="H200" s="65" t="inlineStr"/>
      <c r="I200" s="65" t="inlineStr"/>
    </row>
    <row r="201">
      <c r="A201" s="68" t="n">
        <v>188</v>
      </c>
      <c r="B201" s="83" t="n">
        <v>187</v>
      </c>
      <c r="C201" s="83">
        <f>B201^2</f>
        <v/>
      </c>
      <c r="D201" s="69" t="n">
        <v>4617.33</v>
      </c>
      <c r="E201" s="69" t="n">
        <v>4586.42172</v>
      </c>
      <c r="F201" s="70">
        <f>D201-E201</f>
        <v/>
      </c>
      <c r="G201" s="69">
        <f>F201^2</f>
        <v/>
      </c>
      <c r="H201" s="68" t="inlineStr"/>
      <c r="I201" s="68" t="inlineStr"/>
    </row>
    <row r="202">
      <c r="A202" s="65" t="n">
        <v>189</v>
      </c>
      <c r="B202" s="82" t="n">
        <v>188</v>
      </c>
      <c r="C202" s="82">
        <f>B202^2</f>
        <v/>
      </c>
      <c r="D202" s="66" t="n">
        <v>4621.81</v>
      </c>
      <c r="E202" s="66" t="n">
        <v>4586.62416</v>
      </c>
      <c r="F202" s="67">
        <f>D202-E202</f>
        <v/>
      </c>
      <c r="G202" s="66">
        <f>F202^2</f>
        <v/>
      </c>
      <c r="H202" s="65" t="inlineStr"/>
      <c r="I202" s="65" t="inlineStr"/>
    </row>
    <row r="203">
      <c r="A203" s="68" t="n">
        <v>190</v>
      </c>
      <c r="B203" s="83" t="n">
        <v>189</v>
      </c>
      <c r="C203" s="83">
        <f>B203^2</f>
        <v/>
      </c>
      <c r="D203" s="69" t="n">
        <v>4631.38</v>
      </c>
      <c r="E203" s="69" t="n">
        <v>4586.82661</v>
      </c>
      <c r="F203" s="70">
        <f>D203-E203</f>
        <v/>
      </c>
      <c r="G203" s="69">
        <f>F203^2</f>
        <v/>
      </c>
      <c r="H203" s="68" t="inlineStr"/>
      <c r="I203" s="68" t="inlineStr"/>
    </row>
    <row r="204">
      <c r="A204" s="65" t="n">
        <v>191</v>
      </c>
      <c r="B204" s="82" t="n">
        <v>190</v>
      </c>
      <c r="C204" s="82">
        <f>B204^2</f>
        <v/>
      </c>
      <c r="D204" s="66" t="n">
        <v>4631.38</v>
      </c>
      <c r="E204" s="66" t="n">
        <v>4587.02905</v>
      </c>
      <c r="F204" s="67">
        <f>D204-E204</f>
        <v/>
      </c>
      <c r="G204" s="66">
        <f>F204^2</f>
        <v/>
      </c>
      <c r="H204" s="65" t="inlineStr"/>
      <c r="I204" s="65" t="inlineStr"/>
    </row>
    <row r="205">
      <c r="A205" s="68" t="n">
        <v>192</v>
      </c>
      <c r="B205" s="83" t="n">
        <v>191</v>
      </c>
      <c r="C205" s="83">
        <f>B205^2</f>
        <v/>
      </c>
      <c r="D205" s="69" t="n">
        <v>4631.75</v>
      </c>
      <c r="E205" s="69" t="n">
        <v>4587.2315</v>
      </c>
      <c r="F205" s="70">
        <f>D205-E205</f>
        <v/>
      </c>
      <c r="G205" s="69">
        <f>F205^2</f>
        <v/>
      </c>
      <c r="H205" s="68" t="inlineStr"/>
      <c r="I205" s="68" t="inlineStr"/>
    </row>
    <row r="206">
      <c r="A206" s="65" t="n">
        <v>193</v>
      </c>
      <c r="B206" s="82" t="n">
        <v>192</v>
      </c>
      <c r="C206" s="82">
        <f>B206^2</f>
        <v/>
      </c>
      <c r="D206" s="66" t="n">
        <v>4630.51</v>
      </c>
      <c r="E206" s="66" t="n">
        <v>4587.43394</v>
      </c>
      <c r="F206" s="67">
        <f>D206-E206</f>
        <v/>
      </c>
      <c r="G206" s="66">
        <f>F206^2</f>
        <v/>
      </c>
      <c r="H206" s="65" t="inlineStr"/>
      <c r="I206" s="65" t="inlineStr"/>
    </row>
    <row r="207">
      <c r="A207" s="68" t="n">
        <v>194</v>
      </c>
      <c r="B207" s="83" t="n">
        <v>193</v>
      </c>
      <c r="C207" s="83">
        <f>B207^2</f>
        <v/>
      </c>
      <c r="D207" s="69" t="n">
        <v>4630.26</v>
      </c>
      <c r="E207" s="69" t="n">
        <v>4587.63639</v>
      </c>
      <c r="F207" s="70">
        <f>D207-E207</f>
        <v/>
      </c>
      <c r="G207" s="69">
        <f>F207^2</f>
        <v/>
      </c>
      <c r="H207" s="68" t="inlineStr"/>
      <c r="I207" s="68" t="inlineStr"/>
    </row>
    <row r="208">
      <c r="A208" s="65" t="n">
        <v>195</v>
      </c>
      <c r="B208" s="82" t="n">
        <v>194</v>
      </c>
      <c r="C208" s="82">
        <f>B208^2</f>
        <v/>
      </c>
      <c r="D208" s="66" t="n">
        <v>4630.75</v>
      </c>
      <c r="E208" s="66" t="n">
        <v>4587.83884</v>
      </c>
      <c r="F208" s="67">
        <f>D208-E208</f>
        <v/>
      </c>
      <c r="G208" s="66">
        <f>F208^2</f>
        <v/>
      </c>
      <c r="H208" s="65" t="inlineStr"/>
      <c r="I208" s="65" t="inlineStr"/>
    </row>
    <row r="209">
      <c r="A209" s="68" t="n">
        <v>196</v>
      </c>
      <c r="B209" s="83" t="n">
        <v>195</v>
      </c>
      <c r="C209" s="83">
        <f>B209^2</f>
        <v/>
      </c>
      <c r="D209" s="69" t="n">
        <v>4631.31</v>
      </c>
      <c r="E209" s="69" t="n">
        <v>4588.04128</v>
      </c>
      <c r="F209" s="70">
        <f>D209-E209</f>
        <v/>
      </c>
      <c r="G209" s="69">
        <f>F209^2</f>
        <v/>
      </c>
      <c r="H209" s="68" t="inlineStr"/>
      <c r="I209" s="68" t="inlineStr"/>
    </row>
    <row r="210">
      <c r="A210" s="65" t="n">
        <v>197</v>
      </c>
      <c r="B210" s="82" t="n">
        <v>196</v>
      </c>
      <c r="C210" s="82">
        <f>B210^2</f>
        <v/>
      </c>
      <c r="D210" s="66" t="n">
        <v>4626.71</v>
      </c>
      <c r="E210" s="66" t="n">
        <v>4588.24373</v>
      </c>
      <c r="F210" s="67">
        <f>D210-E210</f>
        <v/>
      </c>
      <c r="G210" s="66">
        <f>F210^2</f>
        <v/>
      </c>
      <c r="H210" s="65" t="inlineStr"/>
      <c r="I210" s="65" t="inlineStr"/>
    </row>
    <row r="211">
      <c r="A211" s="68" t="n">
        <v>198</v>
      </c>
      <c r="B211" s="83" t="n">
        <v>197</v>
      </c>
      <c r="C211" s="83">
        <f>B211^2</f>
        <v/>
      </c>
      <c r="D211" s="69" t="n">
        <v>4622.55</v>
      </c>
      <c r="E211" s="69" t="n">
        <v>4588.44617</v>
      </c>
      <c r="F211" s="70">
        <f>D211-E211</f>
        <v/>
      </c>
      <c r="G211" s="69">
        <f>F211^2</f>
        <v/>
      </c>
      <c r="H211" s="68" t="inlineStr"/>
      <c r="I211" s="68" t="inlineStr"/>
    </row>
    <row r="212">
      <c r="A212" s="65" t="n">
        <v>199</v>
      </c>
      <c r="B212" s="82" t="n">
        <v>198</v>
      </c>
      <c r="C212" s="82">
        <f>B212^2</f>
        <v/>
      </c>
      <c r="D212" s="66" t="n">
        <v>4623.65</v>
      </c>
      <c r="E212" s="66" t="n">
        <v>4588.64862</v>
      </c>
      <c r="F212" s="67">
        <f>D212-E212</f>
        <v/>
      </c>
      <c r="G212" s="66">
        <f>F212^2</f>
        <v/>
      </c>
      <c r="H212" s="65" t="inlineStr"/>
      <c r="I212" s="65" t="inlineStr"/>
    </row>
    <row r="213">
      <c r="A213" s="68" t="n">
        <v>200</v>
      </c>
      <c r="B213" s="83" t="n">
        <v>199</v>
      </c>
      <c r="C213" s="83">
        <f>B213^2</f>
        <v/>
      </c>
      <c r="D213" s="69" t="n">
        <v>4620.9</v>
      </c>
      <c r="E213" s="69" t="n">
        <v>4588.85106</v>
      </c>
      <c r="F213" s="70">
        <f>D213-E213</f>
        <v/>
      </c>
      <c r="G213" s="69">
        <f>F213^2</f>
        <v/>
      </c>
      <c r="H213" s="68" t="inlineStr"/>
      <c r="I213" s="68" t="inlineStr"/>
    </row>
    <row r="214">
      <c r="A214" s="65" t="n">
        <v>201</v>
      </c>
      <c r="B214" s="82" t="n">
        <v>200</v>
      </c>
      <c r="C214" s="82">
        <f>B214^2</f>
        <v/>
      </c>
      <c r="D214" s="66" t="n">
        <v>4620.02</v>
      </c>
      <c r="E214" s="66" t="n">
        <v>4589.05351</v>
      </c>
      <c r="F214" s="67">
        <f>D214-E214</f>
        <v/>
      </c>
      <c r="G214" s="66">
        <f>F214^2</f>
        <v/>
      </c>
      <c r="H214" s="65" t="inlineStr"/>
      <c r="I214" s="65" t="inlineStr"/>
    </row>
    <row r="215">
      <c r="A215" s="68" t="n">
        <v>202</v>
      </c>
      <c r="B215" s="83" t="n">
        <v>201</v>
      </c>
      <c r="C215" s="83">
        <f>B215^2</f>
        <v/>
      </c>
      <c r="D215" s="69" t="n">
        <v>4618.7</v>
      </c>
      <c r="E215" s="69" t="n">
        <v>4589.25596</v>
      </c>
      <c r="F215" s="70">
        <f>D215-E215</f>
        <v/>
      </c>
      <c r="G215" s="69">
        <f>F215^2</f>
        <v/>
      </c>
      <c r="H215" s="68" t="inlineStr"/>
      <c r="I215" s="68" t="inlineStr"/>
    </row>
    <row r="216">
      <c r="A216" s="65" t="n">
        <v>203</v>
      </c>
      <c r="B216" s="82" t="n">
        <v>202</v>
      </c>
      <c r="C216" s="82">
        <f>B216^2</f>
        <v/>
      </c>
      <c r="D216" s="66" t="n">
        <v>4616.68</v>
      </c>
      <c r="E216" s="66" t="n">
        <v>4589.4584</v>
      </c>
      <c r="F216" s="67">
        <f>D216-E216</f>
        <v/>
      </c>
      <c r="G216" s="66">
        <f>F216^2</f>
        <v/>
      </c>
      <c r="H216" s="65" t="inlineStr"/>
      <c r="I216" s="65" t="inlineStr"/>
    </row>
    <row r="217">
      <c r="A217" s="68" t="n">
        <v>204</v>
      </c>
      <c r="B217" s="83" t="n">
        <v>203</v>
      </c>
      <c r="C217" s="83">
        <f>B217^2</f>
        <v/>
      </c>
      <c r="D217" s="69" t="n">
        <v>4620.2</v>
      </c>
      <c r="E217" s="69" t="n">
        <v>4589.66085</v>
      </c>
      <c r="F217" s="70">
        <f>D217-E217</f>
        <v/>
      </c>
      <c r="G217" s="69">
        <f>F217^2</f>
        <v/>
      </c>
      <c r="H217" s="68" t="inlineStr"/>
      <c r="I217" s="68" t="inlineStr"/>
    </row>
    <row r="218">
      <c r="A218" s="65" t="n">
        <v>205</v>
      </c>
      <c r="B218" s="82" t="n">
        <v>204</v>
      </c>
      <c r="C218" s="82">
        <f>B218^2</f>
        <v/>
      </c>
      <c r="D218" s="66" t="n">
        <v>4621.05</v>
      </c>
      <c r="E218" s="66" t="n">
        <v>4589.86329</v>
      </c>
      <c r="F218" s="67">
        <f>D218-E218</f>
        <v/>
      </c>
      <c r="G218" s="66">
        <f>F218^2</f>
        <v/>
      </c>
      <c r="H218" s="65" t="inlineStr"/>
      <c r="I218" s="65" t="inlineStr"/>
    </row>
    <row r="219">
      <c r="A219" s="68" t="n">
        <v>206</v>
      </c>
      <c r="B219" s="83" t="n">
        <v>205</v>
      </c>
      <c r="C219" s="83">
        <f>B219^2</f>
        <v/>
      </c>
      <c r="D219" s="69" t="n">
        <v>4630.89</v>
      </c>
      <c r="E219" s="69" t="n">
        <v>4590.06574</v>
      </c>
      <c r="F219" s="70">
        <f>D219-E219</f>
        <v/>
      </c>
      <c r="G219" s="69">
        <f>F219^2</f>
        <v/>
      </c>
      <c r="H219" s="68" t="inlineStr"/>
      <c r="I219" s="68" t="inlineStr"/>
    </row>
    <row r="220">
      <c r="A220" s="65" t="n">
        <v>207</v>
      </c>
      <c r="B220" s="82" t="n">
        <v>206</v>
      </c>
      <c r="C220" s="82">
        <f>B220^2</f>
        <v/>
      </c>
      <c r="D220" s="66" t="n">
        <v>4629.39</v>
      </c>
      <c r="E220" s="66" t="n">
        <v>4590.26818</v>
      </c>
      <c r="F220" s="67">
        <f>D220-E220</f>
        <v/>
      </c>
      <c r="G220" s="66">
        <f>F220^2</f>
        <v/>
      </c>
      <c r="H220" s="65" t="inlineStr"/>
      <c r="I220" s="65" t="inlineStr"/>
    </row>
    <row r="221">
      <c r="A221" s="68" t="n">
        <v>208</v>
      </c>
      <c r="B221" s="83" t="n">
        <v>207</v>
      </c>
      <c r="C221" s="83">
        <f>B221^2</f>
        <v/>
      </c>
      <c r="D221" s="69" t="n">
        <v>4624.38</v>
      </c>
      <c r="E221" s="69" t="n">
        <v>4590.47063</v>
      </c>
      <c r="F221" s="70">
        <f>D221-E221</f>
        <v/>
      </c>
      <c r="G221" s="69">
        <f>F221^2</f>
        <v/>
      </c>
      <c r="H221" s="68" t="inlineStr"/>
      <c r="I221" s="68" t="inlineStr"/>
    </row>
    <row r="222">
      <c r="A222" s="65" t="n">
        <v>209</v>
      </c>
      <c r="B222" s="82" t="n">
        <v>208</v>
      </c>
      <c r="C222" s="82">
        <f>B222^2</f>
        <v/>
      </c>
      <c r="D222" s="66" t="n">
        <v>4619.15</v>
      </c>
      <c r="E222" s="66" t="n">
        <v>4590.67308</v>
      </c>
      <c r="F222" s="67">
        <f>D222-E222</f>
        <v/>
      </c>
      <c r="G222" s="66">
        <f>F222^2</f>
        <v/>
      </c>
      <c r="H222" s="65" t="inlineStr"/>
      <c r="I222" s="65" t="inlineStr"/>
    </row>
    <row r="223">
      <c r="A223" s="68" t="n">
        <v>210</v>
      </c>
      <c r="B223" s="83" t="n">
        <v>209</v>
      </c>
      <c r="C223" s="83">
        <f>B223^2</f>
        <v/>
      </c>
      <c r="D223" s="69" t="n">
        <v>4620.85</v>
      </c>
      <c r="E223" s="69" t="n">
        <v>4590.87552</v>
      </c>
      <c r="F223" s="70">
        <f>D223-E223</f>
        <v/>
      </c>
      <c r="G223" s="69">
        <f>F223^2</f>
        <v/>
      </c>
      <c r="H223" s="68" t="inlineStr"/>
      <c r="I223" s="68" t="inlineStr"/>
    </row>
    <row r="224">
      <c r="A224" s="65" t="n">
        <v>211</v>
      </c>
      <c r="B224" s="82" t="n">
        <v>210</v>
      </c>
      <c r="C224" s="82">
        <f>B224^2</f>
        <v/>
      </c>
      <c r="D224" s="66" t="n">
        <v>4626.13</v>
      </c>
      <c r="E224" s="66" t="n">
        <v>4591.07797</v>
      </c>
      <c r="F224" s="67">
        <f>D224-E224</f>
        <v/>
      </c>
      <c r="G224" s="66">
        <f>F224^2</f>
        <v/>
      </c>
      <c r="H224" s="65" t="inlineStr"/>
      <c r="I224" s="65" t="inlineStr"/>
    </row>
    <row r="225">
      <c r="A225" s="68" t="n">
        <v>212</v>
      </c>
      <c r="B225" s="83" t="n">
        <v>211</v>
      </c>
      <c r="C225" s="83">
        <f>B225^2</f>
        <v/>
      </c>
      <c r="D225" s="69" t="n">
        <v>4626.21</v>
      </c>
      <c r="E225" s="69" t="n">
        <v>4591.28041</v>
      </c>
      <c r="F225" s="70">
        <f>D225-E225</f>
        <v/>
      </c>
      <c r="G225" s="69">
        <f>F225^2</f>
        <v/>
      </c>
      <c r="H225" s="68" t="inlineStr"/>
      <c r="I225" s="68" t="inlineStr"/>
    </row>
    <row r="226">
      <c r="A226" s="65" t="n">
        <v>213</v>
      </c>
      <c r="B226" s="82" t="n">
        <v>212</v>
      </c>
      <c r="C226" s="82">
        <f>B226^2</f>
        <v/>
      </c>
      <c r="D226" s="66" t="n">
        <v>4626.67</v>
      </c>
      <c r="E226" s="66" t="n">
        <v>4591.48286</v>
      </c>
      <c r="F226" s="67">
        <f>D226-E226</f>
        <v/>
      </c>
      <c r="G226" s="66">
        <f>F226^2</f>
        <v/>
      </c>
      <c r="H226" s="65" t="inlineStr"/>
      <c r="I226" s="65" t="inlineStr"/>
    </row>
    <row r="227">
      <c r="A227" s="68" t="n">
        <v>214</v>
      </c>
      <c r="B227" s="83" t="n">
        <v>213</v>
      </c>
      <c r="C227" s="83">
        <f>B227^2</f>
        <v/>
      </c>
      <c r="D227" s="69" t="n">
        <v>4621.93</v>
      </c>
      <c r="E227" s="69" t="n">
        <v>4591.6853</v>
      </c>
      <c r="F227" s="70">
        <f>D227-E227</f>
        <v/>
      </c>
      <c r="G227" s="69">
        <f>F227^2</f>
        <v/>
      </c>
      <c r="H227" s="68" t="inlineStr"/>
      <c r="I227" s="68" t="inlineStr"/>
    </row>
    <row r="228">
      <c r="A228" s="65" t="n">
        <v>215</v>
      </c>
      <c r="B228" s="82" t="n">
        <v>214</v>
      </c>
      <c r="C228" s="82">
        <f>B228^2</f>
        <v/>
      </c>
      <c r="D228" s="66" t="n">
        <v>4617.53</v>
      </c>
      <c r="E228" s="66" t="n">
        <v>4591.88775</v>
      </c>
      <c r="F228" s="67">
        <f>D228-E228</f>
        <v/>
      </c>
      <c r="G228" s="66">
        <f>F228^2</f>
        <v/>
      </c>
      <c r="H228" s="65" t="inlineStr"/>
      <c r="I228" s="65" t="inlineStr"/>
    </row>
    <row r="229">
      <c r="A229" s="68" t="n">
        <v>216</v>
      </c>
      <c r="B229" s="83" t="n">
        <v>215</v>
      </c>
      <c r="C229" s="83">
        <f>B229^2</f>
        <v/>
      </c>
      <c r="D229" s="69" t="n">
        <v>4613.51</v>
      </c>
      <c r="E229" s="69" t="n">
        <v>4592.0902</v>
      </c>
      <c r="F229" s="70">
        <f>D229-E229</f>
        <v/>
      </c>
      <c r="G229" s="69">
        <f>F229^2</f>
        <v/>
      </c>
      <c r="H229" s="68" t="inlineStr"/>
      <c r="I229" s="68" t="inlineStr"/>
    </row>
    <row r="230">
      <c r="A230" s="65" t="n">
        <v>217</v>
      </c>
      <c r="B230" s="82" t="n">
        <v>216</v>
      </c>
      <c r="C230" s="82">
        <f>B230^2</f>
        <v/>
      </c>
      <c r="D230" s="66" t="n">
        <v>4609.18</v>
      </c>
      <c r="E230" s="66" t="n">
        <v>4592.29264</v>
      </c>
      <c r="F230" s="67">
        <f>D230-E230</f>
        <v/>
      </c>
      <c r="G230" s="66">
        <f>F230^2</f>
        <v/>
      </c>
      <c r="H230" s="65" t="inlineStr"/>
      <c r="I230" s="65" t="inlineStr"/>
    </row>
    <row r="231">
      <c r="A231" s="68" t="n">
        <v>218</v>
      </c>
      <c r="B231" s="83" t="n">
        <v>217</v>
      </c>
      <c r="C231" s="83">
        <f>B231^2</f>
        <v/>
      </c>
      <c r="D231" s="69" t="n">
        <v>4614.29</v>
      </c>
      <c r="E231" s="69" t="n">
        <v>4592.49509</v>
      </c>
      <c r="F231" s="70">
        <f>D231-E231</f>
        <v/>
      </c>
      <c r="G231" s="69">
        <f>F231^2</f>
        <v/>
      </c>
      <c r="H231" s="68" t="inlineStr"/>
      <c r="I231" s="68" t="inlineStr"/>
    </row>
    <row r="232">
      <c r="A232" s="65" t="n">
        <v>219</v>
      </c>
      <c r="B232" s="82" t="n">
        <v>218</v>
      </c>
      <c r="C232" s="82">
        <f>B232^2</f>
        <v/>
      </c>
      <c r="D232" s="66" t="n">
        <v>4614.64</v>
      </c>
      <c r="E232" s="66" t="n">
        <v>4592.69753</v>
      </c>
      <c r="F232" s="67">
        <f>D232-E232</f>
        <v/>
      </c>
      <c r="G232" s="66">
        <f>F232^2</f>
        <v/>
      </c>
      <c r="H232" s="65" t="inlineStr"/>
      <c r="I232" s="65" t="inlineStr"/>
    </row>
    <row r="233">
      <c r="A233" s="68" t="n">
        <v>220</v>
      </c>
      <c r="B233" s="83" t="n">
        <v>219</v>
      </c>
      <c r="C233" s="83">
        <f>B233^2</f>
        <v/>
      </c>
      <c r="D233" s="69" t="n">
        <v>4610</v>
      </c>
      <c r="E233" s="69" t="n">
        <v>4592.89998</v>
      </c>
      <c r="F233" s="70">
        <f>D233-E233</f>
        <v/>
      </c>
      <c r="G233" s="69">
        <f>F233^2</f>
        <v/>
      </c>
      <c r="H233" s="68" t="inlineStr"/>
      <c r="I233" s="68" t="inlineStr"/>
    </row>
    <row r="234">
      <c r="A234" s="65" t="n">
        <v>221</v>
      </c>
      <c r="B234" s="82" t="n">
        <v>220</v>
      </c>
      <c r="C234" s="82">
        <f>B234^2</f>
        <v/>
      </c>
      <c r="D234" s="66" t="n">
        <v>4605.03</v>
      </c>
      <c r="E234" s="66" t="n">
        <v>4593.10242</v>
      </c>
      <c r="F234" s="67">
        <f>D234-E234</f>
        <v/>
      </c>
      <c r="G234" s="66">
        <f>F234^2</f>
        <v/>
      </c>
      <c r="H234" s="65" t="inlineStr"/>
      <c r="I234" s="65" t="inlineStr"/>
    </row>
    <row r="235">
      <c r="A235" s="68" t="n">
        <v>222</v>
      </c>
      <c r="B235" s="83" t="n">
        <v>221</v>
      </c>
      <c r="C235" s="83">
        <f>B235^2</f>
        <v/>
      </c>
      <c r="D235" s="69" t="n">
        <v>4601.49</v>
      </c>
      <c r="E235" s="69" t="n">
        <v>4593.30487</v>
      </c>
      <c r="F235" s="70">
        <f>D235-E235</f>
        <v/>
      </c>
      <c r="G235" s="69">
        <f>F235^2</f>
        <v/>
      </c>
      <c r="H235" s="68" t="inlineStr"/>
      <c r="I235" s="68" t="inlineStr"/>
    </row>
    <row r="236">
      <c r="A236" s="65" t="n">
        <v>223</v>
      </c>
      <c r="B236" s="82" t="n">
        <v>222</v>
      </c>
      <c r="C236" s="82">
        <f>B236^2</f>
        <v/>
      </c>
      <c r="D236" s="66" t="n">
        <v>4593.44</v>
      </c>
      <c r="E236" s="66" t="n">
        <v>4593.50732</v>
      </c>
      <c r="F236" s="67">
        <f>D236-E236</f>
        <v/>
      </c>
      <c r="G236" s="66">
        <f>F236^2</f>
        <v/>
      </c>
      <c r="H236" s="65" t="inlineStr"/>
      <c r="I236" s="65" t="inlineStr"/>
    </row>
    <row r="237">
      <c r="A237" s="68" t="n">
        <v>224</v>
      </c>
      <c r="B237" s="83" t="n">
        <v>223</v>
      </c>
      <c r="C237" s="83">
        <f>B237^2</f>
        <v/>
      </c>
      <c r="D237" s="69" t="n">
        <v>4593.36</v>
      </c>
      <c r="E237" s="69" t="n">
        <v>4593.70976</v>
      </c>
      <c r="F237" s="70">
        <f>D237-E237</f>
        <v/>
      </c>
      <c r="G237" s="69">
        <f>F237^2</f>
        <v/>
      </c>
      <c r="H237" s="68" t="inlineStr"/>
      <c r="I237" s="68" t="inlineStr"/>
    </row>
    <row r="238">
      <c r="A238" s="65" t="n">
        <v>225</v>
      </c>
      <c r="B238" s="82" t="n">
        <v>224</v>
      </c>
      <c r="C238" s="82">
        <f>B238^2</f>
        <v/>
      </c>
      <c r="D238" s="66" t="n">
        <v>4594.77</v>
      </c>
      <c r="E238" s="66" t="n">
        <v>4593.91221</v>
      </c>
      <c r="F238" s="67">
        <f>D238-E238</f>
        <v/>
      </c>
      <c r="G238" s="66">
        <f>F238^2</f>
        <v/>
      </c>
      <c r="H238" s="65" t="inlineStr"/>
      <c r="I238" s="65" t="inlineStr"/>
    </row>
    <row r="239">
      <c r="A239" s="68" t="n">
        <v>226</v>
      </c>
      <c r="B239" s="83" t="n">
        <v>225</v>
      </c>
      <c r="C239" s="83">
        <f>B239^2</f>
        <v/>
      </c>
      <c r="D239" s="69" t="n">
        <v>4595.97</v>
      </c>
      <c r="E239" s="69" t="n">
        <v>4594.11465</v>
      </c>
      <c r="F239" s="70">
        <f>D239-E239</f>
        <v/>
      </c>
      <c r="G239" s="69">
        <f>F239^2</f>
        <v/>
      </c>
      <c r="H239" s="68" t="inlineStr"/>
      <c r="I239" s="68" t="inlineStr"/>
    </row>
    <row r="240">
      <c r="A240" s="65" t="n">
        <v>227</v>
      </c>
      <c r="B240" s="82" t="n">
        <v>226</v>
      </c>
      <c r="C240" s="82">
        <f>B240^2</f>
        <v/>
      </c>
      <c r="D240" s="66" t="n">
        <v>4592.32</v>
      </c>
      <c r="E240" s="66" t="n">
        <v>4594.3171</v>
      </c>
      <c r="F240" s="67">
        <f>D240-E240</f>
        <v/>
      </c>
      <c r="G240" s="66">
        <f>F240^2</f>
        <v/>
      </c>
      <c r="H240" s="65" t="inlineStr"/>
      <c r="I240" s="65" t="inlineStr"/>
    </row>
    <row r="241">
      <c r="A241" s="68" t="n">
        <v>228</v>
      </c>
      <c r="B241" s="83" t="n">
        <v>227</v>
      </c>
      <c r="C241" s="83">
        <f>B241^2</f>
        <v/>
      </c>
      <c r="D241" s="69" t="n">
        <v>4585.41</v>
      </c>
      <c r="E241" s="69" t="n">
        <v>4594.51954</v>
      </c>
      <c r="F241" s="70">
        <f>D241-E241</f>
        <v/>
      </c>
      <c r="G241" s="69">
        <f>F241^2</f>
        <v/>
      </c>
      <c r="H241" s="68" t="inlineStr"/>
      <c r="I241" s="68" t="inlineStr"/>
    </row>
    <row r="242">
      <c r="A242" s="65" t="n">
        <v>229</v>
      </c>
      <c r="B242" s="82" t="n">
        <v>228</v>
      </c>
      <c r="C242" s="82">
        <f>B242^2</f>
        <v/>
      </c>
      <c r="D242" s="66" t="n">
        <v>4578.16</v>
      </c>
      <c r="E242" s="66" t="n">
        <v>4594.72199</v>
      </c>
      <c r="F242" s="67">
        <f>D242-E242</f>
        <v/>
      </c>
      <c r="G242" s="66">
        <f>F242^2</f>
        <v/>
      </c>
      <c r="H242" s="65" t="inlineStr"/>
      <c r="I242" s="65" t="inlineStr"/>
    </row>
    <row r="243">
      <c r="A243" s="68" t="n">
        <v>230</v>
      </c>
      <c r="B243" s="83" t="n">
        <v>229</v>
      </c>
      <c r="C243" s="83">
        <f>B243^2</f>
        <v/>
      </c>
      <c r="D243" s="69" t="n">
        <v>4574.06</v>
      </c>
      <c r="E243" s="69" t="n">
        <v>4594.92444</v>
      </c>
      <c r="F243" s="70">
        <f>D243-E243</f>
        <v/>
      </c>
      <c r="G243" s="69">
        <f>F243^2</f>
        <v/>
      </c>
      <c r="H243" s="68" t="inlineStr"/>
      <c r="I243" s="68" t="inlineStr"/>
    </row>
    <row r="244">
      <c r="A244" s="65" t="n">
        <v>231</v>
      </c>
      <c r="B244" s="82" t="n">
        <v>230</v>
      </c>
      <c r="C244" s="82">
        <f>B244^2</f>
        <v/>
      </c>
      <c r="D244" s="66" t="n">
        <v>4567.37</v>
      </c>
      <c r="E244" s="66" t="n">
        <v>4595.12688</v>
      </c>
      <c r="F244" s="67">
        <f>D244-E244</f>
        <v/>
      </c>
      <c r="G244" s="66">
        <f>F244^2</f>
        <v/>
      </c>
      <c r="H244" s="65" t="inlineStr"/>
      <c r="I244" s="65" t="inlineStr"/>
    </row>
    <row r="245">
      <c r="A245" s="68" t="n">
        <v>232</v>
      </c>
      <c r="B245" s="83" t="n">
        <v>231</v>
      </c>
      <c r="C245" s="83">
        <f>B245^2</f>
        <v/>
      </c>
      <c r="D245" s="69" t="n">
        <v>4571.29</v>
      </c>
      <c r="E245" s="69" t="n">
        <v>4595.32933</v>
      </c>
      <c r="F245" s="70">
        <f>D245-E245</f>
        <v/>
      </c>
      <c r="G245" s="69">
        <f>F245^2</f>
        <v/>
      </c>
      <c r="H245" s="68" t="inlineStr"/>
      <c r="I245" s="68" t="inlineStr"/>
    </row>
    <row r="246">
      <c r="A246" s="65" t="n">
        <v>233</v>
      </c>
      <c r="B246" s="82" t="n">
        <v>232</v>
      </c>
      <c r="C246" s="82">
        <f>B246^2</f>
        <v/>
      </c>
      <c r="D246" s="66" t="n">
        <v>4568.51</v>
      </c>
      <c r="E246" s="66" t="n">
        <v>4595.53177</v>
      </c>
      <c r="F246" s="67">
        <f>D246-E246</f>
        <v/>
      </c>
      <c r="G246" s="66">
        <f>F246^2</f>
        <v/>
      </c>
      <c r="H246" s="65" t="inlineStr"/>
      <c r="I246" s="65" t="inlineStr"/>
    </row>
    <row r="247">
      <c r="A247" s="68" t="n">
        <v>234</v>
      </c>
      <c r="B247" s="83" t="n">
        <v>233</v>
      </c>
      <c r="C247" s="83">
        <f>B247^2</f>
        <v/>
      </c>
      <c r="D247" s="69" t="n">
        <v>4565.87</v>
      </c>
      <c r="E247" s="69" t="n">
        <v>4595.73422</v>
      </c>
      <c r="F247" s="70">
        <f>D247-E247</f>
        <v/>
      </c>
      <c r="G247" s="69">
        <f>F247^2</f>
        <v/>
      </c>
      <c r="H247" s="68" t="inlineStr"/>
      <c r="I247" s="68" t="inlineStr"/>
    </row>
    <row r="248">
      <c r="A248" s="65" t="n">
        <v>235</v>
      </c>
      <c r="B248" s="82" t="n">
        <v>234</v>
      </c>
      <c r="C248" s="82">
        <f>B248^2</f>
        <v/>
      </c>
      <c r="D248" s="66" t="n">
        <v>4569.29</v>
      </c>
      <c r="E248" s="66" t="n">
        <v>4595.93666</v>
      </c>
      <c r="F248" s="67">
        <f>D248-E248</f>
        <v/>
      </c>
      <c r="G248" s="66">
        <f>F248^2</f>
        <v/>
      </c>
      <c r="H248" s="65" t="inlineStr"/>
      <c r="I248" s="65" t="inlineStr"/>
    </row>
    <row r="249">
      <c r="A249" s="68" t="n">
        <v>236</v>
      </c>
      <c r="B249" s="83" t="n">
        <v>235</v>
      </c>
      <c r="C249" s="83">
        <f>B249^2</f>
        <v/>
      </c>
      <c r="D249" s="69" t="n">
        <v>4570.62</v>
      </c>
      <c r="E249" s="69" t="n">
        <v>4596.13911</v>
      </c>
      <c r="F249" s="70">
        <f>D249-E249</f>
        <v/>
      </c>
      <c r="G249" s="69">
        <f>F249^2</f>
        <v/>
      </c>
      <c r="H249" s="68" t="inlineStr"/>
      <c r="I249" s="68" t="inlineStr"/>
    </row>
    <row r="250">
      <c r="A250" s="65" t="n">
        <v>237</v>
      </c>
      <c r="B250" s="82" t="n">
        <v>236</v>
      </c>
      <c r="C250" s="82">
        <f>B250^2</f>
        <v/>
      </c>
      <c r="D250" s="66" t="n">
        <v>4563.12</v>
      </c>
      <c r="E250" s="66" t="n">
        <v>4596.34156</v>
      </c>
      <c r="F250" s="67">
        <f>D250-E250</f>
        <v/>
      </c>
      <c r="G250" s="66">
        <f>F250^2</f>
        <v/>
      </c>
      <c r="H250" s="65" t="inlineStr"/>
      <c r="I250" s="65" t="inlineStr"/>
    </row>
    <row r="251">
      <c r="A251" s="68" t="n">
        <v>238</v>
      </c>
      <c r="B251" s="83" t="n">
        <v>237</v>
      </c>
      <c r="C251" s="83">
        <f>B251^2</f>
        <v/>
      </c>
      <c r="D251" s="69" t="n">
        <v>4566.78</v>
      </c>
      <c r="E251" s="69" t="n">
        <v>4596.544</v>
      </c>
      <c r="F251" s="70">
        <f>D251-E251</f>
        <v/>
      </c>
      <c r="G251" s="69">
        <f>F251^2</f>
        <v/>
      </c>
      <c r="H251" s="68" t="inlineStr"/>
      <c r="I251" s="68" t="inlineStr"/>
    </row>
    <row r="252">
      <c r="A252" s="65" t="n">
        <v>239</v>
      </c>
      <c r="B252" s="82" t="n">
        <v>238</v>
      </c>
      <c r="C252" s="82">
        <f>B252^2</f>
        <v/>
      </c>
      <c r="D252" s="66" t="n">
        <v>4572.18</v>
      </c>
      <c r="E252" s="66" t="n">
        <v>4596.74645</v>
      </c>
      <c r="F252" s="67">
        <f>D252-E252</f>
        <v/>
      </c>
      <c r="G252" s="66">
        <f>F252^2</f>
        <v/>
      </c>
      <c r="H252" s="65" t="inlineStr"/>
      <c r="I252" s="65" t="inlineStr"/>
    </row>
    <row r="253">
      <c r="A253" s="68" t="n">
        <v>240</v>
      </c>
      <c r="B253" s="83" t="n">
        <v>239</v>
      </c>
      <c r="C253" s="83">
        <f>B253^2</f>
        <v/>
      </c>
      <c r="D253" s="69" t="n">
        <v>4570.49</v>
      </c>
      <c r="E253" s="69" t="n">
        <v>4596.94889</v>
      </c>
      <c r="F253" s="70">
        <f>D253-E253</f>
        <v/>
      </c>
      <c r="G253" s="69">
        <f>F253^2</f>
        <v/>
      </c>
      <c r="H253" s="68" t="inlineStr"/>
      <c r="I253" s="68" t="inlineStr"/>
    </row>
    <row r="254">
      <c r="A254" s="65" t="n">
        <v>241</v>
      </c>
      <c r="B254" s="82" t="n">
        <v>240</v>
      </c>
      <c r="C254" s="82">
        <f>B254^2</f>
        <v/>
      </c>
      <c r="D254" s="66" t="n">
        <v>4566.67</v>
      </c>
      <c r="E254" s="66" t="n">
        <v>4597.15134</v>
      </c>
      <c r="F254" s="67">
        <f>D254-E254</f>
        <v/>
      </c>
      <c r="G254" s="66">
        <f>F254^2</f>
        <v/>
      </c>
      <c r="H254" s="65" t="inlineStr"/>
      <c r="I254" s="65" t="inlineStr"/>
    </row>
    <row r="255">
      <c r="A255" s="68" t="n">
        <v>242</v>
      </c>
      <c r="B255" s="83" t="n">
        <v>241</v>
      </c>
      <c r="C255" s="83">
        <f>B255^2</f>
        <v/>
      </c>
      <c r="D255" s="69" t="n">
        <v>4565.94</v>
      </c>
      <c r="E255" s="69" t="n">
        <v>4597.35378</v>
      </c>
      <c r="F255" s="70">
        <f>D255-E255</f>
        <v/>
      </c>
      <c r="G255" s="69">
        <f>F255^2</f>
        <v/>
      </c>
      <c r="H255" s="68" t="inlineStr"/>
      <c r="I255" s="68" t="inlineStr"/>
    </row>
    <row r="256">
      <c r="A256" s="65" t="n">
        <v>243</v>
      </c>
      <c r="B256" s="82" t="n">
        <v>242</v>
      </c>
      <c r="C256" s="82">
        <f>B256^2</f>
        <v/>
      </c>
      <c r="D256" s="66" t="n">
        <v>4572.03</v>
      </c>
      <c r="E256" s="66" t="n">
        <v>4597.55623</v>
      </c>
      <c r="F256" s="67">
        <f>D256-E256</f>
        <v/>
      </c>
      <c r="G256" s="66">
        <f>F256^2</f>
        <v/>
      </c>
      <c r="H256" s="65" t="inlineStr"/>
      <c r="I256" s="65" t="inlineStr"/>
    </row>
    <row r="257">
      <c r="A257" s="68" t="n">
        <v>244</v>
      </c>
      <c r="B257" s="83" t="n">
        <v>243</v>
      </c>
      <c r="C257" s="83">
        <f>B257^2</f>
        <v/>
      </c>
      <c r="D257" s="69" t="n">
        <v>4575.75</v>
      </c>
      <c r="E257" s="69" t="n">
        <v>4597.75868</v>
      </c>
      <c r="F257" s="70">
        <f>D257-E257</f>
        <v/>
      </c>
      <c r="G257" s="69">
        <f>F257^2</f>
        <v/>
      </c>
      <c r="H257" s="68" t="inlineStr"/>
      <c r="I257" s="68" t="inlineStr"/>
    </row>
    <row r="258">
      <c r="A258" s="65" t="n">
        <v>245</v>
      </c>
      <c r="B258" s="82" t="n">
        <v>244</v>
      </c>
      <c r="C258" s="82">
        <f>B258^2</f>
        <v/>
      </c>
      <c r="D258" s="66" t="n">
        <v>4578.84</v>
      </c>
      <c r="E258" s="66" t="n">
        <v>4597.96112</v>
      </c>
      <c r="F258" s="67">
        <f>D258-E258</f>
        <v/>
      </c>
      <c r="G258" s="66">
        <f>F258^2</f>
        <v/>
      </c>
      <c r="H258" s="65" t="inlineStr"/>
      <c r="I258" s="65" t="inlineStr"/>
    </row>
    <row r="259">
      <c r="A259" s="68" t="n">
        <v>246</v>
      </c>
      <c r="B259" s="83" t="n">
        <v>245</v>
      </c>
      <c r="C259" s="83">
        <f>B259^2</f>
        <v/>
      </c>
      <c r="D259" s="69" t="n">
        <v>4584.86</v>
      </c>
      <c r="E259" s="69" t="n">
        <v>4598.16357</v>
      </c>
      <c r="F259" s="70">
        <f>D259-E259</f>
        <v/>
      </c>
      <c r="G259" s="69">
        <f>F259^2</f>
        <v/>
      </c>
      <c r="H259" s="68" t="inlineStr"/>
      <c r="I259" s="68" t="inlineStr"/>
    </row>
    <row r="260">
      <c r="A260" s="65" t="n">
        <v>247</v>
      </c>
      <c r="B260" s="82" t="n">
        <v>246</v>
      </c>
      <c r="C260" s="82">
        <f>B260^2</f>
        <v/>
      </c>
      <c r="D260" s="66" t="n">
        <v>4602.95</v>
      </c>
      <c r="E260" s="66" t="n">
        <v>4598.36601</v>
      </c>
      <c r="F260" s="67">
        <f>D260-E260</f>
        <v/>
      </c>
      <c r="G260" s="66">
        <f>F260^2</f>
        <v/>
      </c>
      <c r="H260" s="65" t="inlineStr"/>
      <c r="I260" s="65" t="inlineStr"/>
    </row>
    <row r="261">
      <c r="A261" s="68" t="n">
        <v>248</v>
      </c>
      <c r="B261" s="83" t="n">
        <v>247</v>
      </c>
      <c r="C261" s="83">
        <f>B261^2</f>
        <v/>
      </c>
      <c r="D261" s="69" t="n">
        <v>4591.95</v>
      </c>
      <c r="E261" s="69" t="n">
        <v>4598.56846</v>
      </c>
      <c r="F261" s="70">
        <f>D261-E261</f>
        <v/>
      </c>
      <c r="G261" s="69">
        <f>F261^2</f>
        <v/>
      </c>
      <c r="H261" s="68" t="inlineStr"/>
      <c r="I261" s="68" t="inlineStr"/>
    </row>
    <row r="262">
      <c r="A262" s="65" t="n">
        <v>249</v>
      </c>
      <c r="B262" s="82" t="n">
        <v>248</v>
      </c>
      <c r="C262" s="82">
        <f>B262^2</f>
        <v/>
      </c>
      <c r="D262" s="66" t="n">
        <v>4591.18</v>
      </c>
      <c r="E262" s="66" t="n">
        <v>4598.7709</v>
      </c>
      <c r="F262" s="67">
        <f>D262-E262</f>
        <v/>
      </c>
      <c r="G262" s="66">
        <f>F262^2</f>
        <v/>
      </c>
      <c r="H262" s="65" t="inlineStr"/>
      <c r="I262" s="65" t="inlineStr"/>
    </row>
    <row r="263">
      <c r="A263" s="68" t="n">
        <v>250</v>
      </c>
      <c r="B263" s="83" t="n">
        <v>249</v>
      </c>
      <c r="C263" s="83">
        <f>B263^2</f>
        <v/>
      </c>
      <c r="D263" s="69" t="n">
        <v>4591.32</v>
      </c>
      <c r="E263" s="69" t="n">
        <v>4598.97335</v>
      </c>
      <c r="F263" s="70">
        <f>D263-E263</f>
        <v/>
      </c>
      <c r="G263" s="69">
        <f>F263^2</f>
        <v/>
      </c>
      <c r="H263" s="68" t="inlineStr"/>
      <c r="I263" s="68" t="inlineStr"/>
    </row>
    <row r="264">
      <c r="A264" s="65" t="n">
        <v>251</v>
      </c>
      <c r="B264" s="82" t="n">
        <v>250</v>
      </c>
      <c r="C264" s="82">
        <f>B264^2</f>
        <v/>
      </c>
      <c r="D264" s="66" t="n">
        <v>4589.2</v>
      </c>
      <c r="E264" s="66" t="n">
        <v>4599.1758</v>
      </c>
      <c r="F264" s="67">
        <f>D264-E264</f>
        <v/>
      </c>
      <c r="G264" s="66">
        <f>F264^2</f>
        <v/>
      </c>
      <c r="H264" s="65" t="inlineStr"/>
      <c r="I264" s="65" t="inlineStr"/>
    </row>
    <row r="265">
      <c r="A265" s="68" t="n">
        <v>252</v>
      </c>
      <c r="B265" s="83" t="n">
        <v>251</v>
      </c>
      <c r="C265" s="83">
        <f>B265^2</f>
        <v/>
      </c>
      <c r="D265" s="69" t="n">
        <v>4608.07</v>
      </c>
      <c r="E265" s="69" t="n">
        <v>4599.37824</v>
      </c>
      <c r="F265" s="70">
        <f>D265-E265</f>
        <v/>
      </c>
      <c r="G265" s="69">
        <f>F265^2</f>
        <v/>
      </c>
      <c r="H265" s="68" t="inlineStr"/>
      <c r="I265" s="68" t="inlineStr"/>
    </row>
    <row r="266">
      <c r="A266" s="65" t="n">
        <v>253</v>
      </c>
      <c r="B266" s="82" t="n">
        <v>252</v>
      </c>
      <c r="C266" s="82">
        <f>B266^2</f>
        <v/>
      </c>
      <c r="D266" s="66" t="n">
        <v>4625.7</v>
      </c>
      <c r="E266" s="66" t="n">
        <v>4599.58069</v>
      </c>
      <c r="F266" s="67">
        <f>D266-E266</f>
        <v/>
      </c>
      <c r="G266" s="66">
        <f>F266^2</f>
        <v/>
      </c>
      <c r="H266" s="65" t="inlineStr"/>
      <c r="I266" s="65" t="inlineStr"/>
    </row>
    <row r="267">
      <c r="A267" s="68" t="n">
        <v>254</v>
      </c>
      <c r="B267" s="83" t="n">
        <v>253</v>
      </c>
      <c r="C267" s="83">
        <f>B267^2</f>
        <v/>
      </c>
      <c r="D267" s="69" t="n">
        <v>4656.06</v>
      </c>
      <c r="E267" s="69" t="n">
        <v>4599.78313</v>
      </c>
      <c r="F267" s="70">
        <f>D267-E267</f>
        <v/>
      </c>
      <c r="G267" s="69">
        <f>F267^2</f>
        <v/>
      </c>
      <c r="H267" s="68" t="inlineStr"/>
      <c r="I267" s="68" t="inlineStr"/>
    </row>
    <row r="268">
      <c r="A268" s="65" t="n">
        <v>255</v>
      </c>
      <c r="B268" s="82" t="n">
        <v>254</v>
      </c>
      <c r="C268" s="82">
        <f>B268^2</f>
        <v/>
      </c>
      <c r="D268" s="66" t="n">
        <v>4644.67</v>
      </c>
      <c r="E268" s="66" t="n">
        <v>4599.98558</v>
      </c>
      <c r="F268" s="67">
        <f>D268-E268</f>
        <v/>
      </c>
      <c r="G268" s="66">
        <f>F268^2</f>
        <v/>
      </c>
      <c r="H268" s="65" t="inlineStr"/>
      <c r="I268" s="65" t="inlineStr"/>
    </row>
    <row r="269">
      <c r="A269" s="68" t="n">
        <v>256</v>
      </c>
      <c r="B269" s="83" t="n">
        <v>255</v>
      </c>
      <c r="C269" s="83">
        <f>B269^2</f>
        <v/>
      </c>
      <c r="D269" s="69" t="n">
        <v>4633.23</v>
      </c>
      <c r="E269" s="69" t="n">
        <v>4600.18802</v>
      </c>
      <c r="F269" s="70">
        <f>D269-E269</f>
        <v/>
      </c>
      <c r="G269" s="69">
        <f>F269^2</f>
        <v/>
      </c>
      <c r="H269" s="68" t="inlineStr"/>
      <c r="I269" s="68" t="inlineStr"/>
    </row>
    <row r="270">
      <c r="A270" s="65" t="n">
        <v>257</v>
      </c>
      <c r="B270" s="82" t="n">
        <v>256</v>
      </c>
      <c r="C270" s="82">
        <f>B270^2</f>
        <v/>
      </c>
      <c r="D270" s="66" t="n">
        <v>4632.21</v>
      </c>
      <c r="E270" s="66" t="n">
        <v>4600.39047</v>
      </c>
      <c r="F270" s="67">
        <f>D270-E270</f>
        <v/>
      </c>
      <c r="G270" s="66">
        <f>F270^2</f>
        <v/>
      </c>
      <c r="H270" s="65" t="inlineStr"/>
      <c r="I270" s="65" t="inlineStr"/>
    </row>
    <row r="271">
      <c r="A271" s="68" t="n">
        <v>258</v>
      </c>
      <c r="B271" s="83" t="n">
        <v>257</v>
      </c>
      <c r="C271" s="83">
        <f>B271^2</f>
        <v/>
      </c>
      <c r="D271" s="69" t="n">
        <v>4636.58</v>
      </c>
      <c r="E271" s="69" t="n">
        <v>4600.59291</v>
      </c>
      <c r="F271" s="70">
        <f>D271-E271</f>
        <v/>
      </c>
      <c r="G271" s="69">
        <f>F271^2</f>
        <v/>
      </c>
      <c r="H271" s="68" t="inlineStr"/>
      <c r="I271" s="68" t="inlineStr"/>
    </row>
    <row r="272">
      <c r="A272" s="65" t="n">
        <v>259</v>
      </c>
      <c r="B272" s="82" t="n">
        <v>258</v>
      </c>
      <c r="C272" s="82">
        <f>B272^2</f>
        <v/>
      </c>
      <c r="D272" s="66" t="n">
        <v>4636.46</v>
      </c>
      <c r="E272" s="66" t="n">
        <v>4600.79536</v>
      </c>
      <c r="F272" s="67">
        <f>D272-E272</f>
        <v/>
      </c>
      <c r="G272" s="66">
        <f>F272^2</f>
        <v/>
      </c>
      <c r="H272" s="65" t="inlineStr"/>
      <c r="I272" s="65" t="inlineStr"/>
    </row>
    <row r="273">
      <c r="A273" s="68" t="n">
        <v>260</v>
      </c>
      <c r="B273" s="83" t="n">
        <v>259</v>
      </c>
      <c r="C273" s="83">
        <f>B273^2</f>
        <v/>
      </c>
      <c r="D273" s="69" t="n">
        <v>4643.6</v>
      </c>
      <c r="E273" s="69" t="n">
        <v>4600.99781</v>
      </c>
      <c r="F273" s="70">
        <f>D273-E273</f>
        <v/>
      </c>
      <c r="G273" s="69">
        <f>F273^2</f>
        <v/>
      </c>
      <c r="H273" s="68" t="inlineStr"/>
      <c r="I273" s="68" t="inlineStr"/>
    </row>
    <row r="274">
      <c r="A274" s="65" t="n">
        <v>261</v>
      </c>
      <c r="B274" s="82" t="n">
        <v>260</v>
      </c>
      <c r="C274" s="82">
        <f>B274^2</f>
        <v/>
      </c>
      <c r="D274" s="66" t="n">
        <v>4643.3</v>
      </c>
      <c r="E274" s="66" t="n">
        <v>4601.20025</v>
      </c>
      <c r="F274" s="67">
        <f>D274-E274</f>
        <v/>
      </c>
      <c r="G274" s="66">
        <f>F274^2</f>
        <v/>
      </c>
      <c r="H274" s="65" t="inlineStr"/>
      <c r="I274" s="65" t="inlineStr"/>
    </row>
    <row r="275">
      <c r="A275" s="68" t="n">
        <v>262</v>
      </c>
      <c r="B275" s="83" t="n">
        <v>261</v>
      </c>
      <c r="C275" s="83">
        <f>B275^2</f>
        <v/>
      </c>
      <c r="D275" s="69" t="n">
        <v>4642.75</v>
      </c>
      <c r="E275" s="69" t="n">
        <v>4601.4027</v>
      </c>
      <c r="F275" s="70">
        <f>D275-E275</f>
        <v/>
      </c>
      <c r="G275" s="69">
        <f>F275^2</f>
        <v/>
      </c>
      <c r="H275" s="68" t="inlineStr"/>
      <c r="I275" s="68" t="inlineStr"/>
    </row>
    <row r="276">
      <c r="A276" s="65" t="n">
        <v>263</v>
      </c>
      <c r="B276" s="82" t="n">
        <v>262</v>
      </c>
      <c r="C276" s="82">
        <f>B276^2</f>
        <v/>
      </c>
      <c r="D276" s="66" t="n">
        <v>4637.96</v>
      </c>
      <c r="E276" s="66" t="n">
        <v>4601.60514</v>
      </c>
      <c r="F276" s="67">
        <f>D276-E276</f>
        <v/>
      </c>
      <c r="G276" s="66">
        <f>F276^2</f>
        <v/>
      </c>
      <c r="H276" s="65" t="inlineStr"/>
      <c r="I276" s="65" t="inlineStr"/>
    </row>
    <row r="277">
      <c r="A277" s="68" t="n">
        <v>264</v>
      </c>
      <c r="B277" s="83" t="n">
        <v>263</v>
      </c>
      <c r="C277" s="83">
        <f>B277^2</f>
        <v/>
      </c>
      <c r="D277" s="69" t="n">
        <v>4638.86</v>
      </c>
      <c r="E277" s="69" t="n">
        <v>4601.80759</v>
      </c>
      <c r="F277" s="70">
        <f>D277-E277</f>
        <v/>
      </c>
      <c r="G277" s="69">
        <f>F277^2</f>
        <v/>
      </c>
      <c r="H277" s="68" t="inlineStr"/>
      <c r="I277" s="68" t="inlineStr"/>
    </row>
    <row r="278">
      <c r="A278" s="65" t="n">
        <v>265</v>
      </c>
      <c r="B278" s="82" t="n">
        <v>264</v>
      </c>
      <c r="C278" s="82">
        <f>B278^2</f>
        <v/>
      </c>
      <c r="D278" s="66" t="n">
        <v>4638.72</v>
      </c>
      <c r="E278" s="66" t="n">
        <v>4602.01003</v>
      </c>
      <c r="F278" s="67">
        <f>D278-E278</f>
        <v/>
      </c>
      <c r="G278" s="66">
        <f>F278^2</f>
        <v/>
      </c>
      <c r="H278" s="65" t="inlineStr"/>
      <c r="I278" s="65" t="inlineStr"/>
    </row>
    <row r="279">
      <c r="A279" s="68" t="n">
        <v>266</v>
      </c>
      <c r="B279" s="83" t="n">
        <v>265</v>
      </c>
      <c r="C279" s="83">
        <f>B279^2</f>
        <v/>
      </c>
      <c r="D279" s="69" t="n">
        <v>4639.73</v>
      </c>
      <c r="E279" s="69" t="n">
        <v>4602.21248</v>
      </c>
      <c r="F279" s="70">
        <f>D279-E279</f>
        <v/>
      </c>
      <c r="G279" s="69">
        <f>F279^2</f>
        <v/>
      </c>
      <c r="H279" s="68" t="inlineStr"/>
      <c r="I279" s="68" t="inlineStr"/>
    </row>
    <row r="280">
      <c r="A280" s="65" t="n">
        <v>267</v>
      </c>
      <c r="B280" s="82" t="n">
        <v>266</v>
      </c>
      <c r="C280" s="82">
        <f>B280^2</f>
        <v/>
      </c>
      <c r="D280" s="66" t="n">
        <v>4631.67</v>
      </c>
      <c r="E280" s="66" t="n">
        <v>4602.41493</v>
      </c>
      <c r="F280" s="67">
        <f>D280-E280</f>
        <v/>
      </c>
      <c r="G280" s="66">
        <f>F280^2</f>
        <v/>
      </c>
      <c r="H280" s="65" t="inlineStr"/>
      <c r="I280" s="65" t="inlineStr"/>
    </row>
    <row r="281">
      <c r="A281" s="68" t="n">
        <v>268</v>
      </c>
      <c r="B281" s="83" t="n">
        <v>267</v>
      </c>
      <c r="C281" s="83">
        <f>B281^2</f>
        <v/>
      </c>
      <c r="D281" s="69" t="n">
        <v>4628</v>
      </c>
      <c r="E281" s="69" t="n">
        <v>4602.61737</v>
      </c>
      <c r="F281" s="70">
        <f>D281-E281</f>
        <v/>
      </c>
      <c r="G281" s="69">
        <f>F281^2</f>
        <v/>
      </c>
      <c r="H281" s="68" t="inlineStr"/>
      <c r="I281" s="68" t="inlineStr"/>
    </row>
    <row r="282">
      <c r="A282" s="65" t="n">
        <v>269</v>
      </c>
      <c r="B282" s="82" t="n">
        <v>268</v>
      </c>
      <c r="C282" s="82">
        <f>B282^2</f>
        <v/>
      </c>
      <c r="D282" s="66" t="n">
        <v>4629.43</v>
      </c>
      <c r="E282" s="66" t="n">
        <v>4602.81982</v>
      </c>
      <c r="F282" s="67">
        <f>D282-E282</f>
        <v/>
      </c>
      <c r="G282" s="66">
        <f>F282^2</f>
        <v/>
      </c>
      <c r="H282" s="65" t="inlineStr"/>
      <c r="I282" s="65" t="inlineStr"/>
    </row>
    <row r="283">
      <c r="A283" s="68" t="n">
        <v>270</v>
      </c>
      <c r="B283" s="83" t="n">
        <v>269</v>
      </c>
      <c r="C283" s="83">
        <f>B283^2</f>
        <v/>
      </c>
      <c r="D283" s="69" t="n">
        <v>4615.72</v>
      </c>
      <c r="E283" s="69" t="n">
        <v>4603.02226</v>
      </c>
      <c r="F283" s="70">
        <f>D283-E283</f>
        <v/>
      </c>
      <c r="G283" s="69">
        <f>F283^2</f>
        <v/>
      </c>
      <c r="H283" s="68" t="inlineStr"/>
      <c r="I283" s="68" t="inlineStr"/>
    </row>
    <row r="284">
      <c r="A284" s="65" t="n">
        <v>271</v>
      </c>
      <c r="B284" s="82" t="n">
        <v>270</v>
      </c>
      <c r="C284" s="82">
        <f>B284^2</f>
        <v/>
      </c>
      <c r="D284" s="66" t="n">
        <v>4623.48</v>
      </c>
      <c r="E284" s="66" t="n">
        <v>4603.22471</v>
      </c>
      <c r="F284" s="67">
        <f>D284-E284</f>
        <v/>
      </c>
      <c r="G284" s="66">
        <f>F284^2</f>
        <v/>
      </c>
      <c r="H284" s="65" t="inlineStr"/>
      <c r="I284" s="65" t="inlineStr"/>
    </row>
    <row r="285">
      <c r="A285" s="68" t="n">
        <v>272</v>
      </c>
      <c r="B285" s="83" t="n">
        <v>271</v>
      </c>
      <c r="C285" s="83">
        <f>B285^2</f>
        <v/>
      </c>
      <c r="D285" s="69" t="n">
        <v>4622.32</v>
      </c>
      <c r="E285" s="69" t="n">
        <v>4603.42715</v>
      </c>
      <c r="F285" s="70">
        <f>D285-E285</f>
        <v/>
      </c>
      <c r="G285" s="69">
        <f>F285^2</f>
        <v/>
      </c>
      <c r="H285" s="68" t="inlineStr"/>
      <c r="I285" s="68" t="inlineStr"/>
    </row>
    <row r="286">
      <c r="A286" s="65" t="n">
        <v>273</v>
      </c>
      <c r="B286" s="82" t="n">
        <v>272</v>
      </c>
      <c r="C286" s="82">
        <f>B286^2</f>
        <v/>
      </c>
      <c r="D286" s="66" t="n">
        <v>4624.35</v>
      </c>
      <c r="E286" s="66" t="n">
        <v>4603.6296</v>
      </c>
      <c r="F286" s="67">
        <f>D286-E286</f>
        <v/>
      </c>
      <c r="G286" s="66">
        <f>F286^2</f>
        <v/>
      </c>
      <c r="H286" s="65" t="inlineStr"/>
      <c r="I286" s="65" t="inlineStr"/>
    </row>
    <row r="287">
      <c r="A287" s="68" t="n">
        <v>274</v>
      </c>
      <c r="B287" s="83" t="n">
        <v>273</v>
      </c>
      <c r="C287" s="83">
        <f>B287^2</f>
        <v/>
      </c>
      <c r="D287" s="69" t="n">
        <v>4626.3</v>
      </c>
      <c r="E287" s="69" t="n">
        <v>4603.83205</v>
      </c>
      <c r="F287" s="70">
        <f>D287-E287</f>
        <v/>
      </c>
      <c r="G287" s="69">
        <f>F287^2</f>
        <v/>
      </c>
      <c r="H287" s="68" t="inlineStr"/>
      <c r="I287" s="68" t="inlineStr"/>
    </row>
    <row r="288">
      <c r="A288" s="65" t="n">
        <v>275</v>
      </c>
      <c r="B288" s="82" t="n">
        <v>274</v>
      </c>
      <c r="C288" s="82">
        <f>B288^2</f>
        <v/>
      </c>
      <c r="D288" s="66" t="n">
        <v>4624.4</v>
      </c>
      <c r="E288" s="66" t="n">
        <v>4604.03449</v>
      </c>
      <c r="F288" s="67">
        <f>D288-E288</f>
        <v/>
      </c>
      <c r="G288" s="66">
        <f>F288^2</f>
        <v/>
      </c>
      <c r="H288" s="65" t="inlineStr"/>
      <c r="I288" s="65" t="inlineStr"/>
    </row>
    <row r="289">
      <c r="A289" s="68" t="n">
        <v>276</v>
      </c>
      <c r="B289" s="83" t="n">
        <v>275</v>
      </c>
      <c r="C289" s="83">
        <f>B289^2</f>
        <v/>
      </c>
      <c r="D289" s="69" t="n">
        <v>4611.78</v>
      </c>
      <c r="E289" s="69" t="n">
        <v>4604.23694</v>
      </c>
      <c r="F289" s="70">
        <f>D289-E289</f>
        <v/>
      </c>
      <c r="G289" s="69">
        <f>F289^2</f>
        <v/>
      </c>
      <c r="H289" s="68" t="inlineStr"/>
      <c r="I289" s="68" t="inlineStr"/>
    </row>
    <row r="290">
      <c r="A290" s="65" t="n">
        <v>277</v>
      </c>
      <c r="B290" s="82" t="n">
        <v>276</v>
      </c>
      <c r="C290" s="82">
        <f>B290^2</f>
        <v/>
      </c>
      <c r="D290" s="66" t="n">
        <v>4610.06</v>
      </c>
      <c r="E290" s="66" t="n">
        <v>4604.43938</v>
      </c>
      <c r="F290" s="67">
        <f>D290-E290</f>
        <v/>
      </c>
      <c r="G290" s="66">
        <f>F290^2</f>
        <v/>
      </c>
      <c r="H290" s="65" t="inlineStr"/>
      <c r="I290" s="65" t="inlineStr"/>
    </row>
    <row r="291">
      <c r="A291" s="68" t="n">
        <v>278</v>
      </c>
      <c r="B291" s="83" t="n">
        <v>277</v>
      </c>
      <c r="C291" s="83">
        <f>B291^2</f>
        <v/>
      </c>
      <c r="D291" s="69" t="n">
        <v>4611.41</v>
      </c>
      <c r="E291" s="69" t="n">
        <v>4604.64183</v>
      </c>
      <c r="F291" s="70">
        <f>D291-E291</f>
        <v/>
      </c>
      <c r="G291" s="69">
        <f>F291^2</f>
        <v/>
      </c>
      <c r="H291" s="68" t="inlineStr"/>
      <c r="I291" s="68" t="inlineStr"/>
    </row>
    <row r="292">
      <c r="A292" s="65" t="n">
        <v>279</v>
      </c>
      <c r="B292" s="82" t="n">
        <v>278</v>
      </c>
      <c r="C292" s="82">
        <f>B292^2</f>
        <v/>
      </c>
      <c r="D292" s="66" t="n">
        <v>4613.3</v>
      </c>
      <c r="E292" s="66" t="n">
        <v>4604.84427</v>
      </c>
      <c r="F292" s="67">
        <f>D292-E292</f>
        <v/>
      </c>
      <c r="G292" s="66">
        <f>F292^2</f>
        <v/>
      </c>
      <c r="H292" s="65" t="inlineStr"/>
      <c r="I292" s="65" t="inlineStr"/>
    </row>
    <row r="293">
      <c r="A293" s="68" t="n">
        <v>280</v>
      </c>
      <c r="B293" s="83" t="n">
        <v>279</v>
      </c>
      <c r="C293" s="83">
        <f>B293^2</f>
        <v/>
      </c>
      <c r="D293" s="69" t="n">
        <v>4613.77</v>
      </c>
      <c r="E293" s="69" t="n">
        <v>4605.04672</v>
      </c>
      <c r="F293" s="70">
        <f>D293-E293</f>
        <v/>
      </c>
      <c r="G293" s="69">
        <f>F293^2</f>
        <v/>
      </c>
      <c r="H293" s="68" t="inlineStr"/>
      <c r="I293" s="68" t="inlineStr"/>
    </row>
    <row r="294">
      <c r="A294" s="65" t="n">
        <v>281</v>
      </c>
      <c r="B294" s="82" t="n">
        <v>280</v>
      </c>
      <c r="C294" s="82">
        <f>B294^2</f>
        <v/>
      </c>
      <c r="D294" s="66" t="n">
        <v>4613.98</v>
      </c>
      <c r="E294" s="66" t="n">
        <v>4605.24917</v>
      </c>
      <c r="F294" s="67">
        <f>D294-E294</f>
        <v/>
      </c>
      <c r="G294" s="66">
        <f>F294^2</f>
        <v/>
      </c>
      <c r="H294" s="65" t="inlineStr"/>
      <c r="I294" s="65" t="inlineStr"/>
    </row>
    <row r="295">
      <c r="A295" s="68" t="n">
        <v>282</v>
      </c>
      <c r="B295" s="83" t="n">
        <v>281</v>
      </c>
      <c r="C295" s="83">
        <f>B295^2</f>
        <v/>
      </c>
      <c r="D295" s="69" t="n">
        <v>4623.11</v>
      </c>
      <c r="E295" s="69" t="n">
        <v>4605.45161</v>
      </c>
      <c r="F295" s="70">
        <f>D295-E295</f>
        <v/>
      </c>
      <c r="G295" s="69">
        <f>F295^2</f>
        <v/>
      </c>
      <c r="H295" s="68" t="inlineStr"/>
      <c r="I295" s="68" t="inlineStr"/>
    </row>
    <row r="296">
      <c r="A296" s="65" t="n">
        <v>283</v>
      </c>
      <c r="B296" s="82" t="n">
        <v>282</v>
      </c>
      <c r="C296" s="82">
        <f>B296^2</f>
        <v/>
      </c>
      <c r="D296" s="66" t="n">
        <v>4620.91</v>
      </c>
      <c r="E296" s="66" t="n">
        <v>4605.65406</v>
      </c>
      <c r="F296" s="67">
        <f>D296-E296</f>
        <v/>
      </c>
      <c r="G296" s="66">
        <f>F296^2</f>
        <v/>
      </c>
      <c r="H296" s="65" t="inlineStr"/>
      <c r="I296" s="65" t="inlineStr"/>
    </row>
    <row r="297">
      <c r="A297" s="68" t="n">
        <v>284</v>
      </c>
      <c r="B297" s="83" t="n">
        <v>283</v>
      </c>
      <c r="C297" s="83">
        <f>B297^2</f>
        <v/>
      </c>
      <c r="D297" s="69" t="n">
        <v>4628.2</v>
      </c>
      <c r="E297" s="69" t="n">
        <v>4605.8565</v>
      </c>
      <c r="F297" s="70">
        <f>D297-E297</f>
        <v/>
      </c>
      <c r="G297" s="69">
        <f>F297^2</f>
        <v/>
      </c>
      <c r="H297" s="68" t="inlineStr"/>
      <c r="I297" s="68" t="inlineStr"/>
    </row>
    <row r="298">
      <c r="A298" s="65" t="n">
        <v>285</v>
      </c>
      <c r="B298" s="82" t="n">
        <v>284</v>
      </c>
      <c r="C298" s="82">
        <f>B298^2</f>
        <v/>
      </c>
      <c r="D298" s="66" t="n">
        <v>4618.95</v>
      </c>
      <c r="E298" s="66" t="n">
        <v>4606.05895</v>
      </c>
      <c r="F298" s="67">
        <f>D298-E298</f>
        <v/>
      </c>
      <c r="G298" s="66">
        <f>F298^2</f>
        <v/>
      </c>
      <c r="H298" s="65" t="inlineStr"/>
      <c r="I298" s="65" t="inlineStr"/>
    </row>
    <row r="299">
      <c r="A299" s="68" t="n">
        <v>286</v>
      </c>
      <c r="B299" s="83" t="n">
        <v>285</v>
      </c>
      <c r="C299" s="83">
        <f>B299^2</f>
        <v/>
      </c>
      <c r="D299" s="69" t="n">
        <v>4615.08</v>
      </c>
      <c r="E299" s="69" t="n">
        <v>4606.26139</v>
      </c>
      <c r="F299" s="70">
        <f>D299-E299</f>
        <v/>
      </c>
      <c r="G299" s="69">
        <f>F299^2</f>
        <v/>
      </c>
      <c r="H299" s="68" t="inlineStr"/>
      <c r="I299" s="68" t="inlineStr"/>
    </row>
    <row r="300">
      <c r="A300" s="65" t="n">
        <v>287</v>
      </c>
      <c r="B300" s="82" t="n">
        <v>286</v>
      </c>
      <c r="C300" s="82">
        <f>B300^2</f>
        <v/>
      </c>
      <c r="D300" s="66" t="n">
        <v>4617.09</v>
      </c>
      <c r="E300" s="66" t="n">
        <v>4606.46384</v>
      </c>
      <c r="F300" s="67">
        <f>D300-E300</f>
        <v/>
      </c>
      <c r="G300" s="66">
        <f>F300^2</f>
        <v/>
      </c>
      <c r="H300" s="65" t="inlineStr"/>
      <c r="I300" s="65" t="inlineStr"/>
    </row>
    <row r="301">
      <c r="A301" s="68" t="n">
        <v>288</v>
      </c>
      <c r="B301" s="83" t="n">
        <v>287</v>
      </c>
      <c r="C301" s="83">
        <f>B301^2</f>
        <v/>
      </c>
      <c r="D301" s="69" t="n">
        <v>4613.63</v>
      </c>
      <c r="E301" s="69" t="n">
        <v>4606.66629</v>
      </c>
      <c r="F301" s="70">
        <f>D301-E301</f>
        <v/>
      </c>
      <c r="G301" s="69">
        <f>F301^2</f>
        <v/>
      </c>
      <c r="H301" s="68" t="inlineStr"/>
      <c r="I301" s="68" t="inlineStr"/>
    </row>
    <row r="302">
      <c r="A302" s="65" t="n">
        <v>289</v>
      </c>
      <c r="B302" s="82" t="n">
        <v>288</v>
      </c>
      <c r="C302" s="82">
        <f>B302^2</f>
        <v/>
      </c>
      <c r="D302" s="66" t="n">
        <v>4613.86</v>
      </c>
      <c r="E302" s="66" t="n">
        <v>4606.86873</v>
      </c>
      <c r="F302" s="67">
        <f>D302-E302</f>
        <v/>
      </c>
      <c r="G302" s="66">
        <f>F302^2</f>
        <v/>
      </c>
      <c r="H302" s="65" t="inlineStr"/>
      <c r="I302" s="65" t="inlineStr"/>
    </row>
    <row r="303">
      <c r="A303" s="68" t="n">
        <v>290</v>
      </c>
      <c r="B303" s="83" t="n">
        <v>289</v>
      </c>
      <c r="C303" s="83">
        <f>B303^2</f>
        <v/>
      </c>
      <c r="D303" s="69" t="n">
        <v>4612.3</v>
      </c>
      <c r="E303" s="69" t="n">
        <v>4607.07118</v>
      </c>
      <c r="F303" s="70">
        <f>D303-E303</f>
        <v/>
      </c>
      <c r="G303" s="69">
        <f>F303^2</f>
        <v/>
      </c>
      <c r="H303" s="68" t="inlineStr"/>
      <c r="I303" s="68" t="inlineStr"/>
    </row>
    <row r="304">
      <c r="A304" s="65" t="n">
        <v>291</v>
      </c>
      <c r="B304" s="82" t="n">
        <v>290</v>
      </c>
      <c r="C304" s="82">
        <f>B304^2</f>
        <v/>
      </c>
      <c r="D304" s="66" t="n">
        <v>4606.13</v>
      </c>
      <c r="E304" s="66" t="n">
        <v>4607.27362</v>
      </c>
      <c r="F304" s="67">
        <f>D304-E304</f>
        <v/>
      </c>
      <c r="G304" s="66">
        <f>F304^2</f>
        <v/>
      </c>
      <c r="H304" s="65" t="inlineStr"/>
      <c r="I304" s="65" t="inlineStr"/>
    </row>
    <row r="305">
      <c r="A305" s="68" t="n">
        <v>292</v>
      </c>
      <c r="B305" s="83" t="n">
        <v>291</v>
      </c>
      <c r="C305" s="83">
        <f>B305^2</f>
        <v/>
      </c>
      <c r="D305" s="69" t="n">
        <v>4605.86</v>
      </c>
      <c r="E305" s="69" t="n">
        <v>4607.47607</v>
      </c>
      <c r="F305" s="70">
        <f>D305-E305</f>
        <v/>
      </c>
      <c r="G305" s="69">
        <f>F305^2</f>
        <v/>
      </c>
      <c r="H305" s="68" t="inlineStr"/>
      <c r="I305" s="68" t="inlineStr"/>
    </row>
    <row r="306">
      <c r="A306" s="65" t="n">
        <v>293</v>
      </c>
      <c r="B306" s="82" t="n">
        <v>292</v>
      </c>
      <c r="C306" s="82">
        <f>B306^2</f>
        <v/>
      </c>
      <c r="D306" s="66" t="n">
        <v>4613.01</v>
      </c>
      <c r="E306" s="66" t="n">
        <v>4607.67851</v>
      </c>
      <c r="F306" s="67">
        <f>D306-E306</f>
        <v/>
      </c>
      <c r="G306" s="66">
        <f>F306^2</f>
        <v/>
      </c>
      <c r="H306" s="65" t="inlineStr"/>
      <c r="I306" s="65" t="inlineStr"/>
    </row>
    <row r="307">
      <c r="A307" s="68" t="n">
        <v>294</v>
      </c>
      <c r="B307" s="83" t="n">
        <v>293</v>
      </c>
      <c r="C307" s="83">
        <f>B307^2</f>
        <v/>
      </c>
      <c r="D307" s="69" t="n">
        <v>4600.58</v>
      </c>
      <c r="E307" s="69" t="n">
        <v>4607.88096</v>
      </c>
      <c r="F307" s="70">
        <f>D307-E307</f>
        <v/>
      </c>
      <c r="G307" s="69">
        <f>F307^2</f>
        <v/>
      </c>
      <c r="H307" s="68" t="inlineStr"/>
      <c r="I307" s="68" t="inlineStr"/>
    </row>
    <row r="308">
      <c r="A308" s="65" t="n">
        <v>295</v>
      </c>
      <c r="B308" s="82" t="n">
        <v>294</v>
      </c>
      <c r="C308" s="82">
        <f>B308^2</f>
        <v/>
      </c>
      <c r="D308" s="66" t="n">
        <v>4594.65</v>
      </c>
      <c r="E308" s="66" t="n">
        <v>4608.08341</v>
      </c>
      <c r="F308" s="67">
        <f>D308-E308</f>
        <v/>
      </c>
      <c r="G308" s="66">
        <f>F308^2</f>
        <v/>
      </c>
      <c r="H308" s="65" t="inlineStr"/>
      <c r="I308" s="65" t="inlineStr"/>
    </row>
    <row r="309">
      <c r="A309" s="68" t="n">
        <v>296</v>
      </c>
      <c r="B309" s="83" t="n">
        <v>295</v>
      </c>
      <c r="C309" s="83">
        <f>B309^2</f>
        <v/>
      </c>
      <c r="D309" s="69" t="n">
        <v>4601.59</v>
      </c>
      <c r="E309" s="69" t="n">
        <v>4608.28585</v>
      </c>
      <c r="F309" s="70">
        <f>D309-E309</f>
        <v/>
      </c>
      <c r="G309" s="69">
        <f>F309^2</f>
        <v/>
      </c>
      <c r="H309" s="68" t="inlineStr"/>
      <c r="I309" s="68" t="inlineStr"/>
    </row>
    <row r="310">
      <c r="A310" s="65" t="n">
        <v>297</v>
      </c>
      <c r="B310" s="82" t="n">
        <v>296</v>
      </c>
      <c r="C310" s="82">
        <f>B310^2</f>
        <v/>
      </c>
      <c r="D310" s="66" t="n">
        <v>4613.14</v>
      </c>
      <c r="E310" s="66" t="n">
        <v>4608.4883</v>
      </c>
      <c r="F310" s="67">
        <f>D310-E310</f>
        <v/>
      </c>
      <c r="G310" s="66">
        <f>F310^2</f>
        <v/>
      </c>
      <c r="H310" s="65" t="inlineStr"/>
      <c r="I310" s="65" t="inlineStr"/>
    </row>
    <row r="311">
      <c r="A311" s="68" t="n">
        <v>298</v>
      </c>
      <c r="B311" s="83" t="n">
        <v>297</v>
      </c>
      <c r="C311" s="83">
        <f>B311^2</f>
        <v/>
      </c>
      <c r="D311" s="69" t="n">
        <v>4608.34</v>
      </c>
      <c r="E311" s="69" t="n">
        <v>4608.69074</v>
      </c>
      <c r="F311" s="70">
        <f>D311-E311</f>
        <v/>
      </c>
      <c r="G311" s="69">
        <f>F311^2</f>
        <v/>
      </c>
      <c r="H311" s="68" t="inlineStr"/>
      <c r="I311" s="68" t="inlineStr"/>
    </row>
    <row r="312">
      <c r="A312" s="65" t="n">
        <v>299</v>
      </c>
      <c r="B312" s="82" t="n">
        <v>298</v>
      </c>
      <c r="C312" s="82">
        <f>B312^2</f>
        <v/>
      </c>
      <c r="D312" s="66" t="n">
        <v>4593.09</v>
      </c>
      <c r="E312" s="66" t="n">
        <v>4608.89319</v>
      </c>
      <c r="F312" s="67">
        <f>D312-E312</f>
        <v/>
      </c>
      <c r="G312" s="66">
        <f>F312^2</f>
        <v/>
      </c>
      <c r="H312" s="65" t="inlineStr"/>
      <c r="I312" s="65" t="inlineStr"/>
    </row>
    <row r="313">
      <c r="A313" s="68" t="n">
        <v>300</v>
      </c>
      <c r="B313" s="83" t="n">
        <v>299</v>
      </c>
      <c r="C313" s="83">
        <f>B313^2</f>
        <v/>
      </c>
      <c r="D313" s="69" t="n">
        <v>4603.32</v>
      </c>
      <c r="E313" s="69" t="n">
        <v>4609.09563</v>
      </c>
      <c r="F313" s="70">
        <f>D313-E313</f>
        <v/>
      </c>
      <c r="G313" s="69">
        <f>F313^2</f>
        <v/>
      </c>
      <c r="H313" s="68" t="inlineStr"/>
      <c r="I313" s="68" t="inlineStr"/>
    </row>
    <row r="314">
      <c r="A314" s="65" t="n">
        <v>301</v>
      </c>
      <c r="B314" s="82" t="n">
        <v>300</v>
      </c>
      <c r="C314" s="82">
        <f>B314^2</f>
        <v/>
      </c>
      <c r="D314" s="66" t="n">
        <v>4605.77</v>
      </c>
      <c r="E314" s="66" t="n">
        <v>4609.29808</v>
      </c>
      <c r="F314" s="67">
        <f>D314-E314</f>
        <v/>
      </c>
      <c r="G314" s="66">
        <f>F314^2</f>
        <v/>
      </c>
      <c r="H314" s="65" t="inlineStr"/>
      <c r="I314" s="65" t="inlineStr"/>
    </row>
    <row r="315">
      <c r="A315" s="68" t="n">
        <v>302</v>
      </c>
      <c r="B315" s="83" t="n">
        <v>301</v>
      </c>
      <c r="C315" s="83">
        <f>B315^2</f>
        <v/>
      </c>
      <c r="D315" s="69" t="n">
        <v>4610.07</v>
      </c>
      <c r="E315" s="69" t="n">
        <v>4609.50053</v>
      </c>
      <c r="F315" s="70">
        <f>D315-E315</f>
        <v/>
      </c>
      <c r="G315" s="69">
        <f>F315^2</f>
        <v/>
      </c>
      <c r="H315" s="68" t="inlineStr"/>
      <c r="I315" s="68" t="inlineStr"/>
    </row>
    <row r="316">
      <c r="A316" s="65" t="n">
        <v>303</v>
      </c>
      <c r="B316" s="82" t="n">
        <v>302</v>
      </c>
      <c r="C316" s="82">
        <f>B316^2</f>
        <v/>
      </c>
      <c r="D316" s="66" t="n">
        <v>4610.27</v>
      </c>
      <c r="E316" s="66" t="n">
        <v>4609.70297</v>
      </c>
      <c r="F316" s="67">
        <f>D316-E316</f>
        <v/>
      </c>
      <c r="G316" s="66">
        <f>F316^2</f>
        <v/>
      </c>
      <c r="H316" s="65" t="inlineStr"/>
      <c r="I316" s="65" t="inlineStr"/>
    </row>
    <row r="317">
      <c r="A317" s="68" t="n">
        <v>304</v>
      </c>
      <c r="B317" s="83" t="n">
        <v>303</v>
      </c>
      <c r="C317" s="83">
        <f>B317^2</f>
        <v/>
      </c>
      <c r="D317" s="69" t="n">
        <v>4605.07</v>
      </c>
      <c r="E317" s="69" t="n">
        <v>4609.90542</v>
      </c>
      <c r="F317" s="70">
        <f>D317-E317</f>
        <v/>
      </c>
      <c r="G317" s="69">
        <f>F317^2</f>
        <v/>
      </c>
      <c r="H317" s="68" t="inlineStr"/>
      <c r="I317" s="68" t="inlineStr"/>
    </row>
    <row r="318">
      <c r="A318" s="65" t="n">
        <v>305</v>
      </c>
      <c r="B318" s="82" t="n">
        <v>304</v>
      </c>
      <c r="C318" s="82">
        <f>B318^2</f>
        <v/>
      </c>
      <c r="D318" s="66" t="n">
        <v>4615.09</v>
      </c>
      <c r="E318" s="66" t="n">
        <v>4610.10786</v>
      </c>
      <c r="F318" s="67">
        <f>D318-E318</f>
        <v/>
      </c>
      <c r="G318" s="66">
        <f>F318^2</f>
        <v/>
      </c>
      <c r="H318" s="65" t="inlineStr"/>
      <c r="I318" s="65" t="inlineStr"/>
    </row>
    <row r="319">
      <c r="A319" s="68" t="n">
        <v>306</v>
      </c>
      <c r="B319" s="83" t="n">
        <v>305</v>
      </c>
      <c r="C319" s="83">
        <f>B319^2</f>
        <v/>
      </c>
      <c r="D319" s="69" t="n">
        <v>4611.19</v>
      </c>
      <c r="E319" s="69" t="n">
        <v>4610.31031</v>
      </c>
      <c r="F319" s="70">
        <f>D319-E319</f>
        <v/>
      </c>
      <c r="G319" s="69">
        <f>F319^2</f>
        <v/>
      </c>
      <c r="H319" s="68" t="inlineStr"/>
      <c r="I319" s="68" t="inlineStr"/>
    </row>
    <row r="320">
      <c r="A320" s="65" t="n">
        <v>307</v>
      </c>
      <c r="B320" s="82" t="n">
        <v>306</v>
      </c>
      <c r="C320" s="82">
        <f>B320^2</f>
        <v/>
      </c>
      <c r="D320" s="66" t="n">
        <v>4608.12</v>
      </c>
      <c r="E320" s="66" t="n">
        <v>4610.51275</v>
      </c>
      <c r="F320" s="67">
        <f>D320-E320</f>
        <v/>
      </c>
      <c r="G320" s="66">
        <f>F320^2</f>
        <v/>
      </c>
      <c r="H320" s="65" t="inlineStr"/>
      <c r="I320" s="65" t="inlineStr"/>
    </row>
    <row r="321">
      <c r="A321" s="68" t="n">
        <v>308</v>
      </c>
      <c r="B321" s="83" t="n">
        <v>307</v>
      </c>
      <c r="C321" s="83">
        <f>B321^2</f>
        <v/>
      </c>
      <c r="D321" s="69" t="n">
        <v>4609.32</v>
      </c>
      <c r="E321" s="69" t="n">
        <v>4610.7152</v>
      </c>
      <c r="F321" s="70">
        <f>D321-E321</f>
        <v/>
      </c>
      <c r="G321" s="69">
        <f>F321^2</f>
        <v/>
      </c>
      <c r="H321" s="68" t="inlineStr"/>
      <c r="I321" s="68" t="inlineStr"/>
    </row>
    <row r="322">
      <c r="A322" s="65" t="n">
        <v>309</v>
      </c>
      <c r="B322" s="82" t="n">
        <v>308</v>
      </c>
      <c r="C322" s="82">
        <f>B322^2</f>
        <v/>
      </c>
      <c r="D322" s="66" t="n">
        <v>4606</v>
      </c>
      <c r="E322" s="66" t="n">
        <v>4610.91765</v>
      </c>
      <c r="F322" s="67">
        <f>D322-E322</f>
        <v/>
      </c>
      <c r="G322" s="66">
        <f>F322^2</f>
        <v/>
      </c>
      <c r="H322" s="65" t="inlineStr"/>
      <c r="I322" s="65" t="inlineStr"/>
    </row>
    <row r="323">
      <c r="A323" s="68" t="n">
        <v>310</v>
      </c>
      <c r="B323" s="83" t="n">
        <v>309</v>
      </c>
      <c r="C323" s="83">
        <f>B323^2</f>
        <v/>
      </c>
      <c r="D323" s="69" t="n">
        <v>4603.74</v>
      </c>
      <c r="E323" s="69" t="n">
        <v>4611.12009</v>
      </c>
      <c r="F323" s="70">
        <f>D323-E323</f>
        <v/>
      </c>
      <c r="G323" s="69">
        <f>F323^2</f>
        <v/>
      </c>
      <c r="H323" s="68" t="inlineStr"/>
      <c r="I323" s="68" t="inlineStr"/>
    </row>
    <row r="324">
      <c r="A324" s="65" t="n">
        <v>311</v>
      </c>
      <c r="B324" s="82" t="n">
        <v>310</v>
      </c>
      <c r="C324" s="82">
        <f>B324^2</f>
        <v/>
      </c>
      <c r="D324" s="66" t="n">
        <v>4596.32</v>
      </c>
      <c r="E324" s="66" t="n">
        <v>4611.32254</v>
      </c>
      <c r="F324" s="67">
        <f>D324-E324</f>
        <v/>
      </c>
      <c r="G324" s="66">
        <f>F324^2</f>
        <v/>
      </c>
      <c r="H324" s="65" t="inlineStr"/>
      <c r="I324" s="65" t="inlineStr"/>
    </row>
    <row r="325">
      <c r="A325" s="68" t="n">
        <v>312</v>
      </c>
      <c r="B325" s="83" t="n">
        <v>311</v>
      </c>
      <c r="C325" s="83">
        <f>B325^2</f>
        <v/>
      </c>
      <c r="D325" s="69" t="n">
        <v>4598.85</v>
      </c>
      <c r="E325" s="69" t="n">
        <v>4611.52498</v>
      </c>
      <c r="F325" s="70">
        <f>D325-E325</f>
        <v/>
      </c>
      <c r="G325" s="69">
        <f>F325^2</f>
        <v/>
      </c>
      <c r="H325" s="68" t="inlineStr"/>
      <c r="I325" s="68" t="inlineStr"/>
    </row>
    <row r="326">
      <c r="A326" s="65" t="n">
        <v>313</v>
      </c>
      <c r="B326" s="82" t="n">
        <v>312</v>
      </c>
      <c r="C326" s="82">
        <f>B326^2</f>
        <v/>
      </c>
      <c r="D326" s="66" t="n">
        <v>4599.12</v>
      </c>
      <c r="E326" s="66" t="n">
        <v>4611.72743</v>
      </c>
      <c r="F326" s="67">
        <f>D326-E326</f>
        <v/>
      </c>
      <c r="G326" s="66">
        <f>F326^2</f>
        <v/>
      </c>
      <c r="H326" s="65" t="inlineStr"/>
      <c r="I326" s="65" t="inlineStr"/>
    </row>
    <row r="327">
      <c r="A327" s="68" t="n">
        <v>314</v>
      </c>
      <c r="B327" s="83" t="n">
        <v>313</v>
      </c>
      <c r="C327" s="83">
        <f>B327^2</f>
        <v/>
      </c>
      <c r="D327" s="69" t="n">
        <v>4597.44</v>
      </c>
      <c r="E327" s="69" t="n">
        <v>4611.92987</v>
      </c>
      <c r="F327" s="70">
        <f>D327-E327</f>
        <v/>
      </c>
      <c r="G327" s="69">
        <f>F327^2</f>
        <v/>
      </c>
      <c r="H327" s="68" t="inlineStr"/>
      <c r="I327" s="68" t="inlineStr"/>
    </row>
    <row r="328">
      <c r="A328" s="65" t="n">
        <v>315</v>
      </c>
      <c r="B328" s="82" t="n">
        <v>314</v>
      </c>
      <c r="C328" s="82">
        <f>B328^2</f>
        <v/>
      </c>
      <c r="D328" s="66" t="n">
        <v>4594.08</v>
      </c>
      <c r="E328" s="66" t="n">
        <v>4612.13232</v>
      </c>
      <c r="F328" s="67">
        <f>D328-E328</f>
        <v/>
      </c>
      <c r="G328" s="66">
        <f>F328^2</f>
        <v/>
      </c>
      <c r="H328" s="65" t="inlineStr"/>
      <c r="I328" s="65" t="inlineStr"/>
    </row>
    <row r="329">
      <c r="A329" s="68" t="n">
        <v>316</v>
      </c>
      <c r="B329" s="83" t="n">
        <v>315</v>
      </c>
      <c r="C329" s="83">
        <f>B329^2</f>
        <v/>
      </c>
      <c r="D329" s="69" t="n">
        <v>4585.46</v>
      </c>
      <c r="E329" s="69" t="n">
        <v>4612.33477</v>
      </c>
      <c r="F329" s="70">
        <f>D329-E329</f>
        <v/>
      </c>
      <c r="G329" s="69">
        <f>F329^2</f>
        <v/>
      </c>
      <c r="H329" s="68" t="inlineStr"/>
      <c r="I329" s="68" t="inlineStr"/>
    </row>
    <row r="330">
      <c r="A330" s="65" t="n">
        <v>317</v>
      </c>
      <c r="B330" s="82" t="n">
        <v>316</v>
      </c>
      <c r="C330" s="82">
        <f>B330^2</f>
        <v/>
      </c>
      <c r="D330" s="66" t="n">
        <v>4588.54</v>
      </c>
      <c r="E330" s="66" t="n">
        <v>4612.53721</v>
      </c>
      <c r="F330" s="67">
        <f>D330-E330</f>
        <v/>
      </c>
      <c r="G330" s="66">
        <f>F330^2</f>
        <v/>
      </c>
      <c r="H330" s="65" t="inlineStr"/>
      <c r="I330" s="65" t="inlineStr"/>
    </row>
    <row r="331">
      <c r="A331" s="68" t="n">
        <v>318</v>
      </c>
      <c r="B331" s="83" t="n">
        <v>317</v>
      </c>
      <c r="C331" s="83">
        <f>B331^2</f>
        <v/>
      </c>
      <c r="D331" s="69" t="n">
        <v>4592.16</v>
      </c>
      <c r="E331" s="69" t="n">
        <v>4612.73966</v>
      </c>
      <c r="F331" s="70">
        <f>D331-E331</f>
        <v/>
      </c>
      <c r="G331" s="69">
        <f>F331^2</f>
        <v/>
      </c>
      <c r="H331" s="68" t="inlineStr"/>
      <c r="I331" s="68" t="inlineStr"/>
    </row>
    <row r="332">
      <c r="A332" s="65" t="n">
        <v>319</v>
      </c>
      <c r="B332" s="82" t="n">
        <v>318</v>
      </c>
      <c r="C332" s="82">
        <f>B332^2</f>
        <v/>
      </c>
      <c r="D332" s="66" t="n">
        <v>4585.82</v>
      </c>
      <c r="E332" s="66" t="n">
        <v>4612.9421</v>
      </c>
      <c r="F332" s="67">
        <f>D332-E332</f>
        <v/>
      </c>
      <c r="G332" s="66">
        <f>F332^2</f>
        <v/>
      </c>
      <c r="H332" s="65" t="inlineStr"/>
      <c r="I332" s="65" t="inlineStr"/>
    </row>
    <row r="333">
      <c r="A333" s="68" t="n">
        <v>320</v>
      </c>
      <c r="B333" s="83" t="n">
        <v>319</v>
      </c>
      <c r="C333" s="83">
        <f>B333^2</f>
        <v/>
      </c>
      <c r="D333" s="69" t="n">
        <v>4587.99</v>
      </c>
      <c r="E333" s="69" t="n">
        <v>4613.14455</v>
      </c>
      <c r="F333" s="70">
        <f>D333-E333</f>
        <v/>
      </c>
      <c r="G333" s="69">
        <f>F333^2</f>
        <v/>
      </c>
      <c r="H333" s="68" t="inlineStr"/>
      <c r="I333" s="68" t="inlineStr"/>
    </row>
    <row r="334">
      <c r="A334" s="65" t="n">
        <v>321</v>
      </c>
      <c r="B334" s="82" t="n">
        <v>320</v>
      </c>
      <c r="C334" s="82">
        <f>B334^2</f>
        <v/>
      </c>
      <c r="D334" s="66" t="n">
        <v>4579.06</v>
      </c>
      <c r="E334" s="66" t="n">
        <v>4613.34699</v>
      </c>
      <c r="F334" s="67">
        <f>D334-E334</f>
        <v/>
      </c>
      <c r="G334" s="66">
        <f>F334^2</f>
        <v/>
      </c>
      <c r="H334" s="65" t="inlineStr"/>
      <c r="I334" s="65" t="inlineStr"/>
    </row>
    <row r="335">
      <c r="A335" s="68" t="n">
        <v>322</v>
      </c>
      <c r="B335" s="83" t="n">
        <v>321</v>
      </c>
      <c r="C335" s="83">
        <f>B335^2</f>
        <v/>
      </c>
      <c r="D335" s="69" t="n">
        <v>4580.25</v>
      </c>
      <c r="E335" s="69" t="n">
        <v>4613.54944</v>
      </c>
      <c r="F335" s="70">
        <f>D335-E335</f>
        <v/>
      </c>
      <c r="G335" s="69">
        <f>F335^2</f>
        <v/>
      </c>
      <c r="H335" s="68" t="inlineStr"/>
      <c r="I335" s="68" t="inlineStr"/>
    </row>
    <row r="336">
      <c r="A336" s="65" t="n">
        <v>323</v>
      </c>
      <c r="B336" s="82" t="n">
        <v>322</v>
      </c>
      <c r="C336" s="82">
        <f>B336^2</f>
        <v/>
      </c>
      <c r="D336" s="66" t="n">
        <v>4575.07</v>
      </c>
      <c r="E336" s="66" t="n">
        <v>4613.75189</v>
      </c>
      <c r="F336" s="67">
        <f>D336-E336</f>
        <v/>
      </c>
      <c r="G336" s="66">
        <f>F336^2</f>
        <v/>
      </c>
      <c r="H336" s="65" t="inlineStr"/>
      <c r="I336" s="65" t="inlineStr"/>
    </row>
    <row r="337">
      <c r="A337" s="68" t="n">
        <v>324</v>
      </c>
      <c r="B337" s="83" t="n">
        <v>323</v>
      </c>
      <c r="C337" s="83">
        <f>B337^2</f>
        <v/>
      </c>
      <c r="D337" s="69" t="n">
        <v>4578.09</v>
      </c>
      <c r="E337" s="69" t="n">
        <v>4613.95433</v>
      </c>
      <c r="F337" s="70">
        <f>D337-E337</f>
        <v/>
      </c>
      <c r="G337" s="69">
        <f>F337^2</f>
        <v/>
      </c>
      <c r="H337" s="68" t="inlineStr"/>
      <c r="I337" s="68" t="inlineStr"/>
    </row>
    <row r="338">
      <c r="A338" s="65" t="n">
        <v>325</v>
      </c>
      <c r="B338" s="82" t="n">
        <v>324</v>
      </c>
      <c r="C338" s="82">
        <f>B338^2</f>
        <v/>
      </c>
      <c r="D338" s="66" t="n">
        <v>4577.11</v>
      </c>
      <c r="E338" s="66" t="n">
        <v>4614.15678</v>
      </c>
      <c r="F338" s="67">
        <f>D338-E338</f>
        <v/>
      </c>
      <c r="G338" s="66">
        <f>F338^2</f>
        <v/>
      </c>
      <c r="H338" s="65" t="inlineStr"/>
      <c r="I338" s="65" t="inlineStr"/>
    </row>
    <row r="339">
      <c r="A339" s="68" t="n">
        <v>326</v>
      </c>
      <c r="B339" s="83" t="n">
        <v>325</v>
      </c>
      <c r="C339" s="83">
        <f>B339^2</f>
        <v/>
      </c>
      <c r="D339" s="69" t="n">
        <v>4584.21</v>
      </c>
      <c r="E339" s="69" t="n">
        <v>4614.35922</v>
      </c>
      <c r="F339" s="70">
        <f>D339-E339</f>
        <v/>
      </c>
      <c r="G339" s="69">
        <f>F339^2</f>
        <v/>
      </c>
      <c r="H339" s="68" t="inlineStr"/>
      <c r="I339" s="68" t="inlineStr"/>
    </row>
    <row r="340">
      <c r="A340" s="65" t="n">
        <v>327</v>
      </c>
      <c r="B340" s="82" t="n">
        <v>326</v>
      </c>
      <c r="C340" s="82">
        <f>B340^2</f>
        <v/>
      </c>
      <c r="D340" s="66" t="n">
        <v>4581.15</v>
      </c>
      <c r="E340" s="66" t="n">
        <v>4614.56167</v>
      </c>
      <c r="F340" s="67">
        <f>D340-E340</f>
        <v/>
      </c>
      <c r="G340" s="66">
        <f>F340^2</f>
        <v/>
      </c>
      <c r="H340" s="65" t="inlineStr"/>
      <c r="I340" s="65" t="inlineStr"/>
    </row>
    <row r="341">
      <c r="A341" s="68" t="n">
        <v>328</v>
      </c>
      <c r="B341" s="83" t="n">
        <v>327</v>
      </c>
      <c r="C341" s="83">
        <f>B341^2</f>
        <v/>
      </c>
      <c r="D341" s="69" t="n">
        <v>4581.26</v>
      </c>
      <c r="E341" s="69" t="n">
        <v>4614.76411</v>
      </c>
      <c r="F341" s="70">
        <f>D341-E341</f>
        <v/>
      </c>
      <c r="G341" s="69">
        <f>F341^2</f>
        <v/>
      </c>
      <c r="H341" s="68" t="inlineStr"/>
      <c r="I341" s="68" t="inlineStr"/>
    </row>
    <row r="342">
      <c r="A342" s="65" t="n">
        <v>329</v>
      </c>
      <c r="B342" s="82" t="n">
        <v>328</v>
      </c>
      <c r="C342" s="82">
        <f>B342^2</f>
        <v/>
      </c>
      <c r="D342" s="66" t="n">
        <v>4575.47</v>
      </c>
      <c r="E342" s="66" t="n">
        <v>4614.96656</v>
      </c>
      <c r="F342" s="67">
        <f>D342-E342</f>
        <v/>
      </c>
      <c r="G342" s="66">
        <f>F342^2</f>
        <v/>
      </c>
      <c r="H342" s="65" t="inlineStr"/>
      <c r="I342" s="65" t="inlineStr"/>
    </row>
    <row r="343">
      <c r="A343" s="68" t="n">
        <v>330</v>
      </c>
      <c r="B343" s="83" t="n">
        <v>329</v>
      </c>
      <c r="C343" s="83">
        <f>B343^2</f>
        <v/>
      </c>
      <c r="D343" s="69" t="n">
        <v>4541.79</v>
      </c>
      <c r="E343" s="69" t="n">
        <v>4615.169</v>
      </c>
      <c r="F343" s="70">
        <f>D343-E343</f>
        <v/>
      </c>
      <c r="G343" s="69">
        <f>F343^2</f>
        <v/>
      </c>
      <c r="H343" s="68" t="inlineStr"/>
      <c r="I343" s="68" t="inlineStr"/>
    </row>
    <row r="344">
      <c r="A344" s="65" t="n">
        <v>331</v>
      </c>
      <c r="B344" s="82" t="n">
        <v>330</v>
      </c>
      <c r="C344" s="82">
        <f>B344^2</f>
        <v/>
      </c>
      <c r="D344" s="66" t="n">
        <v>4545</v>
      </c>
      <c r="E344" s="66" t="n">
        <v>4615.37145</v>
      </c>
      <c r="F344" s="67">
        <f>D344-E344</f>
        <v/>
      </c>
      <c r="G344" s="66">
        <f>F344^2</f>
        <v/>
      </c>
      <c r="H344" s="65" t="inlineStr"/>
      <c r="I344" s="65" t="inlineStr"/>
    </row>
    <row r="345">
      <c r="A345" s="68" t="n">
        <v>332</v>
      </c>
      <c r="B345" s="83" t="n">
        <v>331</v>
      </c>
      <c r="C345" s="83">
        <f>B345^2</f>
        <v/>
      </c>
      <c r="D345" s="69" t="n">
        <v>4558.64</v>
      </c>
      <c r="E345" s="69" t="n">
        <v>4615.5739</v>
      </c>
      <c r="F345" s="70">
        <f>D345-E345</f>
        <v/>
      </c>
      <c r="G345" s="69">
        <f>F345^2</f>
        <v/>
      </c>
      <c r="H345" s="68" t="inlineStr"/>
      <c r="I345" s="68" t="inlineStr"/>
    </row>
    <row r="346">
      <c r="A346" s="65" t="n">
        <v>333</v>
      </c>
      <c r="B346" s="82" t="n">
        <v>332</v>
      </c>
      <c r="C346" s="82">
        <f>B346^2</f>
        <v/>
      </c>
      <c r="D346" s="66" t="n">
        <v>4562.67</v>
      </c>
      <c r="E346" s="66" t="n">
        <v>4615.77634</v>
      </c>
      <c r="F346" s="67">
        <f>D346-E346</f>
        <v/>
      </c>
      <c r="G346" s="66">
        <f>F346^2</f>
        <v/>
      </c>
      <c r="H346" s="65" t="inlineStr"/>
      <c r="I346" s="65" t="inlineStr"/>
    </row>
    <row r="347">
      <c r="A347" s="68" t="n">
        <v>334</v>
      </c>
      <c r="B347" s="83" t="n">
        <v>333</v>
      </c>
      <c r="C347" s="83">
        <f>B347^2</f>
        <v/>
      </c>
      <c r="D347" s="69" t="n">
        <v>4565.34</v>
      </c>
      <c r="E347" s="69" t="n">
        <v>4615.97879</v>
      </c>
      <c r="F347" s="70">
        <f>D347-E347</f>
        <v/>
      </c>
      <c r="G347" s="69">
        <f>F347^2</f>
        <v/>
      </c>
      <c r="H347" s="68" t="inlineStr"/>
      <c r="I347" s="68" t="inlineStr"/>
    </row>
    <row r="348">
      <c r="A348" s="65" t="n">
        <v>335</v>
      </c>
      <c r="B348" s="82" t="n">
        <v>334</v>
      </c>
      <c r="C348" s="82">
        <f>B348^2</f>
        <v/>
      </c>
      <c r="D348" s="66" t="n">
        <v>4562.26</v>
      </c>
      <c r="E348" s="66" t="n">
        <v>4616.18123</v>
      </c>
      <c r="F348" s="67">
        <f>D348-E348</f>
        <v/>
      </c>
      <c r="G348" s="66">
        <f>F348^2</f>
        <v/>
      </c>
      <c r="H348" s="65" t="inlineStr"/>
      <c r="I348" s="65" t="inlineStr"/>
    </row>
    <row r="349">
      <c r="A349" s="68" t="n">
        <v>336</v>
      </c>
      <c r="B349" s="83" t="n">
        <v>335</v>
      </c>
      <c r="C349" s="83">
        <f>B349^2</f>
        <v/>
      </c>
      <c r="D349" s="69" t="n">
        <v>4553.65</v>
      </c>
      <c r="E349" s="69" t="n">
        <v>4616.38368</v>
      </c>
      <c r="F349" s="70">
        <f>D349-E349</f>
        <v/>
      </c>
      <c r="G349" s="69">
        <f>F349^2</f>
        <v/>
      </c>
      <c r="H349" s="68" t="inlineStr"/>
      <c r="I349" s="68" t="inlineStr"/>
    </row>
    <row r="350">
      <c r="A350" s="65" t="n">
        <v>337</v>
      </c>
      <c r="B350" s="82" t="n">
        <v>336</v>
      </c>
      <c r="C350" s="82">
        <f>B350^2</f>
        <v/>
      </c>
      <c r="D350" s="66" t="n">
        <v>4559.94</v>
      </c>
      <c r="E350" s="66" t="n">
        <v>4616.58612</v>
      </c>
      <c r="F350" s="67">
        <f>D350-E350</f>
        <v/>
      </c>
      <c r="G350" s="66">
        <f>F350^2</f>
        <v/>
      </c>
      <c r="H350" s="65" t="inlineStr"/>
      <c r="I350" s="65" t="inlineStr"/>
    </row>
    <row r="351">
      <c r="A351" s="68" t="n">
        <v>338</v>
      </c>
      <c r="B351" s="83" t="n">
        <v>337</v>
      </c>
      <c r="C351" s="83">
        <f>B351^2</f>
        <v/>
      </c>
      <c r="D351" s="69" t="n">
        <v>4563.67</v>
      </c>
      <c r="E351" s="69" t="n">
        <v>4616.78857</v>
      </c>
      <c r="F351" s="70">
        <f>D351-E351</f>
        <v/>
      </c>
      <c r="G351" s="69">
        <f>F351^2</f>
        <v/>
      </c>
      <c r="H351" s="68" t="inlineStr"/>
      <c r="I351" s="68" t="inlineStr"/>
    </row>
    <row r="352">
      <c r="A352" s="65" t="n">
        <v>339</v>
      </c>
      <c r="B352" s="82" t="n">
        <v>338</v>
      </c>
      <c r="C352" s="82">
        <f>B352^2</f>
        <v/>
      </c>
      <c r="D352" s="66" t="n">
        <v>4568.68</v>
      </c>
      <c r="E352" s="66" t="n">
        <v>4616.99102</v>
      </c>
      <c r="F352" s="67">
        <f>D352-E352</f>
        <v/>
      </c>
      <c r="G352" s="66">
        <f>F352^2</f>
        <v/>
      </c>
      <c r="H352" s="65" t="inlineStr"/>
      <c r="I352" s="65" t="inlineStr"/>
    </row>
    <row r="353">
      <c r="A353" s="68" t="n">
        <v>340</v>
      </c>
      <c r="B353" s="83" t="n">
        <v>339</v>
      </c>
      <c r="C353" s="83">
        <f>B353^2</f>
        <v/>
      </c>
      <c r="D353" s="69" t="n">
        <v>4570.1</v>
      </c>
      <c r="E353" s="69" t="n">
        <v>4617.19346</v>
      </c>
      <c r="F353" s="70">
        <f>D353-E353</f>
        <v/>
      </c>
      <c r="G353" s="69">
        <f>F353^2</f>
        <v/>
      </c>
      <c r="H353" s="68" t="inlineStr"/>
      <c r="I353" s="68" t="inlineStr"/>
    </row>
    <row r="354">
      <c r="A354" s="65" t="n">
        <v>341</v>
      </c>
      <c r="B354" s="82" t="n">
        <v>340</v>
      </c>
      <c r="C354" s="82">
        <f>B354^2</f>
        <v/>
      </c>
      <c r="D354" s="66" t="n">
        <v>4568.79</v>
      </c>
      <c r="E354" s="66" t="n">
        <v>4617.39591</v>
      </c>
      <c r="F354" s="67">
        <f>D354-E354</f>
        <v/>
      </c>
      <c r="G354" s="66">
        <f>F354^2</f>
        <v/>
      </c>
      <c r="H354" s="65" t="inlineStr"/>
      <c r="I354" s="65" t="inlineStr"/>
    </row>
    <row r="355">
      <c r="A355" s="68" t="n">
        <v>342</v>
      </c>
      <c r="B355" s="83" t="n">
        <v>341</v>
      </c>
      <c r="C355" s="83">
        <f>B355^2</f>
        <v/>
      </c>
      <c r="D355" s="69" t="n">
        <v>4565.98</v>
      </c>
      <c r="E355" s="69" t="n">
        <v>4617.59835</v>
      </c>
      <c r="F355" s="70">
        <f>D355-E355</f>
        <v/>
      </c>
      <c r="G355" s="69">
        <f>F355^2</f>
        <v/>
      </c>
      <c r="H355" s="68" t="inlineStr"/>
      <c r="I355" s="68" t="inlineStr"/>
    </row>
    <row r="356">
      <c r="A356" s="65" t="n">
        <v>343</v>
      </c>
      <c r="B356" s="82" t="n">
        <v>342</v>
      </c>
      <c r="C356" s="82">
        <f>B356^2</f>
        <v/>
      </c>
      <c r="D356" s="66" t="n">
        <v>4561.09</v>
      </c>
      <c r="E356" s="66" t="n">
        <v>4617.8008</v>
      </c>
      <c r="F356" s="67">
        <f>D356-E356</f>
        <v/>
      </c>
      <c r="G356" s="66">
        <f>F356^2</f>
        <v/>
      </c>
      <c r="H356" s="65" t="inlineStr"/>
      <c r="I356" s="65" t="inlineStr"/>
    </row>
    <row r="357">
      <c r="A357" s="68" t="n">
        <v>344</v>
      </c>
      <c r="B357" s="83" t="n">
        <v>343</v>
      </c>
      <c r="C357" s="83">
        <f>B357^2</f>
        <v/>
      </c>
      <c r="D357" s="69" t="n">
        <v>4565.51</v>
      </c>
      <c r="E357" s="69" t="n">
        <v>4618.00324</v>
      </c>
      <c r="F357" s="70">
        <f>D357-E357</f>
        <v/>
      </c>
      <c r="G357" s="69">
        <f>F357^2</f>
        <v/>
      </c>
      <c r="H357" s="68" t="inlineStr"/>
      <c r="I357" s="68" t="inlineStr"/>
    </row>
    <row r="358">
      <c r="A358" s="65" t="n">
        <v>345</v>
      </c>
      <c r="B358" s="82" t="n">
        <v>344</v>
      </c>
      <c r="C358" s="82">
        <f>B358^2</f>
        <v/>
      </c>
      <c r="D358" s="66" t="n">
        <v>4563.85</v>
      </c>
      <c r="E358" s="66" t="n">
        <v>4618.20569</v>
      </c>
      <c r="F358" s="67">
        <f>D358-E358</f>
        <v/>
      </c>
      <c r="G358" s="66">
        <f>F358^2</f>
        <v/>
      </c>
      <c r="H358" s="65" t="inlineStr"/>
      <c r="I358" s="65" t="inlineStr"/>
    </row>
    <row r="359">
      <c r="A359" s="68" t="n">
        <v>346</v>
      </c>
      <c r="B359" s="83" t="n">
        <v>345</v>
      </c>
      <c r="C359" s="83">
        <f>B359^2</f>
        <v/>
      </c>
      <c r="D359" s="69" t="n">
        <v>4560.18</v>
      </c>
      <c r="E359" s="69" t="n">
        <v>4618.40814</v>
      </c>
      <c r="F359" s="70">
        <f>D359-E359</f>
        <v/>
      </c>
      <c r="G359" s="69">
        <f>F359^2</f>
        <v/>
      </c>
      <c r="H359" s="68" t="inlineStr"/>
      <c r="I359" s="68" t="inlineStr"/>
    </row>
    <row r="360">
      <c r="A360" s="65" t="n">
        <v>347</v>
      </c>
      <c r="B360" s="82" t="n">
        <v>346</v>
      </c>
      <c r="C360" s="82">
        <f>B360^2</f>
        <v/>
      </c>
      <c r="D360" s="66" t="n">
        <v>4571.2</v>
      </c>
      <c r="E360" s="66" t="n">
        <v>4618.61058</v>
      </c>
      <c r="F360" s="67">
        <f>D360-E360</f>
        <v/>
      </c>
      <c r="G360" s="66">
        <f>F360^2</f>
        <v/>
      </c>
      <c r="H360" s="65" t="inlineStr"/>
      <c r="I360" s="65" t="inlineStr"/>
    </row>
    <row r="361">
      <c r="A361" s="68" t="n">
        <v>348</v>
      </c>
      <c r="B361" s="83" t="n">
        <v>347</v>
      </c>
      <c r="C361" s="83">
        <f>B361^2</f>
        <v/>
      </c>
      <c r="D361" s="69" t="n">
        <v>4574.38</v>
      </c>
      <c r="E361" s="69" t="n">
        <v>4618.81303</v>
      </c>
      <c r="F361" s="70">
        <f>D361-E361</f>
        <v/>
      </c>
      <c r="G361" s="69">
        <f>F361^2</f>
        <v/>
      </c>
      <c r="H361" s="68" t="inlineStr"/>
      <c r="I361" s="68" t="inlineStr"/>
    </row>
    <row r="362">
      <c r="A362" s="65" t="n">
        <v>349</v>
      </c>
      <c r="B362" s="82" t="n">
        <v>348</v>
      </c>
      <c r="C362" s="82">
        <f>B362^2</f>
        <v/>
      </c>
      <c r="D362" s="66" t="n">
        <v>4561.26</v>
      </c>
      <c r="E362" s="66" t="n">
        <v>4619.01547</v>
      </c>
      <c r="F362" s="67">
        <f>D362-E362</f>
        <v/>
      </c>
      <c r="G362" s="66">
        <f>F362^2</f>
        <v/>
      </c>
      <c r="H362" s="65" t="inlineStr"/>
      <c r="I362" s="65" t="inlineStr"/>
    </row>
    <row r="363">
      <c r="A363" s="68" t="n">
        <v>350</v>
      </c>
      <c r="B363" s="83" t="n">
        <v>349</v>
      </c>
      <c r="C363" s="83">
        <f>B363^2</f>
        <v/>
      </c>
      <c r="D363" s="69" t="n">
        <v>4548.46</v>
      </c>
      <c r="E363" s="69" t="n">
        <v>4619.21792</v>
      </c>
      <c r="F363" s="70">
        <f>D363-E363</f>
        <v/>
      </c>
      <c r="G363" s="69">
        <f>F363^2</f>
        <v/>
      </c>
      <c r="H363" s="68" t="inlineStr"/>
      <c r="I363" s="68" t="inlineStr"/>
    </row>
    <row r="364">
      <c r="A364" s="65" t="n">
        <v>351</v>
      </c>
      <c r="B364" s="82" t="n">
        <v>350</v>
      </c>
      <c r="C364" s="82">
        <f>B364^2</f>
        <v/>
      </c>
      <c r="D364" s="66" t="n">
        <v>4537.95</v>
      </c>
      <c r="E364" s="66" t="n">
        <v>4619.42036</v>
      </c>
      <c r="F364" s="67">
        <f>D364-E364</f>
        <v/>
      </c>
      <c r="G364" s="66">
        <f>F364^2</f>
        <v/>
      </c>
      <c r="H364" s="65" t="inlineStr"/>
      <c r="I364" s="65" t="inlineStr"/>
    </row>
    <row r="365">
      <c r="A365" s="68" t="n">
        <v>352</v>
      </c>
      <c r="B365" s="83" t="n">
        <v>351</v>
      </c>
      <c r="C365" s="83">
        <f>B365^2</f>
        <v/>
      </c>
      <c r="D365" s="69" t="n">
        <v>4535.1</v>
      </c>
      <c r="E365" s="69" t="n">
        <v>4619.62281</v>
      </c>
      <c r="F365" s="70">
        <f>D365-E365</f>
        <v/>
      </c>
      <c r="G365" s="69">
        <f>F365^2</f>
        <v/>
      </c>
      <c r="H365" s="68" t="inlineStr"/>
      <c r="I365" s="68" t="inlineStr"/>
    </row>
    <row r="366">
      <c r="A366" s="65" t="n">
        <v>353</v>
      </c>
      <c r="B366" s="82" t="n">
        <v>352</v>
      </c>
      <c r="C366" s="82">
        <f>B366^2</f>
        <v/>
      </c>
      <c r="D366" s="66" t="n">
        <v>4521.33</v>
      </c>
      <c r="E366" s="66" t="n">
        <v>4619.82526</v>
      </c>
      <c r="F366" s="67">
        <f>D366-E366</f>
        <v/>
      </c>
      <c r="G366" s="66">
        <f>F366^2</f>
        <v/>
      </c>
      <c r="H366" s="65" t="inlineStr"/>
      <c r="I366" s="65" t="inlineStr"/>
    </row>
    <row r="367">
      <c r="A367" s="68" t="n">
        <v>354</v>
      </c>
      <c r="B367" s="83" t="n">
        <v>353</v>
      </c>
      <c r="C367" s="83">
        <f>B367^2</f>
        <v/>
      </c>
      <c r="D367" s="69" t="n">
        <v>4509.88</v>
      </c>
      <c r="E367" s="69" t="n">
        <v>4620.0277</v>
      </c>
      <c r="F367" s="70">
        <f>D367-E367</f>
        <v/>
      </c>
      <c r="G367" s="69">
        <f>F367^2</f>
        <v/>
      </c>
      <c r="H367" s="68" t="inlineStr"/>
      <c r="I367" s="68" t="inlineStr"/>
    </row>
    <row r="368">
      <c r="A368" s="65" t="n">
        <v>355</v>
      </c>
      <c r="B368" s="82" t="n">
        <v>354</v>
      </c>
      <c r="C368" s="82">
        <f>B368^2</f>
        <v/>
      </c>
      <c r="D368" s="66" t="n">
        <v>4515.03</v>
      </c>
      <c r="E368" s="66" t="n">
        <v>4620.23015</v>
      </c>
      <c r="F368" s="67">
        <f>D368-E368</f>
        <v/>
      </c>
      <c r="G368" s="66">
        <f>F368^2</f>
        <v/>
      </c>
      <c r="H368" s="65" t="inlineStr"/>
      <c r="I368" s="65" t="inlineStr"/>
    </row>
    <row r="369">
      <c r="A369" s="68" t="n">
        <v>356</v>
      </c>
      <c r="B369" s="83" t="n">
        <v>355</v>
      </c>
      <c r="C369" s="83">
        <f>B369^2</f>
        <v/>
      </c>
      <c r="D369" s="69" t="n">
        <v>4512.59</v>
      </c>
      <c r="E369" s="69" t="n">
        <v>4620.43259</v>
      </c>
      <c r="F369" s="70">
        <f>D369-E369</f>
        <v/>
      </c>
      <c r="G369" s="69">
        <f>F369^2</f>
        <v/>
      </c>
      <c r="H369" s="68" t="inlineStr"/>
      <c r="I369" s="68" t="inlineStr"/>
    </row>
    <row r="370">
      <c r="A370" s="65" t="n">
        <v>357</v>
      </c>
      <c r="B370" s="82" t="n">
        <v>356</v>
      </c>
      <c r="C370" s="82">
        <f>B370^2</f>
        <v/>
      </c>
      <c r="D370" s="66" t="n">
        <v>4510.69</v>
      </c>
      <c r="E370" s="66" t="n">
        <v>4620.63504</v>
      </c>
      <c r="F370" s="67">
        <f>D370-E370</f>
        <v/>
      </c>
      <c r="G370" s="66">
        <f>F370^2</f>
        <v/>
      </c>
      <c r="H370" s="65" t="inlineStr"/>
      <c r="I370" s="65" t="inlineStr"/>
    </row>
    <row r="371">
      <c r="A371" s="68" t="n">
        <v>358</v>
      </c>
      <c r="B371" s="83" t="n">
        <v>357</v>
      </c>
      <c r="C371" s="83">
        <f>B371^2</f>
        <v/>
      </c>
      <c r="D371" s="69" t="n">
        <v>4522.39</v>
      </c>
      <c r="E371" s="69" t="n">
        <v>4620.83748</v>
      </c>
      <c r="F371" s="70">
        <f>D371-E371</f>
        <v/>
      </c>
      <c r="G371" s="69">
        <f>F371^2</f>
        <v/>
      </c>
      <c r="H371" s="68" t="inlineStr"/>
      <c r="I371" s="68" t="inlineStr"/>
    </row>
    <row r="372">
      <c r="A372" s="65" t="n">
        <v>359</v>
      </c>
      <c r="B372" s="82" t="n">
        <v>358</v>
      </c>
      <c r="C372" s="82">
        <f>B372^2</f>
        <v/>
      </c>
      <c r="D372" s="66" t="n">
        <v>4524.38</v>
      </c>
      <c r="E372" s="66" t="n">
        <v>4621.03993</v>
      </c>
      <c r="F372" s="67">
        <f>D372-E372</f>
        <v/>
      </c>
      <c r="G372" s="66">
        <f>F372^2</f>
        <v/>
      </c>
      <c r="H372" s="65" t="inlineStr"/>
      <c r="I372" s="65" t="inlineStr"/>
    </row>
    <row r="373">
      <c r="A373" s="68" t="n">
        <v>360</v>
      </c>
      <c r="B373" s="83" t="n">
        <v>359</v>
      </c>
      <c r="C373" s="83">
        <f>B373^2</f>
        <v/>
      </c>
      <c r="D373" s="69" t="n">
        <v>4526.1</v>
      </c>
      <c r="E373" s="69" t="n">
        <v>4621.24238</v>
      </c>
      <c r="F373" s="70">
        <f>D373-E373</f>
        <v/>
      </c>
      <c r="G373" s="69">
        <f>F373^2</f>
        <v/>
      </c>
      <c r="H373" s="68" t="inlineStr"/>
      <c r="I373" s="68" t="inlineStr"/>
    </row>
    <row r="374">
      <c r="A374" s="65" t="n">
        <v>361</v>
      </c>
      <c r="B374" s="82" t="n">
        <v>360</v>
      </c>
      <c r="C374" s="82">
        <f>B374^2</f>
        <v/>
      </c>
      <c r="D374" s="66" t="n">
        <v>4522.35</v>
      </c>
      <c r="E374" s="66" t="n">
        <v>4621.44482</v>
      </c>
      <c r="F374" s="67">
        <f>D374-E374</f>
        <v/>
      </c>
      <c r="G374" s="66">
        <f>F374^2</f>
        <v/>
      </c>
      <c r="H374" s="65" t="inlineStr"/>
      <c r="I374" s="65" t="inlineStr"/>
    </row>
    <row r="375">
      <c r="A375" s="68" t="n">
        <v>362</v>
      </c>
      <c r="B375" s="83" t="n">
        <v>361</v>
      </c>
      <c r="C375" s="83">
        <f>B375^2</f>
        <v/>
      </c>
      <c r="D375" s="69" t="n">
        <v>4520.01</v>
      </c>
      <c r="E375" s="69" t="n">
        <v>4621.64727</v>
      </c>
      <c r="F375" s="70">
        <f>D375-E375</f>
        <v/>
      </c>
      <c r="G375" s="69">
        <f>F375^2</f>
        <v/>
      </c>
      <c r="H375" s="68" t="inlineStr"/>
      <c r="I375" s="68" t="inlineStr"/>
    </row>
    <row r="376">
      <c r="A376" s="65" t="n">
        <v>363</v>
      </c>
      <c r="B376" s="82" t="n">
        <v>362</v>
      </c>
      <c r="C376" s="82">
        <f>B376^2</f>
        <v/>
      </c>
      <c r="D376" s="66" t="n">
        <v>4511.95</v>
      </c>
      <c r="E376" s="66" t="n">
        <v>4621.84971</v>
      </c>
      <c r="F376" s="67">
        <f>D376-E376</f>
        <v/>
      </c>
      <c r="G376" s="66">
        <f>F376^2</f>
        <v/>
      </c>
      <c r="H376" s="65" t="inlineStr"/>
      <c r="I376" s="65" t="inlineStr"/>
    </row>
    <row r="377">
      <c r="A377" s="68" t="n">
        <v>364</v>
      </c>
      <c r="B377" s="83" t="n">
        <v>363</v>
      </c>
      <c r="C377" s="83">
        <f>B377^2</f>
        <v/>
      </c>
      <c r="D377" s="69" t="n">
        <v>4511.86</v>
      </c>
      <c r="E377" s="69" t="n">
        <v>4622.05216</v>
      </c>
      <c r="F377" s="70">
        <f>D377-E377</f>
        <v/>
      </c>
      <c r="G377" s="69">
        <f>F377^2</f>
        <v/>
      </c>
      <c r="H377" s="68" t="inlineStr"/>
      <c r="I377" s="68" t="inlineStr"/>
    </row>
    <row r="378">
      <c r="A378" s="65" t="n">
        <v>365</v>
      </c>
      <c r="B378" s="82" t="n">
        <v>364</v>
      </c>
      <c r="C378" s="82">
        <f>B378^2</f>
        <v/>
      </c>
      <c r="D378" s="66" t="n">
        <v>4516.4</v>
      </c>
      <c r="E378" s="66" t="n">
        <v>4622.2546</v>
      </c>
      <c r="F378" s="67">
        <f>D378-E378</f>
        <v/>
      </c>
      <c r="G378" s="66">
        <f>F378^2</f>
        <v/>
      </c>
      <c r="H378" s="65" t="inlineStr"/>
      <c r="I378" s="65" t="inlineStr"/>
    </row>
    <row r="379">
      <c r="A379" s="68" t="n">
        <v>366</v>
      </c>
      <c r="B379" s="83" t="n">
        <v>365</v>
      </c>
      <c r="C379" s="83">
        <f>B379^2</f>
        <v/>
      </c>
      <c r="D379" s="69" t="n">
        <v>4519.05</v>
      </c>
      <c r="E379" s="69" t="n">
        <v>4622.45705</v>
      </c>
      <c r="F379" s="70">
        <f>D379-E379</f>
        <v/>
      </c>
      <c r="G379" s="69">
        <f>F379^2</f>
        <v/>
      </c>
      <c r="H379" s="68" t="inlineStr"/>
      <c r="I379" s="68" t="inlineStr"/>
    </row>
    <row r="380">
      <c r="A380" s="65" t="n">
        <v>367</v>
      </c>
      <c r="B380" s="82" t="n">
        <v>366</v>
      </c>
      <c r="C380" s="82">
        <f>B380^2</f>
        <v/>
      </c>
      <c r="D380" s="66" t="n">
        <v>4522.42</v>
      </c>
      <c r="E380" s="66" t="n">
        <v>4622.6595</v>
      </c>
      <c r="F380" s="67">
        <f>D380-E380</f>
        <v/>
      </c>
      <c r="G380" s="66">
        <f>F380^2</f>
        <v/>
      </c>
      <c r="H380" s="65" t="inlineStr"/>
      <c r="I380" s="65" t="inlineStr"/>
    </row>
    <row r="381">
      <c r="A381" s="68" t="n">
        <v>368</v>
      </c>
      <c r="B381" s="83" t="n">
        <v>367</v>
      </c>
      <c r="C381" s="83">
        <f>B381^2</f>
        <v/>
      </c>
      <c r="D381" s="69" t="n">
        <v>4521.16</v>
      </c>
      <c r="E381" s="69" t="n">
        <v>4622.86194</v>
      </c>
      <c r="F381" s="70">
        <f>D381-E381</f>
        <v/>
      </c>
      <c r="G381" s="69">
        <f>F381^2</f>
        <v/>
      </c>
      <c r="H381" s="68" t="inlineStr"/>
      <c r="I381" s="68" t="inlineStr"/>
    </row>
    <row r="382">
      <c r="A382" s="65" t="n">
        <v>369</v>
      </c>
      <c r="B382" s="82" t="n">
        <v>368</v>
      </c>
      <c r="C382" s="82">
        <f>B382^2</f>
        <v/>
      </c>
      <c r="D382" s="66" t="n">
        <v>4517.46</v>
      </c>
      <c r="E382" s="66" t="n">
        <v>4623.06439</v>
      </c>
      <c r="F382" s="67">
        <f>D382-E382</f>
        <v/>
      </c>
      <c r="G382" s="66">
        <f>F382^2</f>
        <v/>
      </c>
      <c r="H382" s="65" t="inlineStr"/>
      <c r="I382" s="65" t="inlineStr"/>
    </row>
    <row r="383">
      <c r="A383" s="68" t="n">
        <v>370</v>
      </c>
      <c r="B383" s="83" t="n">
        <v>369</v>
      </c>
      <c r="C383" s="83">
        <f>B383^2</f>
        <v/>
      </c>
      <c r="D383" s="69" t="n">
        <v>4514.74</v>
      </c>
      <c r="E383" s="69" t="n">
        <v>4623.26683</v>
      </c>
      <c r="F383" s="70">
        <f>D383-E383</f>
        <v/>
      </c>
      <c r="G383" s="69">
        <f>F383^2</f>
        <v/>
      </c>
      <c r="H383" s="68" t="inlineStr"/>
      <c r="I383" s="68" t="inlineStr"/>
    </row>
    <row r="384">
      <c r="A384" s="65" t="n">
        <v>371</v>
      </c>
      <c r="B384" s="82" t="n">
        <v>370</v>
      </c>
      <c r="C384" s="82">
        <f>B384^2</f>
        <v/>
      </c>
      <c r="D384" s="66" t="n">
        <v>4515.21</v>
      </c>
      <c r="E384" s="66" t="n">
        <v>4623.46928</v>
      </c>
      <c r="F384" s="67">
        <f>D384-E384</f>
        <v/>
      </c>
      <c r="G384" s="66">
        <f>F384^2</f>
        <v/>
      </c>
      <c r="H384" s="65" t="inlineStr"/>
      <c r="I384" s="65" t="inlineStr"/>
    </row>
    <row r="385">
      <c r="A385" s="68" t="n">
        <v>372</v>
      </c>
      <c r="B385" s="83" t="n">
        <v>371</v>
      </c>
      <c r="C385" s="83">
        <f>B385^2</f>
        <v/>
      </c>
      <c r="D385" s="69" t="n">
        <v>4518.75</v>
      </c>
      <c r="E385" s="69" t="n">
        <v>4623.67172</v>
      </c>
      <c r="F385" s="70">
        <f>D385-E385</f>
        <v/>
      </c>
      <c r="G385" s="69">
        <f>F385^2</f>
        <v/>
      </c>
      <c r="H385" s="68" t="inlineStr"/>
      <c r="I385" s="68" t="inlineStr"/>
    </row>
    <row r="386">
      <c r="A386" s="65" t="n">
        <v>373</v>
      </c>
      <c r="B386" s="82" t="n">
        <v>372</v>
      </c>
      <c r="C386" s="82">
        <f>B386^2</f>
        <v/>
      </c>
      <c r="D386" s="66" t="n">
        <v>4523.84</v>
      </c>
      <c r="E386" s="66" t="n">
        <v>4623.87417</v>
      </c>
      <c r="F386" s="67">
        <f>D386-E386</f>
        <v/>
      </c>
      <c r="G386" s="66">
        <f>F386^2</f>
        <v/>
      </c>
      <c r="H386" s="65" t="inlineStr"/>
      <c r="I386" s="65" t="inlineStr"/>
    </row>
    <row r="387">
      <c r="A387" s="68" t="n">
        <v>374</v>
      </c>
      <c r="B387" s="83" t="n">
        <v>373</v>
      </c>
      <c r="C387" s="83">
        <f>B387^2</f>
        <v/>
      </c>
      <c r="D387" s="69" t="n">
        <v>4521.1</v>
      </c>
      <c r="E387" s="69" t="n">
        <v>4624.07662</v>
      </c>
      <c r="F387" s="70">
        <f>D387-E387</f>
        <v/>
      </c>
      <c r="G387" s="69">
        <f>F387^2</f>
        <v/>
      </c>
      <c r="H387" s="68" t="inlineStr"/>
      <c r="I387" s="68" t="inlineStr"/>
    </row>
    <row r="388">
      <c r="A388" s="65" t="n">
        <v>375</v>
      </c>
      <c r="B388" s="82" t="n">
        <v>374</v>
      </c>
      <c r="C388" s="82">
        <f>B388^2</f>
        <v/>
      </c>
      <c r="D388" s="66" t="n">
        <v>4519.66</v>
      </c>
      <c r="E388" s="66" t="n">
        <v>4624.27906</v>
      </c>
      <c r="F388" s="67">
        <f>D388-E388</f>
        <v/>
      </c>
      <c r="G388" s="66">
        <f>F388^2</f>
        <v/>
      </c>
      <c r="H388" s="65" t="inlineStr"/>
      <c r="I388" s="65" t="inlineStr"/>
    </row>
    <row r="389">
      <c r="A389" s="68" t="n">
        <v>376</v>
      </c>
      <c r="B389" s="83" t="n">
        <v>375</v>
      </c>
      <c r="C389" s="83">
        <f>B389^2</f>
        <v/>
      </c>
      <c r="D389" s="69" t="n">
        <v>4519.02</v>
      </c>
      <c r="E389" s="69" t="n">
        <v>4624.48151</v>
      </c>
      <c r="F389" s="70">
        <f>D389-E389</f>
        <v/>
      </c>
      <c r="G389" s="69">
        <f>F389^2</f>
        <v/>
      </c>
      <c r="H389" s="68" t="inlineStr"/>
      <c r="I389" s="68" t="inlineStr"/>
    </row>
    <row r="390">
      <c r="A390" s="65" t="n">
        <v>377</v>
      </c>
      <c r="B390" s="82" t="n">
        <v>376</v>
      </c>
      <c r="C390" s="82">
        <f>B390^2</f>
        <v/>
      </c>
      <c r="D390" s="66" t="n">
        <v>4517.52</v>
      </c>
      <c r="E390" s="66" t="n">
        <v>4624.68395</v>
      </c>
      <c r="F390" s="67">
        <f>D390-E390</f>
        <v/>
      </c>
      <c r="G390" s="66">
        <f>F390^2</f>
        <v/>
      </c>
      <c r="H390" s="65" t="inlineStr"/>
      <c r="I390" s="65" t="inlineStr"/>
    </row>
    <row r="391">
      <c r="A391" s="68" t="n">
        <v>378</v>
      </c>
      <c r="B391" s="83" t="n">
        <v>377</v>
      </c>
      <c r="C391" s="83">
        <f>B391^2</f>
        <v/>
      </c>
      <c r="D391" s="69" t="n">
        <v>4520.44</v>
      </c>
      <c r="E391" s="69" t="n">
        <v>4624.8864</v>
      </c>
      <c r="F391" s="70">
        <f>D391-E391</f>
        <v/>
      </c>
      <c r="G391" s="69">
        <f>F391^2</f>
        <v/>
      </c>
      <c r="H391" s="68" t="inlineStr"/>
      <c r="I391" s="68" t="inlineStr"/>
    </row>
    <row r="392">
      <c r="A392" s="65" t="n">
        <v>379</v>
      </c>
      <c r="B392" s="82" t="n">
        <v>378</v>
      </c>
      <c r="C392" s="82">
        <f>B392^2</f>
        <v/>
      </c>
      <c r="D392" s="66" t="n">
        <v>4521.13</v>
      </c>
      <c r="E392" s="66" t="n">
        <v>4625.08884</v>
      </c>
      <c r="F392" s="67">
        <f>D392-E392</f>
        <v/>
      </c>
      <c r="G392" s="66">
        <f>F392^2</f>
        <v/>
      </c>
      <c r="H392" s="65" t="inlineStr"/>
      <c r="I392" s="65" t="inlineStr"/>
    </row>
    <row r="393">
      <c r="A393" s="68" t="n">
        <v>380</v>
      </c>
      <c r="B393" s="83" t="n">
        <v>379</v>
      </c>
      <c r="C393" s="83">
        <f>B393^2</f>
        <v/>
      </c>
      <c r="D393" s="69" t="n">
        <v>4518.52</v>
      </c>
      <c r="E393" s="69" t="n">
        <v>4625.29129</v>
      </c>
      <c r="F393" s="70">
        <f>D393-E393</f>
        <v/>
      </c>
      <c r="G393" s="69">
        <f>F393^2</f>
        <v/>
      </c>
      <c r="H393" s="68" t="inlineStr"/>
      <c r="I393" s="68" t="inlineStr"/>
    </row>
    <row r="394">
      <c r="A394" s="65" t="n">
        <v>381</v>
      </c>
      <c r="B394" s="82" t="n">
        <v>380</v>
      </c>
      <c r="C394" s="82">
        <f>B394^2</f>
        <v/>
      </c>
      <c r="D394" s="66" t="n">
        <v>4519.04</v>
      </c>
      <c r="E394" s="66" t="n">
        <v>4625.49374</v>
      </c>
      <c r="F394" s="67">
        <f>D394-E394</f>
        <v/>
      </c>
      <c r="G394" s="66">
        <f>F394^2</f>
        <v/>
      </c>
      <c r="H394" s="65" t="inlineStr"/>
      <c r="I394" s="65" t="inlineStr"/>
    </row>
    <row r="395">
      <c r="A395" s="68" t="n">
        <v>382</v>
      </c>
      <c r="B395" s="83" t="n">
        <v>381</v>
      </c>
      <c r="C395" s="83">
        <f>B395^2</f>
        <v/>
      </c>
      <c r="D395" s="69" t="n">
        <v>4527.77</v>
      </c>
      <c r="E395" s="69" t="n">
        <v>4625.69618</v>
      </c>
      <c r="F395" s="70">
        <f>D395-E395</f>
        <v/>
      </c>
      <c r="G395" s="69">
        <f>F395^2</f>
        <v/>
      </c>
      <c r="H395" s="68" t="inlineStr"/>
      <c r="I395" s="68" t="inlineStr"/>
    </row>
    <row r="396">
      <c r="A396" s="65" t="n">
        <v>383</v>
      </c>
      <c r="B396" s="82" t="n">
        <v>382</v>
      </c>
      <c r="C396" s="82">
        <f>B396^2</f>
        <v/>
      </c>
      <c r="D396" s="66" t="n">
        <v>4517.12</v>
      </c>
      <c r="E396" s="66" t="n">
        <v>4625.89863</v>
      </c>
      <c r="F396" s="67">
        <f>D396-E396</f>
        <v/>
      </c>
      <c r="G396" s="66">
        <f>F396^2</f>
        <v/>
      </c>
      <c r="H396" s="65" t="inlineStr"/>
      <c r="I396" s="65" t="inlineStr"/>
    </row>
    <row r="397">
      <c r="A397" s="68" t="n">
        <v>384</v>
      </c>
      <c r="B397" s="83" t="n">
        <v>383</v>
      </c>
      <c r="C397" s="83">
        <f>B397^2</f>
        <v/>
      </c>
      <c r="D397" s="69" t="n">
        <v>4523.87</v>
      </c>
      <c r="E397" s="69" t="n">
        <v>4626.10107</v>
      </c>
      <c r="F397" s="70">
        <f>D397-E397</f>
        <v/>
      </c>
      <c r="G397" s="69">
        <f>F397^2</f>
        <v/>
      </c>
      <c r="H397" s="68" t="inlineStr"/>
      <c r="I397" s="68" t="inlineStr"/>
    </row>
    <row r="398">
      <c r="A398" s="65" t="n">
        <v>385</v>
      </c>
      <c r="B398" s="82" t="n">
        <v>384</v>
      </c>
      <c r="C398" s="82">
        <f>B398^2</f>
        <v/>
      </c>
      <c r="D398" s="66" t="n">
        <v>4530.12</v>
      </c>
      <c r="E398" s="66" t="n">
        <v>4626.30352</v>
      </c>
      <c r="F398" s="67">
        <f>D398-E398</f>
        <v/>
      </c>
      <c r="G398" s="66">
        <f>F398^2</f>
        <v/>
      </c>
      <c r="H398" s="65" t="inlineStr"/>
      <c r="I398" s="65" t="inlineStr"/>
    </row>
    <row r="399">
      <c r="A399" s="68" t="n">
        <v>386</v>
      </c>
      <c r="B399" s="83" t="n">
        <v>385</v>
      </c>
      <c r="C399" s="83">
        <f>B399^2</f>
        <v/>
      </c>
      <c r="D399" s="69" t="n">
        <v>4538.86</v>
      </c>
      <c r="E399" s="69" t="n">
        <v>4626.50596</v>
      </c>
      <c r="F399" s="70">
        <f>D399-E399</f>
        <v/>
      </c>
      <c r="G399" s="69">
        <f>F399^2</f>
        <v/>
      </c>
      <c r="H399" s="68" t="inlineStr"/>
      <c r="I399" s="68" t="inlineStr"/>
    </row>
    <row r="400">
      <c r="A400" s="65" t="n">
        <v>387</v>
      </c>
      <c r="B400" s="82" t="n">
        <v>386</v>
      </c>
      <c r="C400" s="82">
        <f>B400^2</f>
        <v/>
      </c>
      <c r="D400" s="66" t="n">
        <v>4537.8</v>
      </c>
      <c r="E400" s="66" t="n">
        <v>4626.70841</v>
      </c>
      <c r="F400" s="67">
        <f>D400-E400</f>
        <v/>
      </c>
      <c r="G400" s="66">
        <f>F400^2</f>
        <v/>
      </c>
      <c r="H400" s="65" t="inlineStr"/>
      <c r="I400" s="65" t="inlineStr"/>
    </row>
    <row r="401">
      <c r="A401" s="68" t="n">
        <v>388</v>
      </c>
      <c r="B401" s="83" t="n">
        <v>387</v>
      </c>
      <c r="C401" s="83">
        <f>B401^2</f>
        <v/>
      </c>
      <c r="D401" s="69" t="n">
        <v>4536.92</v>
      </c>
      <c r="E401" s="69" t="n">
        <v>4626.91086</v>
      </c>
      <c r="F401" s="70">
        <f>D401-E401</f>
        <v/>
      </c>
      <c r="G401" s="69">
        <f>F401^2</f>
        <v/>
      </c>
      <c r="H401" s="68" t="inlineStr"/>
      <c r="I401" s="68" t="inlineStr"/>
    </row>
    <row r="402">
      <c r="A402" s="65" t="n">
        <v>389</v>
      </c>
      <c r="B402" s="82" t="n">
        <v>388</v>
      </c>
      <c r="C402" s="82">
        <f>B402^2</f>
        <v/>
      </c>
      <c r="D402" s="66" t="n">
        <v>4541.02</v>
      </c>
      <c r="E402" s="66" t="n">
        <v>4627.1133</v>
      </c>
      <c r="F402" s="67">
        <f>D402-E402</f>
        <v/>
      </c>
      <c r="G402" s="66">
        <f>F402^2</f>
        <v/>
      </c>
      <c r="H402" s="65" t="inlineStr"/>
      <c r="I402" s="65" t="inlineStr"/>
    </row>
    <row r="403">
      <c r="A403" s="68" t="n">
        <v>390</v>
      </c>
      <c r="B403" s="83" t="n">
        <v>389</v>
      </c>
      <c r="C403" s="83">
        <f>B403^2</f>
        <v/>
      </c>
      <c r="D403" s="69" t="n">
        <v>4538.55</v>
      </c>
      <c r="E403" s="69" t="n">
        <v>4627.31575</v>
      </c>
      <c r="F403" s="70">
        <f>D403-E403</f>
        <v/>
      </c>
      <c r="G403" s="69">
        <f>F403^2</f>
        <v/>
      </c>
      <c r="H403" s="68" t="inlineStr"/>
      <c r="I403" s="68" t="inlineStr"/>
    </row>
    <row r="404">
      <c r="A404" s="65" t="n">
        <v>391</v>
      </c>
      <c r="B404" s="82" t="n">
        <v>390</v>
      </c>
      <c r="C404" s="82">
        <f>B404^2</f>
        <v/>
      </c>
      <c r="D404" s="66" t="n">
        <v>4541.49</v>
      </c>
      <c r="E404" s="66" t="n">
        <v>4627.51819</v>
      </c>
      <c r="F404" s="67">
        <f>D404-E404</f>
        <v/>
      </c>
      <c r="G404" s="66">
        <f>F404^2</f>
        <v/>
      </c>
      <c r="H404" s="65" t="inlineStr"/>
      <c r="I404" s="65" t="inlineStr"/>
    </row>
    <row r="405">
      <c r="A405" s="68" t="n">
        <v>392</v>
      </c>
      <c r="B405" s="83" t="n">
        <v>391</v>
      </c>
      <c r="C405" s="83">
        <f>B405^2</f>
        <v/>
      </c>
      <c r="D405" s="69" t="n">
        <v>4544.58</v>
      </c>
      <c r="E405" s="69" t="n">
        <v>4627.72064</v>
      </c>
      <c r="F405" s="70">
        <f>D405-E405</f>
        <v/>
      </c>
      <c r="G405" s="69">
        <f>F405^2</f>
        <v/>
      </c>
      <c r="H405" s="68" t="inlineStr"/>
      <c r="I405" s="68" t="inlineStr"/>
    </row>
    <row r="406">
      <c r="A406" s="65" t="n">
        <v>393</v>
      </c>
      <c r="B406" s="82" t="n">
        <v>392</v>
      </c>
      <c r="C406" s="82">
        <f>B406^2</f>
        <v/>
      </c>
      <c r="D406" s="66" t="n">
        <v>4539.17</v>
      </c>
      <c r="E406" s="66" t="n">
        <v>4627.92308</v>
      </c>
      <c r="F406" s="67">
        <f>D406-E406</f>
        <v/>
      </c>
      <c r="G406" s="66">
        <f>F406^2</f>
        <v/>
      </c>
      <c r="H406" s="65" t="inlineStr"/>
      <c r="I406" s="65" t="inlineStr"/>
    </row>
    <row r="407">
      <c r="A407" s="68" t="n">
        <v>394</v>
      </c>
      <c r="B407" s="83" t="n">
        <v>393</v>
      </c>
      <c r="C407" s="83">
        <f>B407^2</f>
        <v/>
      </c>
      <c r="D407" s="69" t="n">
        <v>4542.12</v>
      </c>
      <c r="E407" s="69" t="n">
        <v>4628.12553</v>
      </c>
      <c r="F407" s="70">
        <f>D407-E407</f>
        <v/>
      </c>
      <c r="G407" s="69">
        <f>F407^2</f>
        <v/>
      </c>
      <c r="H407" s="68" t="inlineStr"/>
      <c r="I407" s="68" t="inlineStr"/>
    </row>
    <row r="408">
      <c r="A408" s="65" t="n">
        <v>395</v>
      </c>
      <c r="B408" s="82" t="n">
        <v>394</v>
      </c>
      <c r="C408" s="82">
        <f>B408^2</f>
        <v/>
      </c>
      <c r="D408" s="66" t="n">
        <v>4538.07</v>
      </c>
      <c r="E408" s="66" t="n">
        <v>4628.32798</v>
      </c>
      <c r="F408" s="67">
        <f>D408-E408</f>
        <v/>
      </c>
      <c r="G408" s="66">
        <f>F408^2</f>
        <v/>
      </c>
      <c r="H408" s="65" t="inlineStr"/>
      <c r="I408" s="65" t="inlineStr"/>
    </row>
    <row r="409">
      <c r="A409" s="68" t="n">
        <v>396</v>
      </c>
      <c r="B409" s="83" t="n">
        <v>395</v>
      </c>
      <c r="C409" s="83">
        <f>B409^2</f>
        <v/>
      </c>
      <c r="D409" s="69" t="n">
        <v>4535.98</v>
      </c>
      <c r="E409" s="69" t="n">
        <v>4628.53042</v>
      </c>
      <c r="F409" s="70">
        <f>D409-E409</f>
        <v/>
      </c>
      <c r="G409" s="69">
        <f>F409^2</f>
        <v/>
      </c>
      <c r="H409" s="68" t="inlineStr"/>
      <c r="I409" s="68" t="inlineStr"/>
    </row>
    <row r="410">
      <c r="A410" s="65" t="n">
        <v>397</v>
      </c>
      <c r="B410" s="82" t="n">
        <v>396</v>
      </c>
      <c r="C410" s="82">
        <f>B410^2</f>
        <v/>
      </c>
      <c r="D410" s="66" t="n">
        <v>4534.67</v>
      </c>
      <c r="E410" s="66" t="n">
        <v>4628.73287</v>
      </c>
      <c r="F410" s="67">
        <f>D410-E410</f>
        <v/>
      </c>
      <c r="G410" s="66">
        <f>F410^2</f>
        <v/>
      </c>
      <c r="H410" s="65" t="inlineStr"/>
      <c r="I410" s="65" t="inlineStr"/>
    </row>
    <row r="411">
      <c r="A411" s="68" t="n">
        <v>398</v>
      </c>
      <c r="B411" s="83" t="n">
        <v>397</v>
      </c>
      <c r="C411" s="83">
        <f>B411^2</f>
        <v/>
      </c>
      <c r="D411" s="69" t="n">
        <v>4532.97</v>
      </c>
      <c r="E411" s="69" t="n">
        <v>4628.93531</v>
      </c>
      <c r="F411" s="70">
        <f>D411-E411</f>
        <v/>
      </c>
      <c r="G411" s="69">
        <f>F411^2</f>
        <v/>
      </c>
      <c r="H411" s="68" t="inlineStr"/>
      <c r="I411" s="68" t="inlineStr"/>
    </row>
    <row r="412">
      <c r="A412" s="65" t="n">
        <v>399</v>
      </c>
      <c r="B412" s="82" t="n">
        <v>398</v>
      </c>
      <c r="C412" s="82">
        <f>B412^2</f>
        <v/>
      </c>
      <c r="D412" s="66" t="n">
        <v>4529.71</v>
      </c>
      <c r="E412" s="66" t="n">
        <v>4629.13776</v>
      </c>
      <c r="F412" s="67">
        <f>D412-E412</f>
        <v/>
      </c>
      <c r="G412" s="66">
        <f>F412^2</f>
        <v/>
      </c>
      <c r="H412" s="65" t="inlineStr"/>
      <c r="I412" s="65" t="inlineStr"/>
    </row>
    <row r="413">
      <c r="A413" s="68" t="n">
        <v>400</v>
      </c>
      <c r="B413" s="83" t="n">
        <v>399</v>
      </c>
      <c r="C413" s="83">
        <f>B413^2</f>
        <v/>
      </c>
      <c r="D413" s="69" t="n">
        <v>4531.71</v>
      </c>
      <c r="E413" s="69" t="n">
        <v>4629.3402</v>
      </c>
      <c r="F413" s="70">
        <f>D413-E413</f>
        <v/>
      </c>
      <c r="G413" s="69">
        <f>F413^2</f>
        <v/>
      </c>
      <c r="H413" s="68" t="inlineStr"/>
      <c r="I413" s="68" t="inlineStr"/>
    </row>
    <row r="414">
      <c r="A414" s="65" t="n">
        <v>401</v>
      </c>
      <c r="B414" s="82" t="n">
        <v>400</v>
      </c>
      <c r="C414" s="82">
        <f>B414^2</f>
        <v/>
      </c>
      <c r="D414" s="66" t="n">
        <v>4533.58</v>
      </c>
      <c r="E414" s="66" t="n">
        <v>4629.54265</v>
      </c>
      <c r="F414" s="67">
        <f>D414-E414</f>
        <v/>
      </c>
      <c r="G414" s="66">
        <f>F414^2</f>
        <v/>
      </c>
      <c r="H414" s="65" t="inlineStr"/>
      <c r="I414" s="65" t="inlineStr"/>
    </row>
    <row r="415">
      <c r="A415" s="68" t="n">
        <v>402</v>
      </c>
      <c r="B415" s="83" t="n">
        <v>401</v>
      </c>
      <c r="C415" s="83">
        <f>B415^2</f>
        <v/>
      </c>
      <c r="D415" s="69" t="n">
        <v>4540.2</v>
      </c>
      <c r="E415" s="69" t="n">
        <v>4629.7451</v>
      </c>
      <c r="F415" s="70">
        <f>D415-E415</f>
        <v/>
      </c>
      <c r="G415" s="69">
        <f>F415^2</f>
        <v/>
      </c>
      <c r="H415" s="68" t="inlineStr"/>
      <c r="I415" s="68" t="inlineStr"/>
    </row>
    <row r="416">
      <c r="A416" s="65" t="n">
        <v>403</v>
      </c>
      <c r="B416" s="82" t="n">
        <v>402</v>
      </c>
      <c r="C416" s="82">
        <f>B416^2</f>
        <v/>
      </c>
      <c r="D416" s="66" t="n">
        <v>4540.11</v>
      </c>
      <c r="E416" s="66" t="n">
        <v>4629.94754</v>
      </c>
      <c r="F416" s="67">
        <f>D416-E416</f>
        <v/>
      </c>
      <c r="G416" s="66">
        <f>F416^2</f>
        <v/>
      </c>
      <c r="H416" s="65" t="inlineStr"/>
      <c r="I416" s="65" t="inlineStr"/>
    </row>
    <row r="417">
      <c r="A417" s="68" t="n">
        <v>404</v>
      </c>
      <c r="B417" s="83" t="n">
        <v>403</v>
      </c>
      <c r="C417" s="83">
        <f>B417^2</f>
        <v/>
      </c>
      <c r="D417" s="69" t="n">
        <v>4545.86</v>
      </c>
      <c r="E417" s="69" t="n">
        <v>4630.14999</v>
      </c>
      <c r="F417" s="70">
        <f>D417-E417</f>
        <v/>
      </c>
      <c r="G417" s="69">
        <f>F417^2</f>
        <v/>
      </c>
      <c r="H417" s="68" t="inlineStr"/>
      <c r="I417" s="68" t="inlineStr"/>
    </row>
    <row r="418">
      <c r="A418" s="65" t="n">
        <v>405</v>
      </c>
      <c r="B418" s="82" t="n">
        <v>404</v>
      </c>
      <c r="C418" s="82">
        <f>B418^2</f>
        <v/>
      </c>
      <c r="D418" s="66" t="n">
        <v>4545.73</v>
      </c>
      <c r="E418" s="66" t="n">
        <v>4630.35243</v>
      </c>
      <c r="F418" s="67">
        <f>D418-E418</f>
        <v/>
      </c>
      <c r="G418" s="66">
        <f>F418^2</f>
        <v/>
      </c>
      <c r="H418" s="65" t="inlineStr"/>
      <c r="I418" s="65" t="inlineStr"/>
    </row>
    <row r="419">
      <c r="A419" s="68" t="n">
        <v>406</v>
      </c>
      <c r="B419" s="83" t="n">
        <v>405</v>
      </c>
      <c r="C419" s="83">
        <f>B419^2</f>
        <v/>
      </c>
      <c r="D419" s="69" t="n">
        <v>4543.66</v>
      </c>
      <c r="E419" s="69" t="n">
        <v>4630.55488</v>
      </c>
      <c r="F419" s="70">
        <f>D419-E419</f>
        <v/>
      </c>
      <c r="G419" s="69">
        <f>F419^2</f>
        <v/>
      </c>
      <c r="H419" s="68" t="inlineStr"/>
      <c r="I419" s="68" t="inlineStr"/>
    </row>
    <row r="420">
      <c r="A420" s="65" t="n">
        <v>407</v>
      </c>
      <c r="B420" s="82" t="n">
        <v>406</v>
      </c>
      <c r="C420" s="82">
        <f>B420^2</f>
        <v/>
      </c>
      <c r="D420" s="66" t="n">
        <v>4536.86</v>
      </c>
      <c r="E420" s="66" t="n">
        <v>4630.75732</v>
      </c>
      <c r="F420" s="67">
        <f>D420-E420</f>
        <v/>
      </c>
      <c r="G420" s="66">
        <f>F420^2</f>
        <v/>
      </c>
      <c r="H420" s="65" t="inlineStr"/>
      <c r="I420" s="65" t="inlineStr"/>
    </row>
    <row r="421">
      <c r="A421" s="68" t="n">
        <v>408</v>
      </c>
      <c r="B421" s="83" t="n">
        <v>407</v>
      </c>
      <c r="C421" s="83">
        <f>B421^2</f>
        <v/>
      </c>
      <c r="D421" s="69" t="n">
        <v>4546.17</v>
      </c>
      <c r="E421" s="69" t="n">
        <v>4630.95977</v>
      </c>
      <c r="F421" s="70">
        <f>D421-E421</f>
        <v/>
      </c>
      <c r="G421" s="69">
        <f>F421^2</f>
        <v/>
      </c>
      <c r="H421" s="68" t="inlineStr"/>
      <c r="I421" s="68" t="inlineStr"/>
    </row>
    <row r="422">
      <c r="A422" s="65" t="n">
        <v>409</v>
      </c>
      <c r="B422" s="82" t="n">
        <v>408</v>
      </c>
      <c r="C422" s="82">
        <f>B422^2</f>
        <v/>
      </c>
      <c r="D422" s="66" t="n">
        <v>4548.12</v>
      </c>
      <c r="E422" s="66" t="n">
        <v>4631.16221</v>
      </c>
      <c r="F422" s="67">
        <f>D422-E422</f>
        <v/>
      </c>
      <c r="G422" s="66">
        <f>F422^2</f>
        <v/>
      </c>
      <c r="H422" s="65" t="inlineStr"/>
      <c r="I422" s="65" t="inlineStr"/>
    </row>
    <row r="423">
      <c r="A423" s="68" t="n">
        <v>410</v>
      </c>
      <c r="B423" s="83" t="n">
        <v>409</v>
      </c>
      <c r="C423" s="83">
        <f>B423^2</f>
        <v/>
      </c>
      <c r="D423" s="69" t="n">
        <v>4554.04</v>
      </c>
      <c r="E423" s="69" t="n">
        <v>4631.36466</v>
      </c>
      <c r="F423" s="70">
        <f>D423-E423</f>
        <v/>
      </c>
      <c r="G423" s="69">
        <f>F423^2</f>
        <v/>
      </c>
      <c r="H423" s="68" t="inlineStr"/>
      <c r="I423" s="68" t="inlineStr"/>
    </row>
    <row r="424">
      <c r="A424" s="65" t="n">
        <v>411</v>
      </c>
      <c r="B424" s="82" t="n">
        <v>410</v>
      </c>
      <c r="C424" s="82">
        <f>B424^2</f>
        <v/>
      </c>
      <c r="D424" s="66" t="n">
        <v>4548.94</v>
      </c>
      <c r="E424" s="66" t="n">
        <v>4631.56711</v>
      </c>
      <c r="F424" s="67">
        <f>D424-E424</f>
        <v/>
      </c>
      <c r="G424" s="66">
        <f>F424^2</f>
        <v/>
      </c>
      <c r="H424" s="65" t="inlineStr"/>
      <c r="I424" s="65" t="inlineStr"/>
    </row>
    <row r="425">
      <c r="A425" s="68" t="n">
        <v>412</v>
      </c>
      <c r="B425" s="83" t="n">
        <v>411</v>
      </c>
      <c r="C425" s="83">
        <f>B425^2</f>
        <v/>
      </c>
      <c r="D425" s="69" t="n">
        <v>4551.29</v>
      </c>
      <c r="E425" s="69" t="n">
        <v>4631.76955</v>
      </c>
      <c r="F425" s="70">
        <f>D425-E425</f>
        <v/>
      </c>
      <c r="G425" s="69">
        <f>F425^2</f>
        <v/>
      </c>
      <c r="H425" s="68" t="inlineStr"/>
      <c r="I425" s="68" t="inlineStr"/>
    </row>
    <row r="426">
      <c r="A426" s="65" t="n">
        <v>413</v>
      </c>
      <c r="B426" s="82" t="n">
        <v>412</v>
      </c>
      <c r="C426" s="82">
        <f>B426^2</f>
        <v/>
      </c>
      <c r="D426" s="66" t="n">
        <v>4545.57</v>
      </c>
      <c r="E426" s="66" t="n">
        <v>4631.972</v>
      </c>
      <c r="F426" s="67">
        <f>D426-E426</f>
        <v/>
      </c>
      <c r="G426" s="66">
        <f>F426^2</f>
        <v/>
      </c>
      <c r="H426" s="65" t="inlineStr"/>
      <c r="I426" s="65" t="inlineStr"/>
    </row>
    <row r="427">
      <c r="A427" s="68" t="n">
        <v>414</v>
      </c>
      <c r="B427" s="83" t="n">
        <v>413</v>
      </c>
      <c r="C427" s="83">
        <f>B427^2</f>
        <v/>
      </c>
      <c r="D427" s="69" t="n">
        <v>4551.12</v>
      </c>
      <c r="E427" s="69" t="n">
        <v>4632.17444</v>
      </c>
      <c r="F427" s="70">
        <f>D427-E427</f>
        <v/>
      </c>
      <c r="G427" s="69">
        <f>F427^2</f>
        <v/>
      </c>
      <c r="H427" s="68" t="inlineStr"/>
      <c r="I427" s="68" t="inlineStr"/>
    </row>
    <row r="428">
      <c r="A428" s="65" t="n">
        <v>415</v>
      </c>
      <c r="B428" s="82" t="n">
        <v>414</v>
      </c>
      <c r="C428" s="82">
        <f>B428^2</f>
        <v/>
      </c>
      <c r="D428" s="66" t="n">
        <v>4551.48</v>
      </c>
      <c r="E428" s="66" t="n">
        <v>4632.37689</v>
      </c>
      <c r="F428" s="67">
        <f>D428-E428</f>
        <v/>
      </c>
      <c r="G428" s="66">
        <f>F428^2</f>
        <v/>
      </c>
      <c r="H428" s="65" t="inlineStr"/>
      <c r="I428" s="65" t="inlineStr"/>
    </row>
    <row r="429">
      <c r="A429" s="68" t="n">
        <v>416</v>
      </c>
      <c r="B429" s="83" t="n">
        <v>415</v>
      </c>
      <c r="C429" s="83">
        <f>B429^2</f>
        <v/>
      </c>
      <c r="D429" s="69" t="n">
        <v>4550.32</v>
      </c>
      <c r="E429" s="69" t="n">
        <v>4632.57933</v>
      </c>
      <c r="F429" s="70">
        <f>D429-E429</f>
        <v/>
      </c>
      <c r="G429" s="69">
        <f>F429^2</f>
        <v/>
      </c>
      <c r="H429" s="68" t="inlineStr"/>
      <c r="I429" s="68" t="inlineStr"/>
    </row>
    <row r="430">
      <c r="A430" s="65" t="n">
        <v>417</v>
      </c>
      <c r="B430" s="82" t="n">
        <v>416</v>
      </c>
      <c r="C430" s="82">
        <f>B430^2</f>
        <v/>
      </c>
      <c r="D430" s="66" t="n">
        <v>4558.34</v>
      </c>
      <c r="E430" s="66" t="n">
        <v>4632.78178</v>
      </c>
      <c r="F430" s="67">
        <f>D430-E430</f>
        <v/>
      </c>
      <c r="G430" s="66">
        <f>F430^2</f>
        <v/>
      </c>
      <c r="H430" s="65" t="inlineStr"/>
      <c r="I430" s="65" t="inlineStr"/>
    </row>
    <row r="431">
      <c r="A431" s="68" t="n">
        <v>418</v>
      </c>
      <c r="B431" s="83" t="n">
        <v>417</v>
      </c>
      <c r="C431" s="83">
        <f>B431^2</f>
        <v/>
      </c>
      <c r="D431" s="69" t="n">
        <v>4557.61</v>
      </c>
      <c r="E431" s="69" t="n">
        <v>4632.98423</v>
      </c>
      <c r="F431" s="70">
        <f>D431-E431</f>
        <v/>
      </c>
      <c r="G431" s="69">
        <f>F431^2</f>
        <v/>
      </c>
      <c r="H431" s="68" t="inlineStr"/>
      <c r="I431" s="68" t="inlineStr"/>
    </row>
    <row r="432">
      <c r="A432" s="65" t="n">
        <v>419</v>
      </c>
      <c r="B432" s="82" t="n">
        <v>418</v>
      </c>
      <c r="C432" s="82">
        <f>B432^2</f>
        <v/>
      </c>
      <c r="D432" s="66" t="n">
        <v>4552.3</v>
      </c>
      <c r="E432" s="66" t="n">
        <v>4633.18667</v>
      </c>
      <c r="F432" s="67">
        <f>D432-E432</f>
        <v/>
      </c>
      <c r="G432" s="66">
        <f>F432^2</f>
        <v/>
      </c>
      <c r="H432" s="65" t="inlineStr"/>
      <c r="I432" s="65" t="inlineStr"/>
    </row>
    <row r="433">
      <c r="A433" s="68" t="n">
        <v>420</v>
      </c>
      <c r="B433" s="83" t="n">
        <v>419</v>
      </c>
      <c r="C433" s="83">
        <f>B433^2</f>
        <v/>
      </c>
      <c r="D433" s="69" t="n">
        <v>4555.5</v>
      </c>
      <c r="E433" s="69" t="n">
        <v>4633.38912</v>
      </c>
      <c r="F433" s="70">
        <f>D433-E433</f>
        <v/>
      </c>
      <c r="G433" s="69">
        <f>F433^2</f>
        <v/>
      </c>
      <c r="H433" s="68" t="inlineStr"/>
      <c r="I433" s="68" t="inlineStr"/>
    </row>
    <row r="434">
      <c r="A434" s="65" t="n">
        <v>421</v>
      </c>
      <c r="B434" s="82" t="n">
        <v>420</v>
      </c>
      <c r="C434" s="82">
        <f>B434^2</f>
        <v/>
      </c>
      <c r="D434" s="66" t="n">
        <v>4556.21</v>
      </c>
      <c r="E434" s="66" t="n">
        <v>4633.59156</v>
      </c>
      <c r="F434" s="67">
        <f>D434-E434</f>
        <v/>
      </c>
      <c r="G434" s="66">
        <f>F434^2</f>
        <v/>
      </c>
      <c r="H434" s="65" t="inlineStr"/>
      <c r="I434" s="65" t="inlineStr"/>
    </row>
    <row r="435">
      <c r="A435" s="68" t="n">
        <v>422</v>
      </c>
      <c r="B435" s="83" t="n">
        <v>421</v>
      </c>
      <c r="C435" s="83">
        <f>B435^2</f>
        <v/>
      </c>
      <c r="D435" s="69" t="n">
        <v>4553.01</v>
      </c>
      <c r="E435" s="69" t="n">
        <v>4633.79401</v>
      </c>
      <c r="F435" s="70">
        <f>D435-E435</f>
        <v/>
      </c>
      <c r="G435" s="69">
        <f>F435^2</f>
        <v/>
      </c>
      <c r="H435" s="68" t="inlineStr"/>
      <c r="I435" s="68" t="inlineStr"/>
    </row>
    <row r="436">
      <c r="A436" s="65" t="n">
        <v>423</v>
      </c>
      <c r="B436" s="82" t="n">
        <v>422</v>
      </c>
      <c r="C436" s="82">
        <f>B436^2</f>
        <v/>
      </c>
      <c r="D436" s="66" t="n">
        <v>4547.92</v>
      </c>
      <c r="E436" s="66" t="n">
        <v>4633.99645</v>
      </c>
      <c r="F436" s="67">
        <f>D436-E436</f>
        <v/>
      </c>
      <c r="G436" s="66">
        <f>F436^2</f>
        <v/>
      </c>
      <c r="H436" s="65" t="inlineStr"/>
      <c r="I436" s="65" t="inlineStr"/>
    </row>
    <row r="437">
      <c r="A437" s="68" t="n">
        <v>424</v>
      </c>
      <c r="B437" s="83" t="n">
        <v>423</v>
      </c>
      <c r="C437" s="83">
        <f>B437^2</f>
        <v/>
      </c>
      <c r="D437" s="69" t="n">
        <v>4545.13</v>
      </c>
      <c r="E437" s="69" t="n">
        <v>4634.1989</v>
      </c>
      <c r="F437" s="70">
        <f>D437-E437</f>
        <v/>
      </c>
      <c r="G437" s="69">
        <f>F437^2</f>
        <v/>
      </c>
      <c r="H437" s="68" t="inlineStr"/>
      <c r="I437" s="68" t="inlineStr"/>
    </row>
    <row r="438">
      <c r="A438" s="65" t="n">
        <v>425</v>
      </c>
      <c r="B438" s="82" t="n">
        <v>424</v>
      </c>
      <c r="C438" s="82">
        <f>B438^2</f>
        <v/>
      </c>
      <c r="D438" s="66" t="n">
        <v>4543.73</v>
      </c>
      <c r="E438" s="66" t="n">
        <v>4634.40135</v>
      </c>
      <c r="F438" s="67">
        <f>D438-E438</f>
        <v/>
      </c>
      <c r="G438" s="66">
        <f>F438^2</f>
        <v/>
      </c>
      <c r="H438" s="65" t="inlineStr"/>
      <c r="I438" s="65" t="inlineStr"/>
    </row>
    <row r="439">
      <c r="A439" s="68" t="n">
        <v>426</v>
      </c>
      <c r="B439" s="83" t="n">
        <v>425</v>
      </c>
      <c r="C439" s="83">
        <f>B439^2</f>
        <v/>
      </c>
      <c r="D439" s="69" t="n">
        <v>4552.62</v>
      </c>
      <c r="E439" s="69" t="n">
        <v>4634.60379</v>
      </c>
      <c r="F439" s="70">
        <f>D439-E439</f>
        <v/>
      </c>
      <c r="G439" s="69">
        <f>F439^2</f>
        <v/>
      </c>
      <c r="H439" s="68" t="inlineStr"/>
      <c r="I439" s="68" t="inlineStr"/>
    </row>
    <row r="440">
      <c r="A440" s="65" t="n">
        <v>427</v>
      </c>
      <c r="B440" s="82" t="n">
        <v>426</v>
      </c>
      <c r="C440" s="82">
        <f>B440^2</f>
        <v/>
      </c>
      <c r="D440" s="66" t="n">
        <v>4556.17</v>
      </c>
      <c r="E440" s="66" t="n">
        <v>4634.80624</v>
      </c>
      <c r="F440" s="67">
        <f>D440-E440</f>
        <v/>
      </c>
      <c r="G440" s="66">
        <f>F440^2</f>
        <v/>
      </c>
      <c r="H440" s="65" t="inlineStr"/>
      <c r="I440" s="65" t="inlineStr"/>
    </row>
    <row r="441">
      <c r="A441" s="68" t="n">
        <v>428</v>
      </c>
      <c r="B441" s="83" t="n">
        <v>427</v>
      </c>
      <c r="C441" s="83">
        <f>B441^2</f>
        <v/>
      </c>
      <c r="D441" s="69" t="n">
        <v>4563.32</v>
      </c>
      <c r="E441" s="69" t="n">
        <v>4635.00868</v>
      </c>
      <c r="F441" s="70">
        <f>D441-E441</f>
        <v/>
      </c>
      <c r="G441" s="69">
        <f>F441^2</f>
        <v/>
      </c>
      <c r="H441" s="68" t="inlineStr"/>
      <c r="I441" s="68" t="inlineStr"/>
    </row>
    <row r="442">
      <c r="A442" s="65" t="n">
        <v>429</v>
      </c>
      <c r="B442" s="82" t="n">
        <v>428</v>
      </c>
      <c r="C442" s="82">
        <f>B442^2</f>
        <v/>
      </c>
      <c r="D442" s="66" t="n">
        <v>4562.6</v>
      </c>
      <c r="E442" s="66" t="n">
        <v>4635.21113</v>
      </c>
      <c r="F442" s="67">
        <f>D442-E442</f>
        <v/>
      </c>
      <c r="G442" s="66">
        <f>F442^2</f>
        <v/>
      </c>
      <c r="H442" s="65" t="inlineStr"/>
      <c r="I442" s="65" t="inlineStr"/>
    </row>
    <row r="443">
      <c r="A443" s="68" t="n">
        <v>430</v>
      </c>
      <c r="B443" s="83" t="n">
        <v>429</v>
      </c>
      <c r="C443" s="83">
        <f>B443^2</f>
        <v/>
      </c>
      <c r="D443" s="69" t="n">
        <v>4565</v>
      </c>
      <c r="E443" s="69" t="n">
        <v>4635.41357</v>
      </c>
      <c r="F443" s="70">
        <f>D443-E443</f>
        <v/>
      </c>
      <c r="G443" s="69">
        <f>F443^2</f>
        <v/>
      </c>
      <c r="H443" s="68" t="inlineStr"/>
      <c r="I443" s="68" t="inlineStr"/>
    </row>
    <row r="444">
      <c r="A444" s="65" t="n">
        <v>431</v>
      </c>
      <c r="B444" s="82" t="n">
        <v>430</v>
      </c>
      <c r="C444" s="82">
        <f>B444^2</f>
        <v/>
      </c>
      <c r="D444" s="66" t="n">
        <v>4573.81</v>
      </c>
      <c r="E444" s="66" t="n">
        <v>4635.61602</v>
      </c>
      <c r="F444" s="67">
        <f>D444-E444</f>
        <v/>
      </c>
      <c r="G444" s="66">
        <f>F444^2</f>
        <v/>
      </c>
      <c r="H444" s="65" t="inlineStr"/>
      <c r="I444" s="65" t="inlineStr"/>
    </row>
    <row r="445">
      <c r="A445" s="68" t="n">
        <v>432</v>
      </c>
      <c r="B445" s="83" t="n">
        <v>431</v>
      </c>
      <c r="C445" s="83">
        <f>B445^2</f>
        <v/>
      </c>
      <c r="D445" s="69" t="n">
        <v>4567.11</v>
      </c>
      <c r="E445" s="69" t="n">
        <v>4635.81847</v>
      </c>
      <c r="F445" s="70">
        <f>D445-E445</f>
        <v/>
      </c>
      <c r="G445" s="69">
        <f>F445^2</f>
        <v/>
      </c>
      <c r="H445" s="68" t="inlineStr"/>
      <c r="I445" s="68" t="inlineStr"/>
    </row>
    <row r="446">
      <c r="A446" s="65" t="n">
        <v>433</v>
      </c>
      <c r="B446" s="82" t="n">
        <v>432</v>
      </c>
      <c r="C446" s="82">
        <f>B446^2</f>
        <v/>
      </c>
      <c r="D446" s="66" t="n">
        <v>4564.68</v>
      </c>
      <c r="E446" s="66" t="n">
        <v>4636.02091</v>
      </c>
      <c r="F446" s="67">
        <f>D446-E446</f>
        <v/>
      </c>
      <c r="G446" s="66">
        <f>F446^2</f>
        <v/>
      </c>
      <c r="H446" s="65" t="inlineStr"/>
      <c r="I446" s="65" t="inlineStr"/>
    </row>
    <row r="447">
      <c r="A447" s="68" t="n">
        <v>434</v>
      </c>
      <c r="B447" s="83" t="n">
        <v>433</v>
      </c>
      <c r="C447" s="83">
        <f>B447^2</f>
        <v/>
      </c>
      <c r="D447" s="69" t="n">
        <v>4578.78</v>
      </c>
      <c r="E447" s="69" t="n">
        <v>4636.22336</v>
      </c>
      <c r="F447" s="70">
        <f>D447-E447</f>
        <v/>
      </c>
      <c r="G447" s="69">
        <f>F447^2</f>
        <v/>
      </c>
      <c r="H447" s="68" t="inlineStr"/>
      <c r="I447" s="68" t="inlineStr"/>
    </row>
    <row r="448">
      <c r="A448" s="65" t="n">
        <v>435</v>
      </c>
      <c r="B448" s="82" t="n">
        <v>434</v>
      </c>
      <c r="C448" s="82">
        <f>B448^2</f>
        <v/>
      </c>
      <c r="D448" s="66" t="n">
        <v>4576.85</v>
      </c>
      <c r="E448" s="66" t="n">
        <v>4636.4258</v>
      </c>
      <c r="F448" s="67">
        <f>D448-E448</f>
        <v/>
      </c>
      <c r="G448" s="66">
        <f>F448^2</f>
        <v/>
      </c>
      <c r="H448" s="65" t="inlineStr"/>
      <c r="I448" s="65" t="inlineStr"/>
    </row>
    <row r="449">
      <c r="A449" s="68" t="n">
        <v>436</v>
      </c>
      <c r="B449" s="83" t="n">
        <v>435</v>
      </c>
      <c r="C449" s="83">
        <f>B449^2</f>
        <v/>
      </c>
      <c r="D449" s="69" t="n">
        <v>4574.12</v>
      </c>
      <c r="E449" s="69" t="n">
        <v>4636.62825</v>
      </c>
      <c r="F449" s="70">
        <f>D449-E449</f>
        <v/>
      </c>
      <c r="G449" s="69">
        <f>F449^2</f>
        <v/>
      </c>
      <c r="H449" s="68" t="inlineStr"/>
      <c r="I449" s="68" t="inlineStr"/>
    </row>
    <row r="450">
      <c r="A450" s="65" t="n">
        <v>437</v>
      </c>
      <c r="B450" s="82" t="n">
        <v>436</v>
      </c>
      <c r="C450" s="82">
        <f>B450^2</f>
        <v/>
      </c>
      <c r="D450" s="66" t="n">
        <v>4579.4</v>
      </c>
      <c r="E450" s="66" t="n">
        <v>4636.83069</v>
      </c>
      <c r="F450" s="67">
        <f>D450-E450</f>
        <v/>
      </c>
      <c r="G450" s="66">
        <f>F450^2</f>
        <v/>
      </c>
      <c r="H450" s="65" t="inlineStr"/>
      <c r="I450" s="65" t="inlineStr"/>
    </row>
    <row r="451">
      <c r="A451" s="68" t="n">
        <v>438</v>
      </c>
      <c r="B451" s="83" t="n">
        <v>437</v>
      </c>
      <c r="C451" s="83">
        <f>B451^2</f>
        <v/>
      </c>
      <c r="D451" s="69" t="n">
        <v>4573.57</v>
      </c>
      <c r="E451" s="69" t="n">
        <v>4637.03314</v>
      </c>
      <c r="F451" s="70">
        <f>D451-E451</f>
        <v/>
      </c>
      <c r="G451" s="69">
        <f>F451^2</f>
        <v/>
      </c>
      <c r="H451" s="68" t="inlineStr"/>
      <c r="I451" s="68" t="inlineStr"/>
    </row>
    <row r="452">
      <c r="A452" s="65" t="n">
        <v>439</v>
      </c>
      <c r="B452" s="82" t="n">
        <v>438</v>
      </c>
      <c r="C452" s="82">
        <f>B452^2</f>
        <v/>
      </c>
      <c r="D452" s="66" t="n">
        <v>4584.37</v>
      </c>
      <c r="E452" s="66" t="n">
        <v>4637.23559</v>
      </c>
      <c r="F452" s="67">
        <f>D452-E452</f>
        <v/>
      </c>
      <c r="G452" s="66">
        <f>F452^2</f>
        <v/>
      </c>
      <c r="H452" s="65" t="inlineStr"/>
      <c r="I452" s="65" t="inlineStr"/>
    </row>
    <row r="453">
      <c r="A453" s="68" t="n">
        <v>440</v>
      </c>
      <c r="B453" s="83" t="n">
        <v>439</v>
      </c>
      <c r="C453" s="83">
        <f>B453^2</f>
        <v/>
      </c>
      <c r="D453" s="69" t="n">
        <v>4582.96</v>
      </c>
      <c r="E453" s="69" t="n">
        <v>4637.43803</v>
      </c>
      <c r="F453" s="70">
        <f>D453-E453</f>
        <v/>
      </c>
      <c r="G453" s="69">
        <f>F453^2</f>
        <v/>
      </c>
      <c r="H453" s="68" t="inlineStr"/>
      <c r="I453" s="68" t="inlineStr"/>
    </row>
    <row r="454">
      <c r="A454" s="65" t="n">
        <v>441</v>
      </c>
      <c r="B454" s="82" t="n">
        <v>440</v>
      </c>
      <c r="C454" s="82">
        <f>B454^2</f>
        <v/>
      </c>
      <c r="D454" s="66" t="n">
        <v>4582.46</v>
      </c>
      <c r="E454" s="66" t="n">
        <v>4637.64048</v>
      </c>
      <c r="F454" s="67">
        <f>D454-E454</f>
        <v/>
      </c>
      <c r="G454" s="66">
        <f>F454^2</f>
        <v/>
      </c>
      <c r="H454" s="65" t="inlineStr"/>
      <c r="I454" s="65" t="inlineStr"/>
    </row>
    <row r="455">
      <c r="A455" s="68" t="n">
        <v>442</v>
      </c>
      <c r="B455" s="83" t="n">
        <v>441</v>
      </c>
      <c r="C455" s="83">
        <f>B455^2</f>
        <v/>
      </c>
      <c r="D455" s="69" t="n">
        <v>4580.89</v>
      </c>
      <c r="E455" s="69" t="n">
        <v>4637.84292</v>
      </c>
      <c r="F455" s="70">
        <f>D455-E455</f>
        <v/>
      </c>
      <c r="G455" s="69">
        <f>F455^2</f>
        <v/>
      </c>
      <c r="H455" s="68" t="inlineStr"/>
      <c r="I455" s="68" t="inlineStr"/>
    </row>
    <row r="456">
      <c r="A456" s="65" t="n">
        <v>443</v>
      </c>
      <c r="B456" s="82" t="n">
        <v>442</v>
      </c>
      <c r="C456" s="82">
        <f>B456^2</f>
        <v/>
      </c>
      <c r="D456" s="66" t="n">
        <v>4578.99</v>
      </c>
      <c r="E456" s="66" t="n">
        <v>4638.04537</v>
      </c>
      <c r="F456" s="67">
        <f>D456-E456</f>
        <v/>
      </c>
      <c r="G456" s="66">
        <f>F456^2</f>
        <v/>
      </c>
      <c r="H456" s="65" t="inlineStr"/>
      <c r="I456" s="65" t="inlineStr"/>
    </row>
    <row r="457">
      <c r="A457" s="68" t="n">
        <v>444</v>
      </c>
      <c r="B457" s="83" t="n">
        <v>443</v>
      </c>
      <c r="C457" s="83">
        <f>B457^2</f>
        <v/>
      </c>
      <c r="D457" s="69" t="n">
        <v>4572.95</v>
      </c>
      <c r="E457" s="69" t="n">
        <v>4638.24781</v>
      </c>
      <c r="F457" s="70">
        <f>D457-E457</f>
        <v/>
      </c>
      <c r="G457" s="69">
        <f>F457^2</f>
        <v/>
      </c>
      <c r="H457" s="68" t="inlineStr"/>
      <c r="I457" s="68" t="inlineStr"/>
    </row>
    <row r="458">
      <c r="A458" s="65" t="n">
        <v>445</v>
      </c>
      <c r="B458" s="82" t="n">
        <v>444</v>
      </c>
      <c r="C458" s="82">
        <f>B458^2</f>
        <v/>
      </c>
      <c r="D458" s="66" t="n">
        <v>4568.49</v>
      </c>
      <c r="E458" s="66" t="n">
        <v>4638.45026</v>
      </c>
      <c r="F458" s="67">
        <f>D458-E458</f>
        <v/>
      </c>
      <c r="G458" s="66">
        <f>F458^2</f>
        <v/>
      </c>
      <c r="H458" s="65" t="inlineStr"/>
      <c r="I458" s="65" t="inlineStr"/>
    </row>
    <row r="459">
      <c r="A459" s="68" t="n">
        <v>446</v>
      </c>
      <c r="B459" s="83" t="n">
        <v>445</v>
      </c>
      <c r="C459" s="83">
        <f>B459^2</f>
        <v/>
      </c>
      <c r="D459" s="69" t="n">
        <v>4566.28</v>
      </c>
      <c r="E459" s="69" t="n">
        <v>4638.65271</v>
      </c>
      <c r="F459" s="70">
        <f>D459-E459</f>
        <v/>
      </c>
      <c r="G459" s="69">
        <f>F459^2</f>
        <v/>
      </c>
      <c r="H459" s="68" t="inlineStr"/>
      <c r="I459" s="68" t="inlineStr"/>
    </row>
    <row r="460">
      <c r="A460" s="65" t="n">
        <v>447</v>
      </c>
      <c r="B460" s="82" t="n">
        <v>446</v>
      </c>
      <c r="C460" s="82">
        <f>B460^2</f>
        <v/>
      </c>
      <c r="D460" s="66" t="n">
        <v>4559.7</v>
      </c>
      <c r="E460" s="66" t="n">
        <v>4638.85515</v>
      </c>
      <c r="F460" s="67">
        <f>D460-E460</f>
        <v/>
      </c>
      <c r="G460" s="66">
        <f>F460^2</f>
        <v/>
      </c>
      <c r="H460" s="65" t="inlineStr"/>
      <c r="I460" s="65" t="inlineStr"/>
    </row>
    <row r="461">
      <c r="A461" s="68" t="n">
        <v>448</v>
      </c>
      <c r="B461" s="83" t="n">
        <v>447</v>
      </c>
      <c r="C461" s="83">
        <f>B461^2</f>
        <v/>
      </c>
      <c r="D461" s="69" t="n">
        <v>4556.78</v>
      </c>
      <c r="E461" s="69" t="n">
        <v>4639.0576</v>
      </c>
      <c r="F461" s="70">
        <f>D461-E461</f>
        <v/>
      </c>
      <c r="G461" s="69">
        <f>F461^2</f>
        <v/>
      </c>
      <c r="H461" s="68" t="inlineStr"/>
      <c r="I461" s="68" t="inlineStr"/>
    </row>
    <row r="462">
      <c r="A462" s="65" t="n">
        <v>449</v>
      </c>
      <c r="B462" s="82" t="n">
        <v>448</v>
      </c>
      <c r="C462" s="82">
        <f>B462^2</f>
        <v/>
      </c>
      <c r="D462" s="66" t="n">
        <v>4561.35</v>
      </c>
      <c r="E462" s="66" t="n">
        <v>4639.26004</v>
      </c>
      <c r="F462" s="67">
        <f>D462-E462</f>
        <v/>
      </c>
      <c r="G462" s="66">
        <f>F462^2</f>
        <v/>
      </c>
      <c r="H462" s="65" t="inlineStr"/>
      <c r="I462" s="65" t="inlineStr"/>
    </row>
    <row r="463">
      <c r="A463" s="68" t="n">
        <v>450</v>
      </c>
      <c r="B463" s="83" t="n">
        <v>449</v>
      </c>
      <c r="C463" s="83">
        <f>B463^2</f>
        <v/>
      </c>
      <c r="D463" s="69" t="n">
        <v>4556.2</v>
      </c>
      <c r="E463" s="69" t="n">
        <v>4639.46249</v>
      </c>
      <c r="F463" s="70">
        <f>D463-E463</f>
        <v/>
      </c>
      <c r="G463" s="69">
        <f>F463^2</f>
        <v/>
      </c>
      <c r="H463" s="68" t="inlineStr"/>
      <c r="I463" s="68" t="inlineStr"/>
    </row>
    <row r="464">
      <c r="A464" s="65" t="n">
        <v>451</v>
      </c>
      <c r="B464" s="82" t="n">
        <v>450</v>
      </c>
      <c r="C464" s="82">
        <f>B464^2</f>
        <v/>
      </c>
      <c r="D464" s="66" t="n">
        <v>4558.57</v>
      </c>
      <c r="E464" s="66" t="n">
        <v>4639.66493</v>
      </c>
      <c r="F464" s="67">
        <f>D464-E464</f>
        <v/>
      </c>
      <c r="G464" s="66">
        <f>F464^2</f>
        <v/>
      </c>
      <c r="H464" s="65" t="inlineStr"/>
      <c r="I464" s="65" t="inlineStr"/>
    </row>
    <row r="465">
      <c r="A465" s="68" t="n">
        <v>452</v>
      </c>
      <c r="B465" s="83" t="n">
        <v>451</v>
      </c>
      <c r="C465" s="83">
        <f>B465^2</f>
        <v/>
      </c>
      <c r="D465" s="69" t="n">
        <v>4560.43</v>
      </c>
      <c r="E465" s="69" t="n">
        <v>4639.86738</v>
      </c>
      <c r="F465" s="70">
        <f>D465-E465</f>
        <v/>
      </c>
      <c r="G465" s="69">
        <f>F465^2</f>
        <v/>
      </c>
      <c r="H465" s="68" t="inlineStr"/>
      <c r="I465" s="68" t="inlineStr"/>
    </row>
    <row r="466">
      <c r="A466" s="65" t="n">
        <v>453</v>
      </c>
      <c r="B466" s="82" t="n">
        <v>452</v>
      </c>
      <c r="C466" s="82">
        <f>B466^2</f>
        <v/>
      </c>
      <c r="D466" s="66" t="n">
        <v>4559.93</v>
      </c>
      <c r="E466" s="66" t="n">
        <v>4640.06983</v>
      </c>
      <c r="F466" s="67">
        <f>D466-E466</f>
        <v/>
      </c>
      <c r="G466" s="66">
        <f>F466^2</f>
        <v/>
      </c>
      <c r="H466" s="65" t="inlineStr"/>
      <c r="I466" s="65" t="inlineStr"/>
    </row>
    <row r="467">
      <c r="A467" s="68" t="n">
        <v>454</v>
      </c>
      <c r="B467" s="83" t="n">
        <v>453</v>
      </c>
      <c r="C467" s="83">
        <f>B467^2</f>
        <v/>
      </c>
      <c r="D467" s="69" t="n">
        <v>4564.29</v>
      </c>
      <c r="E467" s="69" t="n">
        <v>4640.27227</v>
      </c>
      <c r="F467" s="70">
        <f>D467-E467</f>
        <v/>
      </c>
      <c r="G467" s="69">
        <f>F467^2</f>
        <v/>
      </c>
      <c r="H467" s="68" t="inlineStr"/>
      <c r="I467" s="68" t="inlineStr"/>
    </row>
    <row r="468">
      <c r="A468" s="65" t="n">
        <v>455</v>
      </c>
      <c r="B468" s="82" t="n">
        <v>454</v>
      </c>
      <c r="C468" s="82">
        <f>B468^2</f>
        <v/>
      </c>
      <c r="D468" s="66" t="n">
        <v>4562.18</v>
      </c>
      <c r="E468" s="66" t="n">
        <v>4640.47472</v>
      </c>
      <c r="F468" s="67">
        <f>D468-E468</f>
        <v/>
      </c>
      <c r="G468" s="66">
        <f>F468^2</f>
        <v/>
      </c>
      <c r="H468" s="65" t="inlineStr"/>
      <c r="I468" s="65" t="inlineStr"/>
    </row>
    <row r="469">
      <c r="A469" s="68" t="n">
        <v>456</v>
      </c>
      <c r="B469" s="83" t="n">
        <v>455</v>
      </c>
      <c r="C469" s="83">
        <f>B469^2</f>
        <v/>
      </c>
      <c r="D469" s="69" t="n">
        <v>4561.56</v>
      </c>
      <c r="E469" s="69" t="n">
        <v>4640.67716</v>
      </c>
      <c r="F469" s="70">
        <f>D469-E469</f>
        <v/>
      </c>
      <c r="G469" s="69">
        <f>F469^2</f>
        <v/>
      </c>
      <c r="H469" s="68" t="inlineStr"/>
      <c r="I469" s="68" t="inlineStr"/>
    </row>
    <row r="470">
      <c r="A470" s="65" t="n">
        <v>457</v>
      </c>
      <c r="B470" s="82" t="n">
        <v>456</v>
      </c>
      <c r="C470" s="82">
        <f>B470^2</f>
        <v/>
      </c>
      <c r="D470" s="66" t="n">
        <v>4561.04</v>
      </c>
      <c r="E470" s="66" t="n">
        <v>4640.87961</v>
      </c>
      <c r="F470" s="67">
        <f>D470-E470</f>
        <v/>
      </c>
      <c r="G470" s="66">
        <f>F470^2</f>
        <v/>
      </c>
      <c r="H470" s="65" t="inlineStr"/>
      <c r="I470" s="65" t="inlineStr"/>
    </row>
    <row r="471">
      <c r="A471" s="68" t="n">
        <v>458</v>
      </c>
      <c r="B471" s="83" t="n">
        <v>457</v>
      </c>
      <c r="C471" s="83">
        <f>B471^2</f>
        <v/>
      </c>
      <c r="D471" s="69" t="n">
        <v>4557.24</v>
      </c>
      <c r="E471" s="69" t="n">
        <v>4641.08205</v>
      </c>
      <c r="F471" s="70">
        <f>D471-E471</f>
        <v/>
      </c>
      <c r="G471" s="69">
        <f>F471^2</f>
        <v/>
      </c>
      <c r="H471" s="68" t="inlineStr"/>
      <c r="I471" s="68" t="inlineStr"/>
    </row>
    <row r="472">
      <c r="A472" s="65" t="n">
        <v>459</v>
      </c>
      <c r="B472" s="82" t="n">
        <v>458</v>
      </c>
      <c r="C472" s="82">
        <f>B472^2</f>
        <v/>
      </c>
      <c r="D472" s="66" t="n">
        <v>4556.32</v>
      </c>
      <c r="E472" s="66" t="n">
        <v>4641.2845</v>
      </c>
      <c r="F472" s="67">
        <f>D472-E472</f>
        <v/>
      </c>
      <c r="G472" s="66">
        <f>F472^2</f>
        <v/>
      </c>
      <c r="H472" s="65" t="inlineStr"/>
      <c r="I472" s="65" t="inlineStr"/>
    </row>
    <row r="473">
      <c r="A473" s="68" t="n">
        <v>460</v>
      </c>
      <c r="B473" s="83" t="n">
        <v>459</v>
      </c>
      <c r="C473" s="83">
        <f>B473^2</f>
        <v/>
      </c>
      <c r="D473" s="69" t="n">
        <v>4555.64</v>
      </c>
      <c r="E473" s="69" t="n">
        <v>4641.48695</v>
      </c>
      <c r="F473" s="70">
        <f>D473-E473</f>
        <v/>
      </c>
      <c r="G473" s="69">
        <f>F473^2</f>
        <v/>
      </c>
      <c r="H473" s="68" t="inlineStr"/>
      <c r="I473" s="68" t="inlineStr"/>
    </row>
    <row r="474">
      <c r="A474" s="65" t="n">
        <v>461</v>
      </c>
      <c r="B474" s="82" t="n">
        <v>460</v>
      </c>
      <c r="C474" s="82">
        <f>B474^2</f>
        <v/>
      </c>
      <c r="D474" s="66" t="n">
        <v>4554.64</v>
      </c>
      <c r="E474" s="66" t="n">
        <v>4641.68939</v>
      </c>
      <c r="F474" s="67">
        <f>D474-E474</f>
        <v/>
      </c>
      <c r="G474" s="66">
        <f>F474^2</f>
        <v/>
      </c>
      <c r="H474" s="65" t="inlineStr"/>
      <c r="I474" s="65" t="inlineStr"/>
    </row>
    <row r="475">
      <c r="A475" s="68" t="n">
        <v>462</v>
      </c>
      <c r="B475" s="83" t="n">
        <v>461</v>
      </c>
      <c r="C475" s="83">
        <f>B475^2</f>
        <v/>
      </c>
      <c r="D475" s="69" t="n">
        <v>4557.01</v>
      </c>
      <c r="E475" s="69" t="n">
        <v>4641.89184</v>
      </c>
      <c r="F475" s="70">
        <f>D475-E475</f>
        <v/>
      </c>
      <c r="G475" s="69">
        <f>F475^2</f>
        <v/>
      </c>
      <c r="H475" s="68" t="inlineStr"/>
      <c r="I475" s="68" t="inlineStr"/>
    </row>
    <row r="476">
      <c r="A476" s="65" t="n">
        <v>463</v>
      </c>
      <c r="B476" s="82" t="n">
        <v>462</v>
      </c>
      <c r="C476" s="82">
        <f>B476^2</f>
        <v/>
      </c>
      <c r="D476" s="66" t="n">
        <v>4559.18</v>
      </c>
      <c r="E476" s="66" t="n">
        <v>4642.09428</v>
      </c>
      <c r="F476" s="67">
        <f>D476-E476</f>
        <v/>
      </c>
      <c r="G476" s="66">
        <f>F476^2</f>
        <v/>
      </c>
      <c r="H476" s="65" t="inlineStr"/>
      <c r="I476" s="65" t="inlineStr"/>
    </row>
    <row r="477">
      <c r="A477" s="68" t="n">
        <v>464</v>
      </c>
      <c r="B477" s="83" t="n">
        <v>463</v>
      </c>
      <c r="C477" s="83">
        <f>B477^2</f>
        <v/>
      </c>
      <c r="D477" s="69" t="n">
        <v>4555.63</v>
      </c>
      <c r="E477" s="69" t="n">
        <v>4642.29673</v>
      </c>
      <c r="F477" s="70">
        <f>D477-E477</f>
        <v/>
      </c>
      <c r="G477" s="69">
        <f>F477^2</f>
        <v/>
      </c>
      <c r="H477" s="68" t="inlineStr"/>
      <c r="I477" s="68" t="inlineStr"/>
    </row>
    <row r="478">
      <c r="A478" s="65" t="n">
        <v>465</v>
      </c>
      <c r="B478" s="82" t="n">
        <v>464</v>
      </c>
      <c r="C478" s="82">
        <f>B478^2</f>
        <v/>
      </c>
      <c r="D478" s="66" t="n">
        <v>4557.58</v>
      </c>
      <c r="E478" s="66" t="n">
        <v>4642.49917</v>
      </c>
      <c r="F478" s="67">
        <f>D478-E478</f>
        <v/>
      </c>
      <c r="G478" s="66">
        <f>F478^2</f>
        <v/>
      </c>
      <c r="H478" s="65" t="inlineStr"/>
      <c r="I478" s="65" t="inlineStr"/>
    </row>
    <row r="479">
      <c r="A479" s="68" t="n">
        <v>466</v>
      </c>
      <c r="B479" s="83" t="n">
        <v>465</v>
      </c>
      <c r="C479" s="83">
        <f>B479^2</f>
        <v/>
      </c>
      <c r="D479" s="69" t="n">
        <v>4550.67</v>
      </c>
      <c r="E479" s="69" t="n">
        <v>4642.70162</v>
      </c>
      <c r="F479" s="70">
        <f>D479-E479</f>
        <v/>
      </c>
      <c r="G479" s="69">
        <f>F479^2</f>
        <v/>
      </c>
      <c r="H479" s="68" t="inlineStr"/>
      <c r="I479" s="68" t="inlineStr"/>
    </row>
    <row r="480">
      <c r="A480" s="65" t="n">
        <v>467</v>
      </c>
      <c r="B480" s="82" t="n">
        <v>466</v>
      </c>
      <c r="C480" s="82">
        <f>B480^2</f>
        <v/>
      </c>
      <c r="D480" s="66" t="n">
        <v>4546.68</v>
      </c>
      <c r="E480" s="66" t="n">
        <v>4642.90407</v>
      </c>
      <c r="F480" s="67">
        <f>D480-E480</f>
        <v/>
      </c>
      <c r="G480" s="66">
        <f>F480^2</f>
        <v/>
      </c>
      <c r="H480" s="65" t="inlineStr"/>
      <c r="I480" s="65" t="inlineStr"/>
    </row>
    <row r="481">
      <c r="A481" s="68" t="n">
        <v>468</v>
      </c>
      <c r="B481" s="83" t="n">
        <v>467</v>
      </c>
      <c r="C481" s="83">
        <f>B481^2</f>
        <v/>
      </c>
      <c r="D481" s="69" t="n">
        <v>4548.82</v>
      </c>
      <c r="E481" s="69" t="n">
        <v>4643.10651</v>
      </c>
      <c r="F481" s="70">
        <f>D481-E481</f>
        <v/>
      </c>
      <c r="G481" s="69">
        <f>F481^2</f>
        <v/>
      </c>
      <c r="H481" s="68" t="inlineStr"/>
      <c r="I481" s="68" t="inlineStr"/>
    </row>
    <row r="482">
      <c r="A482" s="65" t="n">
        <v>469</v>
      </c>
      <c r="B482" s="82" t="n">
        <v>468</v>
      </c>
      <c r="C482" s="82">
        <f>B482^2</f>
        <v/>
      </c>
      <c r="D482" s="66" t="n">
        <v>4573.43</v>
      </c>
      <c r="E482" s="66" t="n">
        <v>4643.30896</v>
      </c>
      <c r="F482" s="67">
        <f>D482-E482</f>
        <v/>
      </c>
      <c r="G482" s="66">
        <f>F482^2</f>
        <v/>
      </c>
      <c r="H482" s="65" t="inlineStr"/>
      <c r="I482" s="65" t="inlineStr"/>
    </row>
    <row r="483">
      <c r="A483" s="68" t="n">
        <v>470</v>
      </c>
      <c r="B483" s="83" t="n">
        <v>469</v>
      </c>
      <c r="C483" s="83">
        <f>B483^2</f>
        <v/>
      </c>
      <c r="D483" s="69" t="n">
        <v>4588.62</v>
      </c>
      <c r="E483" s="69" t="n">
        <v>4643.5114</v>
      </c>
      <c r="F483" s="70">
        <f>D483-E483</f>
        <v/>
      </c>
      <c r="G483" s="69">
        <f>F483^2</f>
        <v/>
      </c>
      <c r="H483" s="68" t="inlineStr"/>
      <c r="I483" s="68" t="inlineStr"/>
    </row>
    <row r="484">
      <c r="A484" s="65" t="n">
        <v>471</v>
      </c>
      <c r="B484" s="82" t="n">
        <v>470</v>
      </c>
      <c r="C484" s="82">
        <f>B484^2</f>
        <v/>
      </c>
      <c r="D484" s="66" t="n">
        <v>4582.1</v>
      </c>
      <c r="E484" s="66" t="n">
        <v>4643.71385</v>
      </c>
      <c r="F484" s="67">
        <f>D484-E484</f>
        <v/>
      </c>
      <c r="G484" s="66">
        <f>F484^2</f>
        <v/>
      </c>
      <c r="H484" s="65" t="inlineStr"/>
      <c r="I484" s="65" t="inlineStr"/>
    </row>
    <row r="485">
      <c r="A485" s="68" t="n">
        <v>472</v>
      </c>
      <c r="B485" s="83" t="n">
        <v>471</v>
      </c>
      <c r="C485" s="83">
        <f>B485^2</f>
        <v/>
      </c>
      <c r="D485" s="69" t="n">
        <v>4584.84</v>
      </c>
      <c r="E485" s="69" t="n">
        <v>4643.91629</v>
      </c>
      <c r="F485" s="70">
        <f>D485-E485</f>
        <v/>
      </c>
      <c r="G485" s="69">
        <f>F485^2</f>
        <v/>
      </c>
      <c r="H485" s="68" t="inlineStr"/>
      <c r="I485" s="68" t="inlineStr"/>
    </row>
    <row r="486">
      <c r="A486" s="65" t="n">
        <v>473</v>
      </c>
      <c r="B486" s="82" t="n">
        <v>472</v>
      </c>
      <c r="C486" s="82">
        <f>B486^2</f>
        <v/>
      </c>
      <c r="D486" s="66" t="n">
        <v>4593.92</v>
      </c>
      <c r="E486" s="66" t="n">
        <v>4644.11874</v>
      </c>
      <c r="F486" s="67">
        <f>D486-E486</f>
        <v/>
      </c>
      <c r="G486" s="66">
        <f>F486^2</f>
        <v/>
      </c>
      <c r="H486" s="65" t="inlineStr"/>
      <c r="I486" s="65" t="inlineStr"/>
    </row>
    <row r="487">
      <c r="A487" s="68" t="n">
        <v>474</v>
      </c>
      <c r="B487" s="83" t="n">
        <v>473</v>
      </c>
      <c r="C487" s="83">
        <f>B487^2</f>
        <v/>
      </c>
      <c r="D487" s="69" t="n">
        <v>4591.76</v>
      </c>
      <c r="E487" s="69" t="n">
        <v>4644.32119</v>
      </c>
      <c r="F487" s="70">
        <f>D487-E487</f>
        <v/>
      </c>
      <c r="G487" s="69">
        <f>F487^2</f>
        <v/>
      </c>
      <c r="H487" s="68" t="inlineStr"/>
      <c r="I487" s="68" t="inlineStr"/>
    </row>
    <row r="488">
      <c r="A488" s="65" t="n">
        <v>475</v>
      </c>
      <c r="B488" s="82" t="n">
        <v>474</v>
      </c>
      <c r="C488" s="82">
        <f>B488^2</f>
        <v/>
      </c>
      <c r="D488" s="66" t="n">
        <v>4602.23</v>
      </c>
      <c r="E488" s="66" t="n">
        <v>4644.52363</v>
      </c>
      <c r="F488" s="67">
        <f>D488-E488</f>
        <v/>
      </c>
      <c r="G488" s="66">
        <f>F488^2</f>
        <v/>
      </c>
      <c r="H488" s="65" t="inlineStr"/>
      <c r="I488" s="65" t="inlineStr"/>
    </row>
    <row r="489">
      <c r="A489" s="68" t="n">
        <v>476</v>
      </c>
      <c r="B489" s="83" t="n">
        <v>475</v>
      </c>
      <c r="C489" s="83">
        <f>B489^2</f>
        <v/>
      </c>
      <c r="D489" s="69" t="n">
        <v>4610.32</v>
      </c>
      <c r="E489" s="69" t="n">
        <v>4644.72608</v>
      </c>
      <c r="F489" s="70">
        <f>D489-E489</f>
        <v/>
      </c>
      <c r="G489" s="69">
        <f>F489^2</f>
        <v/>
      </c>
      <c r="H489" s="68" t="inlineStr"/>
      <c r="I489" s="68" t="inlineStr"/>
    </row>
    <row r="490">
      <c r="A490" s="65" t="n">
        <v>477</v>
      </c>
      <c r="B490" s="82" t="n">
        <v>476</v>
      </c>
      <c r="C490" s="82">
        <f>B490^2</f>
        <v/>
      </c>
      <c r="D490" s="66" t="n">
        <v>4618.87</v>
      </c>
      <c r="E490" s="66" t="n">
        <v>4644.92852</v>
      </c>
      <c r="F490" s="67">
        <f>D490-E490</f>
        <v/>
      </c>
      <c r="G490" s="66">
        <f>F490^2</f>
        <v/>
      </c>
      <c r="H490" s="65" t="inlineStr"/>
      <c r="I490" s="65" t="inlineStr"/>
    </row>
    <row r="491">
      <c r="A491" s="68" t="n">
        <v>478</v>
      </c>
      <c r="B491" s="83" t="n">
        <v>477</v>
      </c>
      <c r="C491" s="83">
        <f>B491^2</f>
        <v/>
      </c>
      <c r="D491" s="69" t="n">
        <v>4611.55</v>
      </c>
      <c r="E491" s="69" t="n">
        <v>4645.13097</v>
      </c>
      <c r="F491" s="70">
        <f>D491-E491</f>
        <v/>
      </c>
      <c r="G491" s="69">
        <f>F491^2</f>
        <v/>
      </c>
      <c r="H491" s="68" t="inlineStr"/>
      <c r="I491" s="68" t="inlineStr"/>
    </row>
    <row r="492">
      <c r="A492" s="65" t="n">
        <v>479</v>
      </c>
      <c r="B492" s="82" t="n">
        <v>478</v>
      </c>
      <c r="C492" s="82">
        <f>B492^2</f>
        <v/>
      </c>
      <c r="D492" s="66" t="n">
        <v>4625</v>
      </c>
      <c r="E492" s="66" t="n">
        <v>4645.33341</v>
      </c>
      <c r="F492" s="67">
        <f>D492-E492</f>
        <v/>
      </c>
      <c r="G492" s="66">
        <f>F492^2</f>
        <v/>
      </c>
      <c r="H492" s="65" t="inlineStr"/>
      <c r="I492" s="65" t="inlineStr"/>
    </row>
    <row r="493">
      <c r="A493" s="68" t="n">
        <v>480</v>
      </c>
      <c r="B493" s="83" t="n">
        <v>479</v>
      </c>
      <c r="C493" s="83">
        <f>B493^2</f>
        <v/>
      </c>
      <c r="D493" s="69" t="n">
        <v>4624.12</v>
      </c>
      <c r="E493" s="69" t="n">
        <v>4645.53586</v>
      </c>
      <c r="F493" s="70">
        <f>D493-E493</f>
        <v/>
      </c>
      <c r="G493" s="69">
        <f>F493^2</f>
        <v/>
      </c>
      <c r="H493" s="68" t="inlineStr"/>
      <c r="I493" s="68" t="inlineStr"/>
    </row>
    <row r="494">
      <c r="A494" s="65" t="n">
        <v>481</v>
      </c>
      <c r="B494" s="82" t="n">
        <v>480</v>
      </c>
      <c r="C494" s="82">
        <f>B494^2</f>
        <v/>
      </c>
      <c r="D494" s="66" t="n">
        <v>4626.18</v>
      </c>
      <c r="E494" s="66" t="n">
        <v>4645.73831</v>
      </c>
      <c r="F494" s="67">
        <f>D494-E494</f>
        <v/>
      </c>
      <c r="G494" s="66">
        <f>F494^2</f>
        <v/>
      </c>
      <c r="H494" s="65" t="inlineStr"/>
      <c r="I494" s="65" t="inlineStr"/>
    </row>
    <row r="495">
      <c r="A495" s="68" t="n">
        <v>482</v>
      </c>
      <c r="B495" s="83" t="n">
        <v>481</v>
      </c>
      <c r="C495" s="83">
        <f>B495^2</f>
        <v/>
      </c>
      <c r="D495" s="69" t="n">
        <v>4633.69</v>
      </c>
      <c r="E495" s="69" t="n">
        <v>4645.94075</v>
      </c>
      <c r="F495" s="70">
        <f>D495-E495</f>
        <v/>
      </c>
      <c r="G495" s="69">
        <f>F495^2</f>
        <v/>
      </c>
      <c r="H495" s="68" t="inlineStr"/>
      <c r="I495" s="68" t="inlineStr"/>
    </row>
    <row r="496">
      <c r="A496" s="65" t="n">
        <v>483</v>
      </c>
      <c r="B496" s="82" t="n">
        <v>482</v>
      </c>
      <c r="C496" s="82">
        <f>B496^2</f>
        <v/>
      </c>
      <c r="D496" s="66" t="n">
        <v>4630.22</v>
      </c>
      <c r="E496" s="66" t="n">
        <v>4646.1432</v>
      </c>
      <c r="F496" s="67">
        <f>D496-E496</f>
        <v/>
      </c>
      <c r="G496" s="66">
        <f>F496^2</f>
        <v/>
      </c>
      <c r="H496" s="65" t="inlineStr"/>
      <c r="I496" s="65" t="inlineStr"/>
    </row>
    <row r="497">
      <c r="A497" s="68" t="n">
        <v>484</v>
      </c>
      <c r="B497" s="83" t="n">
        <v>483</v>
      </c>
      <c r="C497" s="83">
        <f>B497^2</f>
        <v/>
      </c>
      <c r="D497" s="69" t="n">
        <v>4635.01</v>
      </c>
      <c r="E497" s="69" t="n">
        <v>4646.34564</v>
      </c>
      <c r="F497" s="70">
        <f>D497-E497</f>
        <v/>
      </c>
      <c r="G497" s="69">
        <f>F497^2</f>
        <v/>
      </c>
      <c r="H497" s="68" t="inlineStr"/>
      <c r="I497" s="68" t="inlineStr"/>
    </row>
    <row r="498">
      <c r="A498" s="65" t="n">
        <v>485</v>
      </c>
      <c r="B498" s="82" t="n">
        <v>484</v>
      </c>
      <c r="C498" s="82">
        <f>B498^2</f>
        <v/>
      </c>
      <c r="D498" s="66" t="n">
        <v>4640.94</v>
      </c>
      <c r="E498" s="66" t="n">
        <v>4646.54809</v>
      </c>
      <c r="F498" s="67">
        <f>D498-E498</f>
        <v/>
      </c>
      <c r="G498" s="66">
        <f>F498^2</f>
        <v/>
      </c>
      <c r="H498" s="65" t="inlineStr"/>
      <c r="I498" s="65" t="inlineStr"/>
    </row>
    <row r="499">
      <c r="A499" s="68" t="n">
        <v>486</v>
      </c>
      <c r="B499" s="83" t="n">
        <v>485</v>
      </c>
      <c r="C499" s="83">
        <f>B499^2</f>
        <v/>
      </c>
      <c r="D499" s="69" t="n">
        <v>4647.89</v>
      </c>
      <c r="E499" s="69" t="n">
        <v>4646.75053</v>
      </c>
      <c r="F499" s="70">
        <f>D499-E499</f>
        <v/>
      </c>
      <c r="G499" s="69">
        <f>F499^2</f>
        <v/>
      </c>
      <c r="H499" s="68" t="inlineStr"/>
      <c r="I499" s="68" t="inlineStr"/>
    </row>
    <row r="500">
      <c r="A500" s="65" t="n">
        <v>487</v>
      </c>
      <c r="B500" s="82" t="n">
        <v>486</v>
      </c>
      <c r="C500" s="82">
        <f>B500^2</f>
        <v/>
      </c>
      <c r="D500" s="66" t="n">
        <v>4645.81</v>
      </c>
      <c r="E500" s="66" t="n">
        <v>4646.95298</v>
      </c>
      <c r="F500" s="67">
        <f>D500-E500</f>
        <v/>
      </c>
      <c r="G500" s="66">
        <f>F500^2</f>
        <v/>
      </c>
      <c r="H500" s="65" t="inlineStr"/>
      <c r="I500" s="65" t="inlineStr"/>
    </row>
    <row r="501">
      <c r="A501" s="68" t="n">
        <v>488</v>
      </c>
      <c r="B501" s="83" t="n">
        <v>487</v>
      </c>
      <c r="C501" s="83">
        <f>B501^2</f>
        <v/>
      </c>
      <c r="D501" s="69" t="n">
        <v>4647.74</v>
      </c>
      <c r="E501" s="69" t="n">
        <v>4647.15542</v>
      </c>
      <c r="F501" s="70">
        <f>D501-E501</f>
        <v/>
      </c>
      <c r="G501" s="69">
        <f>F501^2</f>
        <v/>
      </c>
      <c r="H501" s="68" t="inlineStr"/>
      <c r="I501" s="68" t="inlineStr"/>
    </row>
    <row r="502">
      <c r="A502" s="65" t="n">
        <v>489</v>
      </c>
      <c r="B502" s="82" t="n">
        <v>488</v>
      </c>
      <c r="C502" s="82">
        <f>B502^2</f>
        <v/>
      </c>
      <c r="D502" s="66" t="n">
        <v>4643.84</v>
      </c>
      <c r="E502" s="66" t="n">
        <v>4647.35787</v>
      </c>
      <c r="F502" s="67">
        <f>D502-E502</f>
        <v/>
      </c>
      <c r="G502" s="66">
        <f>F502^2</f>
        <v/>
      </c>
      <c r="H502" s="65" t="inlineStr"/>
      <c r="I502" s="65" t="inlineStr"/>
    </row>
    <row r="503">
      <c r="A503" s="68" t="n">
        <v>490</v>
      </c>
      <c r="B503" s="83" t="n">
        <v>489</v>
      </c>
      <c r="C503" s="83">
        <f>B503^2</f>
        <v/>
      </c>
      <c r="D503" s="69" t="n">
        <v>4647.59</v>
      </c>
      <c r="E503" s="69" t="n">
        <v>4647.56032</v>
      </c>
      <c r="F503" s="70">
        <f>D503-E503</f>
        <v/>
      </c>
      <c r="G503" s="69">
        <f>F503^2</f>
        <v/>
      </c>
      <c r="H503" s="68" t="inlineStr"/>
      <c r="I503" s="68" t="inlineStr"/>
    </row>
    <row r="504">
      <c r="A504" s="65" t="n">
        <v>491</v>
      </c>
      <c r="B504" s="82" t="n">
        <v>490</v>
      </c>
      <c r="C504" s="82">
        <f>B504^2</f>
        <v/>
      </c>
      <c r="D504" s="66" t="n">
        <v>4653.19</v>
      </c>
      <c r="E504" s="66" t="n">
        <v>4647.76276</v>
      </c>
      <c r="F504" s="67">
        <f>D504-E504</f>
        <v/>
      </c>
      <c r="G504" s="66">
        <f>F504^2</f>
        <v/>
      </c>
      <c r="H504" s="65" t="inlineStr"/>
      <c r="I504" s="65" t="inlineStr"/>
    </row>
    <row r="505">
      <c r="A505" s="68" t="n">
        <v>492</v>
      </c>
      <c r="B505" s="83" t="n">
        <v>491</v>
      </c>
      <c r="C505" s="83">
        <f>B505^2</f>
        <v/>
      </c>
      <c r="D505" s="69" t="n">
        <v>4647.47</v>
      </c>
      <c r="E505" s="69" t="n">
        <v>4647.96521</v>
      </c>
      <c r="F505" s="70">
        <f>D505-E505</f>
        <v/>
      </c>
      <c r="G505" s="69">
        <f>F505^2</f>
        <v/>
      </c>
      <c r="H505" s="68" t="inlineStr"/>
      <c r="I505" s="68" t="inlineStr"/>
    </row>
    <row r="506">
      <c r="A506" s="65" t="n">
        <v>493</v>
      </c>
      <c r="B506" s="82" t="n">
        <v>492</v>
      </c>
      <c r="C506" s="82">
        <f>B506^2</f>
        <v/>
      </c>
      <c r="D506" s="66" t="n">
        <v>4648.72</v>
      </c>
      <c r="E506" s="66" t="n">
        <v>4648.16765</v>
      </c>
      <c r="F506" s="67">
        <f>D506-E506</f>
        <v/>
      </c>
      <c r="G506" s="66">
        <f>F506^2</f>
        <v/>
      </c>
      <c r="H506" s="65" t="inlineStr"/>
      <c r="I506" s="65" t="inlineStr"/>
    </row>
    <row r="507">
      <c r="A507" s="68" t="n">
        <v>494</v>
      </c>
      <c r="B507" s="83" t="n">
        <v>493</v>
      </c>
      <c r="C507" s="83">
        <f>B507^2</f>
        <v/>
      </c>
      <c r="D507" s="69" t="n">
        <v>4654.64</v>
      </c>
      <c r="E507" s="69" t="n">
        <v>4648.3701</v>
      </c>
      <c r="F507" s="70">
        <f>D507-E507</f>
        <v/>
      </c>
      <c r="G507" s="69">
        <f>F507^2</f>
        <v/>
      </c>
      <c r="H507" s="68" t="inlineStr"/>
      <c r="I507" s="68" t="inlineStr"/>
    </row>
    <row r="508">
      <c r="A508" s="65" t="n">
        <v>495</v>
      </c>
      <c r="B508" s="82" t="n">
        <v>494</v>
      </c>
      <c r="C508" s="82">
        <f>B508^2</f>
        <v/>
      </c>
      <c r="D508" s="66" t="n">
        <v>4650.4</v>
      </c>
      <c r="E508" s="66" t="n">
        <v>4648.57254</v>
      </c>
      <c r="F508" s="67">
        <f>D508-E508</f>
        <v/>
      </c>
      <c r="G508" s="66">
        <f>F508^2</f>
        <v/>
      </c>
      <c r="H508" s="65" t="inlineStr"/>
      <c r="I508" s="65" t="inlineStr"/>
    </row>
    <row r="509">
      <c r="A509" s="68" t="n">
        <v>496</v>
      </c>
      <c r="B509" s="83" t="n">
        <v>495</v>
      </c>
      <c r="C509" s="83">
        <f>B509^2</f>
        <v/>
      </c>
      <c r="D509" s="69" t="n">
        <v>4650.19</v>
      </c>
      <c r="E509" s="69" t="n">
        <v>4648.77499</v>
      </c>
      <c r="F509" s="70">
        <f>D509-E509</f>
        <v/>
      </c>
      <c r="G509" s="69">
        <f>F509^2</f>
        <v/>
      </c>
      <c r="H509" s="68" t="inlineStr"/>
      <c r="I509" s="68" t="inlineStr"/>
    </row>
    <row r="510">
      <c r="A510" s="65" t="n">
        <v>497</v>
      </c>
      <c r="B510" s="82" t="n">
        <v>496</v>
      </c>
      <c r="C510" s="82">
        <f>B510^2</f>
        <v/>
      </c>
      <c r="D510" s="66" t="n">
        <v>4663.2</v>
      </c>
      <c r="E510" s="66" t="n">
        <v>4648.97744</v>
      </c>
      <c r="F510" s="67">
        <f>D510-E510</f>
        <v/>
      </c>
      <c r="G510" s="66">
        <f>F510^2</f>
        <v/>
      </c>
      <c r="H510" s="65" t="inlineStr"/>
      <c r="I510" s="65" t="inlineStr"/>
    </row>
    <row r="511">
      <c r="A511" s="68" t="n">
        <v>498</v>
      </c>
      <c r="B511" s="83" t="n">
        <v>497</v>
      </c>
      <c r="C511" s="83">
        <f>B511^2</f>
        <v/>
      </c>
      <c r="D511" s="69" t="n">
        <v>4660.55</v>
      </c>
      <c r="E511" s="69" t="n">
        <v>4649.17988</v>
      </c>
      <c r="F511" s="70">
        <f>D511-E511</f>
        <v/>
      </c>
      <c r="G511" s="69">
        <f>F511^2</f>
        <v/>
      </c>
      <c r="H511" s="68" t="inlineStr"/>
      <c r="I511" s="68" t="inlineStr"/>
    </row>
    <row r="512">
      <c r="A512" s="65" t="n">
        <v>499</v>
      </c>
      <c r="B512" s="82" t="n">
        <v>498</v>
      </c>
      <c r="C512" s="82">
        <f>B512^2</f>
        <v/>
      </c>
      <c r="D512" s="66" t="n">
        <v>4666.15</v>
      </c>
      <c r="E512" s="66" t="n">
        <v>4649.38233</v>
      </c>
      <c r="F512" s="67">
        <f>D512-E512</f>
        <v/>
      </c>
      <c r="G512" s="66">
        <f>F512^2</f>
        <v/>
      </c>
      <c r="H512" s="65" t="inlineStr"/>
      <c r="I512" s="65" t="inlineStr"/>
    </row>
    <row r="513">
      <c r="A513" s="68" t="n">
        <v>500</v>
      </c>
      <c r="B513" s="83" t="n">
        <v>499</v>
      </c>
      <c r="C513" s="83">
        <f>B513^2</f>
        <v/>
      </c>
      <c r="D513" s="69" t="n">
        <v>4664.33</v>
      </c>
      <c r="E513" s="69" t="n">
        <v>4649.58477</v>
      </c>
      <c r="F513" s="70">
        <f>D513-E513</f>
        <v/>
      </c>
      <c r="G513" s="69">
        <f>F513^2</f>
        <v/>
      </c>
      <c r="H513" s="68" t="inlineStr"/>
      <c r="I513" s="68" t="inlineStr"/>
    </row>
    <row r="514">
      <c r="A514" s="65" t="n">
        <v>501</v>
      </c>
      <c r="B514" s="82" t="n">
        <v>500</v>
      </c>
      <c r="C514" s="82">
        <f>B514^2</f>
        <v/>
      </c>
      <c r="D514" s="66" t="n">
        <v>4669.38</v>
      </c>
      <c r="E514" s="66" t="n">
        <v>4649.78722</v>
      </c>
      <c r="F514" s="67">
        <f>D514-E514</f>
        <v/>
      </c>
      <c r="G514" s="66">
        <f>F514^2</f>
        <v/>
      </c>
      <c r="H514" s="65" t="inlineStr"/>
      <c r="I514" s="65" t="inlineStr"/>
    </row>
    <row r="515">
      <c r="A515" s="68" t="n">
        <v>502</v>
      </c>
      <c r="B515" s="83" t="n">
        <v>501</v>
      </c>
      <c r="C515" s="83">
        <f>B515^2</f>
        <v/>
      </c>
      <c r="D515" s="69" t="n">
        <v>4658.43</v>
      </c>
      <c r="E515" s="69" t="n">
        <v>4649.98966</v>
      </c>
      <c r="F515" s="70">
        <f>D515-E515</f>
        <v/>
      </c>
      <c r="G515" s="69">
        <f>F515^2</f>
        <v/>
      </c>
      <c r="H515" s="68" t="inlineStr"/>
      <c r="I515" s="68" t="inlineStr"/>
    </row>
    <row r="516">
      <c r="A516" s="65" t="n">
        <v>503</v>
      </c>
      <c r="B516" s="82" t="n">
        <v>502</v>
      </c>
      <c r="C516" s="82">
        <f>B516^2</f>
        <v/>
      </c>
      <c r="D516" s="66" t="n">
        <v>4667.5</v>
      </c>
      <c r="E516" s="66" t="n">
        <v>4650.19211</v>
      </c>
      <c r="F516" s="67">
        <f>D516-E516</f>
        <v/>
      </c>
      <c r="G516" s="66">
        <f>F516^2</f>
        <v/>
      </c>
      <c r="H516" s="65" t="inlineStr"/>
      <c r="I516" s="65" t="inlineStr"/>
    </row>
    <row r="517">
      <c r="A517" s="68" t="n">
        <v>504</v>
      </c>
      <c r="B517" s="83" t="n">
        <v>503</v>
      </c>
      <c r="C517" s="83">
        <f>B517^2</f>
        <v/>
      </c>
      <c r="D517" s="69" t="n">
        <v>4670.18</v>
      </c>
      <c r="E517" s="69" t="n">
        <v>4650.39456</v>
      </c>
      <c r="F517" s="70">
        <f>D517-E517</f>
        <v/>
      </c>
      <c r="G517" s="69">
        <f>F517^2</f>
        <v/>
      </c>
      <c r="H517" s="68" t="inlineStr"/>
      <c r="I517" s="68" t="inlineStr"/>
    </row>
    <row r="518">
      <c r="A518" s="65" t="n">
        <v>505</v>
      </c>
      <c r="B518" s="82" t="n">
        <v>504</v>
      </c>
      <c r="C518" s="82">
        <f>B518^2</f>
        <v/>
      </c>
      <c r="D518" s="66" t="n">
        <v>4681.72</v>
      </c>
      <c r="E518" s="66" t="n">
        <v>4650.597</v>
      </c>
      <c r="F518" s="67">
        <f>D518-E518</f>
        <v/>
      </c>
      <c r="G518" s="66">
        <f>F518^2</f>
        <v/>
      </c>
      <c r="H518" s="65" t="inlineStr"/>
      <c r="I518" s="65" t="inlineStr"/>
    </row>
    <row r="519">
      <c r="A519" s="68" t="n">
        <v>506</v>
      </c>
      <c r="B519" s="83" t="n">
        <v>505</v>
      </c>
      <c r="C519" s="83">
        <f>B519^2</f>
        <v/>
      </c>
      <c r="D519" s="69" t="n">
        <v>4679.57</v>
      </c>
      <c r="E519" s="69" t="n">
        <v>4650.79945</v>
      </c>
      <c r="F519" s="70">
        <f>D519-E519</f>
        <v/>
      </c>
      <c r="G519" s="69">
        <f>F519^2</f>
        <v/>
      </c>
      <c r="H519" s="68" t="inlineStr"/>
      <c r="I519" s="68" t="inlineStr"/>
    </row>
    <row r="520">
      <c r="A520" s="65" t="n">
        <v>507</v>
      </c>
      <c r="B520" s="82" t="n">
        <v>506</v>
      </c>
      <c r="C520" s="82">
        <f>B520^2</f>
        <v/>
      </c>
      <c r="D520" s="66" t="n">
        <v>4677</v>
      </c>
      <c r="E520" s="66" t="n">
        <v>4651.00189</v>
      </c>
      <c r="F520" s="67">
        <f>D520-E520</f>
        <v/>
      </c>
      <c r="G520" s="66">
        <f>F520^2</f>
        <v/>
      </c>
      <c r="H520" s="65" t="inlineStr"/>
      <c r="I520" s="65" t="inlineStr"/>
    </row>
    <row r="521">
      <c r="A521" s="68" t="n">
        <v>508</v>
      </c>
      <c r="B521" s="83" t="n">
        <v>507</v>
      </c>
      <c r="C521" s="83">
        <f>B521^2</f>
        <v/>
      </c>
      <c r="D521" s="69" t="n">
        <v>4677.27</v>
      </c>
      <c r="E521" s="69" t="n">
        <v>4651.20434</v>
      </c>
      <c r="F521" s="70">
        <f>D521-E521</f>
        <v/>
      </c>
      <c r="G521" s="69">
        <f>F521^2</f>
        <v/>
      </c>
      <c r="H521" s="68" t="inlineStr"/>
      <c r="I521" s="68" t="inlineStr"/>
    </row>
    <row r="522">
      <c r="A522" s="65" t="n">
        <v>509</v>
      </c>
      <c r="B522" s="82" t="n">
        <v>508</v>
      </c>
      <c r="C522" s="82">
        <f>B522^2</f>
        <v/>
      </c>
      <c r="D522" s="66" t="n">
        <v>4700.09</v>
      </c>
      <c r="E522" s="66" t="n">
        <v>4651.40678</v>
      </c>
      <c r="F522" s="67">
        <f>D522-E522</f>
        <v/>
      </c>
      <c r="G522" s="66">
        <f>F522^2</f>
        <v/>
      </c>
      <c r="H522" s="65" t="inlineStr"/>
      <c r="I522" s="65" t="inlineStr"/>
    </row>
    <row r="523">
      <c r="A523" s="68" t="n">
        <v>510</v>
      </c>
      <c r="B523" s="83" t="n">
        <v>509</v>
      </c>
      <c r="C523" s="83">
        <f>B523^2</f>
        <v/>
      </c>
      <c r="D523" s="69" t="n">
        <v>4695.69</v>
      </c>
      <c r="E523" s="69" t="n">
        <v>4651.60923</v>
      </c>
      <c r="F523" s="70">
        <f>D523-E523</f>
        <v/>
      </c>
      <c r="G523" s="69">
        <f>F523^2</f>
        <v/>
      </c>
      <c r="H523" s="68" t="inlineStr"/>
      <c r="I523" s="68" t="inlineStr"/>
    </row>
    <row r="524">
      <c r="A524" s="65" t="n">
        <v>511</v>
      </c>
      <c r="B524" s="82" t="n">
        <v>510</v>
      </c>
      <c r="C524" s="82">
        <f>B524^2</f>
        <v/>
      </c>
      <c r="D524" s="66" t="n">
        <v>4700.12</v>
      </c>
      <c r="E524" s="66" t="n">
        <v>4651.81168</v>
      </c>
      <c r="F524" s="67">
        <f>D524-E524</f>
        <v/>
      </c>
      <c r="G524" s="66">
        <f>F524^2</f>
        <v/>
      </c>
      <c r="H524" s="65" t="inlineStr"/>
      <c r="I524" s="65" t="inlineStr"/>
    </row>
    <row r="525">
      <c r="A525" s="68" t="n">
        <v>512</v>
      </c>
      <c r="B525" s="83" t="n">
        <v>511</v>
      </c>
      <c r="C525" s="83">
        <f>B525^2</f>
        <v/>
      </c>
      <c r="D525" s="69" t="n">
        <v>4696.04</v>
      </c>
      <c r="E525" s="69" t="n">
        <v>4652.01412</v>
      </c>
      <c r="F525" s="70">
        <f>D525-E525</f>
        <v/>
      </c>
      <c r="G525" s="69">
        <f>F525^2</f>
        <v/>
      </c>
      <c r="H525" s="68" t="inlineStr"/>
      <c r="I525" s="68" t="inlineStr"/>
    </row>
    <row r="526">
      <c r="A526" s="65" t="n">
        <v>513</v>
      </c>
      <c r="B526" s="82" t="n">
        <v>512</v>
      </c>
      <c r="C526" s="82">
        <f>B526^2</f>
        <v/>
      </c>
      <c r="D526" s="66" t="n">
        <v>4701.75</v>
      </c>
      <c r="E526" s="66" t="n">
        <v>4652.21657</v>
      </c>
      <c r="F526" s="67">
        <f>D526-E526</f>
        <v/>
      </c>
      <c r="G526" s="66">
        <f>F526^2</f>
        <v/>
      </c>
      <c r="H526" s="65" t="inlineStr"/>
      <c r="I526" s="65" t="inlineStr"/>
    </row>
    <row r="527">
      <c r="A527" s="68" t="n">
        <v>514</v>
      </c>
      <c r="B527" s="83" t="n">
        <v>513</v>
      </c>
      <c r="C527" s="83">
        <f>B527^2</f>
        <v/>
      </c>
      <c r="D527" s="69" t="n">
        <v>4698.2</v>
      </c>
      <c r="E527" s="69" t="n">
        <v>4652.41901</v>
      </c>
      <c r="F527" s="70">
        <f>D527-E527</f>
        <v/>
      </c>
      <c r="G527" s="69">
        <f>F527^2</f>
        <v/>
      </c>
      <c r="H527" s="68" t="inlineStr"/>
      <c r="I527" s="68" t="inlineStr"/>
    </row>
    <row r="528">
      <c r="A528" s="65" t="n">
        <v>515</v>
      </c>
      <c r="B528" s="82" t="n">
        <v>514</v>
      </c>
      <c r="C528" s="82">
        <f>B528^2</f>
        <v/>
      </c>
      <c r="D528" s="66" t="n">
        <v>4704.64</v>
      </c>
      <c r="E528" s="66" t="n">
        <v>4652.62146</v>
      </c>
      <c r="F528" s="67">
        <f>D528-E528</f>
        <v/>
      </c>
      <c r="G528" s="66">
        <f>F528^2</f>
        <v/>
      </c>
      <c r="H528" s="65" t="inlineStr"/>
      <c r="I528" s="65" t="inlineStr"/>
    </row>
    <row r="529">
      <c r="A529" s="68" t="n">
        <v>516</v>
      </c>
      <c r="B529" s="83" t="n">
        <v>515</v>
      </c>
      <c r="C529" s="83">
        <f>B529^2</f>
        <v/>
      </c>
      <c r="D529" s="69" t="n">
        <v>4714.15</v>
      </c>
      <c r="E529" s="69" t="n">
        <v>4652.8239</v>
      </c>
      <c r="F529" s="70">
        <f>D529-E529</f>
        <v/>
      </c>
      <c r="G529" s="69">
        <f>F529^2</f>
        <v/>
      </c>
      <c r="H529" s="68" t="inlineStr"/>
      <c r="I529" s="68" t="inlineStr"/>
    </row>
    <row r="530">
      <c r="A530" s="65" t="n">
        <v>517</v>
      </c>
      <c r="B530" s="82" t="n">
        <v>516</v>
      </c>
      <c r="C530" s="82">
        <f>B530^2</f>
        <v/>
      </c>
      <c r="D530" s="66" t="n">
        <v>4718.25</v>
      </c>
      <c r="E530" s="66" t="n">
        <v>4653.02635</v>
      </c>
      <c r="F530" s="67">
        <f>D530-E530</f>
        <v/>
      </c>
      <c r="G530" s="66">
        <f>F530^2</f>
        <v/>
      </c>
      <c r="H530" s="65" t="inlineStr"/>
      <c r="I530" s="65" t="inlineStr"/>
    </row>
    <row r="531">
      <c r="A531" s="68" t="n">
        <v>518</v>
      </c>
      <c r="B531" s="83" t="n">
        <v>517</v>
      </c>
      <c r="C531" s="83">
        <f>B531^2</f>
        <v/>
      </c>
      <c r="D531" s="69" t="n">
        <v>4711.97</v>
      </c>
      <c r="E531" s="69" t="n">
        <v>4653.2288</v>
      </c>
      <c r="F531" s="70">
        <f>D531-E531</f>
        <v/>
      </c>
      <c r="G531" s="69">
        <f>F531^2</f>
        <v/>
      </c>
      <c r="H531" s="68" t="inlineStr"/>
      <c r="I531" s="68" t="inlineStr"/>
    </row>
    <row r="532">
      <c r="A532" s="65" t="n">
        <v>519</v>
      </c>
      <c r="B532" s="82" t="n">
        <v>518</v>
      </c>
      <c r="C532" s="82">
        <f>B532^2</f>
        <v/>
      </c>
      <c r="D532" s="66" t="n">
        <v>4705.6</v>
      </c>
      <c r="E532" s="66" t="n">
        <v>4653.43124</v>
      </c>
      <c r="F532" s="67">
        <f>D532-E532</f>
        <v/>
      </c>
      <c r="G532" s="66">
        <f>F532^2</f>
        <v/>
      </c>
      <c r="H532" s="65" t="inlineStr"/>
      <c r="I532" s="65" t="inlineStr"/>
    </row>
    <row r="533">
      <c r="A533" s="68" t="n">
        <v>520</v>
      </c>
      <c r="B533" s="83" t="n">
        <v>519</v>
      </c>
      <c r="C533" s="83">
        <f>B533^2</f>
        <v/>
      </c>
      <c r="D533" s="69" t="n">
        <v>4699.65</v>
      </c>
      <c r="E533" s="69" t="n">
        <v>4653.63369</v>
      </c>
      <c r="F533" s="70">
        <f>D533-E533</f>
        <v/>
      </c>
      <c r="G533" s="69">
        <f>F533^2</f>
        <v/>
      </c>
      <c r="H533" s="68" t="inlineStr"/>
      <c r="I533" s="68" t="inlineStr"/>
    </row>
    <row r="534">
      <c r="A534" s="65" t="n">
        <v>521</v>
      </c>
      <c r="B534" s="82" t="n">
        <v>520</v>
      </c>
      <c r="C534" s="82">
        <f>B534^2</f>
        <v/>
      </c>
      <c r="D534" s="66" t="n">
        <v>4692.11</v>
      </c>
      <c r="E534" s="66" t="n">
        <v>4653.83613</v>
      </c>
      <c r="F534" s="67">
        <f>D534-E534</f>
        <v/>
      </c>
      <c r="G534" s="66">
        <f>F534^2</f>
        <v/>
      </c>
      <c r="H534" s="65" t="inlineStr"/>
      <c r="I534" s="65" t="inlineStr"/>
    </row>
    <row r="535">
      <c r="A535" s="68" t="n">
        <v>522</v>
      </c>
      <c r="B535" s="83" t="n">
        <v>521</v>
      </c>
      <c r="C535" s="83">
        <f>B535^2</f>
        <v/>
      </c>
      <c r="D535" s="69" t="n">
        <v>4672.94</v>
      </c>
      <c r="E535" s="69" t="n">
        <v>4654.03858</v>
      </c>
      <c r="F535" s="70">
        <f>D535-E535</f>
        <v/>
      </c>
      <c r="G535" s="69">
        <f>F535^2</f>
        <v/>
      </c>
      <c r="H535" s="68" t="inlineStr"/>
      <c r="I535" s="68" t="inlineStr"/>
    </row>
    <row r="536">
      <c r="A536" s="65" t="n">
        <v>523</v>
      </c>
      <c r="B536" s="82" t="n">
        <v>522</v>
      </c>
      <c r="C536" s="82">
        <f>B536^2</f>
        <v/>
      </c>
      <c r="D536" s="66" t="n">
        <v>4683.36</v>
      </c>
      <c r="E536" s="66" t="n">
        <v>4654.24102</v>
      </c>
      <c r="F536" s="67">
        <f>D536-E536</f>
        <v/>
      </c>
      <c r="G536" s="66">
        <f>F536^2</f>
        <v/>
      </c>
      <c r="H536" s="65" t="inlineStr"/>
      <c r="I536" s="65" t="inlineStr"/>
    </row>
    <row r="537">
      <c r="A537" s="68" t="n">
        <v>524</v>
      </c>
      <c r="B537" s="83" t="n">
        <v>523</v>
      </c>
      <c r="C537" s="83">
        <f>B537^2</f>
        <v/>
      </c>
      <c r="D537" s="69" t="n">
        <v>4682.83</v>
      </c>
      <c r="E537" s="69" t="n">
        <v>4654.44347</v>
      </c>
      <c r="F537" s="70">
        <f>D537-E537</f>
        <v/>
      </c>
      <c r="G537" s="69">
        <f>F537^2</f>
        <v/>
      </c>
      <c r="H537" s="68" t="inlineStr"/>
      <c r="I537" s="68" t="inlineStr"/>
    </row>
    <row r="538">
      <c r="A538" s="65" t="n">
        <v>525</v>
      </c>
      <c r="B538" s="82" t="n">
        <v>524</v>
      </c>
      <c r="C538" s="82">
        <f>B538^2</f>
        <v/>
      </c>
      <c r="D538" s="66" t="n">
        <v>4683.36</v>
      </c>
      <c r="E538" s="66" t="n">
        <v>4654.64592</v>
      </c>
      <c r="F538" s="67">
        <f>D538-E538</f>
        <v/>
      </c>
      <c r="G538" s="66">
        <f>F538^2</f>
        <v/>
      </c>
      <c r="H538" s="65" t="inlineStr"/>
      <c r="I538" s="65" t="inlineStr"/>
    </row>
    <row r="539">
      <c r="A539" s="68" t="n">
        <v>526</v>
      </c>
      <c r="B539" s="83" t="n">
        <v>525</v>
      </c>
      <c r="C539" s="83">
        <f>B539^2</f>
        <v/>
      </c>
      <c r="D539" s="69" t="n">
        <v>4683.63</v>
      </c>
      <c r="E539" s="69" t="n">
        <v>4654.84836</v>
      </c>
      <c r="F539" s="70">
        <f>D539-E539</f>
        <v/>
      </c>
      <c r="G539" s="69">
        <f>F539^2</f>
        <v/>
      </c>
      <c r="H539" s="68" t="inlineStr"/>
      <c r="I539" s="68" t="inlineStr"/>
    </row>
    <row r="540">
      <c r="A540" s="65" t="n">
        <v>527</v>
      </c>
      <c r="B540" s="82" t="n">
        <v>526</v>
      </c>
      <c r="C540" s="82">
        <f>B540^2</f>
        <v/>
      </c>
      <c r="D540" s="66" t="n">
        <v>4685.16</v>
      </c>
      <c r="E540" s="66" t="n">
        <v>4655.05081</v>
      </c>
      <c r="F540" s="67">
        <f>D540-E540</f>
        <v/>
      </c>
      <c r="G540" s="66">
        <f>F540^2</f>
        <v/>
      </c>
      <c r="H540" s="65" t="inlineStr"/>
      <c r="I540" s="65" t="inlineStr"/>
    </row>
    <row r="541">
      <c r="A541" s="68" t="n">
        <v>528</v>
      </c>
      <c r="B541" s="83" t="n">
        <v>527</v>
      </c>
      <c r="C541" s="83">
        <f>B541^2</f>
        <v/>
      </c>
      <c r="D541" s="69" t="n">
        <v>4695.33</v>
      </c>
      <c r="E541" s="69" t="n">
        <v>4655.25325</v>
      </c>
      <c r="F541" s="70">
        <f>D541-E541</f>
        <v/>
      </c>
      <c r="G541" s="69">
        <f>F541^2</f>
        <v/>
      </c>
      <c r="H541" s="68" t="inlineStr"/>
      <c r="I541" s="68" t="inlineStr"/>
    </row>
    <row r="542">
      <c r="A542" s="65" t="n">
        <v>529</v>
      </c>
      <c r="B542" s="82" t="n">
        <v>528</v>
      </c>
      <c r="C542" s="82">
        <f>B542^2</f>
        <v/>
      </c>
      <c r="D542" s="66" t="n">
        <v>4702.21</v>
      </c>
      <c r="E542" s="66" t="n">
        <v>4655.4557</v>
      </c>
      <c r="F542" s="67">
        <f>D542-E542</f>
        <v/>
      </c>
      <c r="G542" s="66">
        <f>F542^2</f>
        <v/>
      </c>
      <c r="H542" s="65" t="inlineStr"/>
      <c r="I542" s="65" t="inlineStr"/>
    </row>
    <row r="543">
      <c r="A543" s="68" t="n">
        <v>530</v>
      </c>
      <c r="B543" s="83" t="n">
        <v>529</v>
      </c>
      <c r="C543" s="83">
        <f>B543^2</f>
        <v/>
      </c>
      <c r="D543" s="69" t="n">
        <v>4711.04</v>
      </c>
      <c r="E543" s="69" t="n">
        <v>4655.65814</v>
      </c>
      <c r="F543" s="70">
        <f>D543-E543</f>
        <v/>
      </c>
      <c r="G543" s="69">
        <f>F543^2</f>
        <v/>
      </c>
      <c r="H543" s="68" t="inlineStr"/>
      <c r="I543" s="68" t="inlineStr"/>
    </row>
    <row r="544">
      <c r="A544" s="65" t="n">
        <v>531</v>
      </c>
      <c r="B544" s="82" t="n">
        <v>530</v>
      </c>
      <c r="C544" s="82">
        <f>B544^2</f>
        <v/>
      </c>
      <c r="D544" s="66" t="n">
        <v>4705.66</v>
      </c>
      <c r="E544" s="66" t="n">
        <v>4655.86059</v>
      </c>
      <c r="F544" s="67">
        <f>D544-E544</f>
        <v/>
      </c>
      <c r="G544" s="66">
        <f>F544^2</f>
        <v/>
      </c>
      <c r="H544" s="65" t="inlineStr"/>
      <c r="I544" s="65" t="inlineStr"/>
    </row>
    <row r="545">
      <c r="A545" s="68" t="n">
        <v>532</v>
      </c>
      <c r="B545" s="83" t="n">
        <v>531</v>
      </c>
      <c r="C545" s="83">
        <f>B545^2</f>
        <v/>
      </c>
      <c r="D545" s="69" t="n">
        <v>4713.4</v>
      </c>
      <c r="E545" s="69" t="n">
        <v>4656.06304</v>
      </c>
      <c r="F545" s="70">
        <f>D545-E545</f>
        <v/>
      </c>
      <c r="G545" s="69">
        <f>F545^2</f>
        <v/>
      </c>
      <c r="H545" s="68" t="inlineStr"/>
      <c r="I545" s="68" t="inlineStr"/>
    </row>
    <row r="546">
      <c r="A546" s="65" t="n">
        <v>533</v>
      </c>
      <c r="B546" s="82" t="n">
        <v>532</v>
      </c>
      <c r="C546" s="82">
        <f>B546^2</f>
        <v/>
      </c>
      <c r="D546" s="66" t="n">
        <v>4703.14</v>
      </c>
      <c r="E546" s="66" t="n">
        <v>4656.26548</v>
      </c>
      <c r="F546" s="67">
        <f>D546-E546</f>
        <v/>
      </c>
      <c r="G546" s="66">
        <f>F546^2</f>
        <v/>
      </c>
      <c r="H546" s="65" t="inlineStr"/>
      <c r="I546" s="65" t="inlineStr"/>
    </row>
    <row r="547">
      <c r="A547" s="68" t="n">
        <v>534</v>
      </c>
      <c r="B547" s="83" t="n">
        <v>533</v>
      </c>
      <c r="C547" s="83">
        <f>B547^2</f>
        <v/>
      </c>
      <c r="D547" s="69" t="n">
        <v>4696.47</v>
      </c>
      <c r="E547" s="69" t="n">
        <v>4656.46793</v>
      </c>
      <c r="F547" s="70">
        <f>D547-E547</f>
        <v/>
      </c>
      <c r="G547" s="69">
        <f>F547^2</f>
        <v/>
      </c>
      <c r="H547" s="68" t="inlineStr"/>
      <c r="I547" s="68" t="inlineStr"/>
    </row>
    <row r="548">
      <c r="A548" s="65" t="n">
        <v>535</v>
      </c>
      <c r="B548" s="82" t="n">
        <v>534</v>
      </c>
      <c r="C548" s="82">
        <f>B548^2</f>
        <v/>
      </c>
      <c r="D548" s="66" t="n">
        <v>4695.45</v>
      </c>
      <c r="E548" s="66" t="n">
        <v>4656.67037</v>
      </c>
      <c r="F548" s="67">
        <f>D548-E548</f>
        <v/>
      </c>
      <c r="G548" s="66">
        <f>F548^2</f>
        <v/>
      </c>
      <c r="H548" s="65" t="inlineStr"/>
      <c r="I548" s="65" t="inlineStr"/>
    </row>
    <row r="549">
      <c r="A549" s="68" t="n">
        <v>536</v>
      </c>
      <c r="B549" s="83" t="n">
        <v>535</v>
      </c>
      <c r="C549" s="83">
        <f>B549^2</f>
        <v/>
      </c>
      <c r="D549" s="69" t="n">
        <v>4692.77</v>
      </c>
      <c r="E549" s="69" t="n">
        <v>4656.87282</v>
      </c>
      <c r="F549" s="70">
        <f>D549-E549</f>
        <v/>
      </c>
      <c r="G549" s="69">
        <f>F549^2</f>
        <v/>
      </c>
      <c r="H549" s="68" t="inlineStr"/>
      <c r="I549" s="68" t="inlineStr"/>
    </row>
    <row r="550">
      <c r="A550" s="65" t="n">
        <v>537</v>
      </c>
      <c r="B550" s="82" t="n">
        <v>536</v>
      </c>
      <c r="C550" s="82">
        <f>B550^2</f>
        <v/>
      </c>
      <c r="D550" s="66" t="n">
        <v>4687.96</v>
      </c>
      <c r="E550" s="66" t="n">
        <v>4657.07526</v>
      </c>
      <c r="F550" s="67">
        <f>D550-E550</f>
        <v/>
      </c>
      <c r="G550" s="66">
        <f>F550^2</f>
        <v/>
      </c>
      <c r="H550" s="65" t="inlineStr"/>
      <c r="I550" s="65" t="inlineStr"/>
    </row>
    <row r="551">
      <c r="A551" s="68" t="n">
        <v>538</v>
      </c>
      <c r="B551" s="83" t="n">
        <v>537</v>
      </c>
      <c r="C551" s="83">
        <f>B551^2</f>
        <v/>
      </c>
      <c r="D551" s="69" t="n">
        <v>4683.69</v>
      </c>
      <c r="E551" s="69" t="n">
        <v>4657.27771</v>
      </c>
      <c r="F551" s="70">
        <f>D551-E551</f>
        <v/>
      </c>
      <c r="G551" s="69">
        <f>F551^2</f>
        <v/>
      </c>
      <c r="H551" s="68" t="inlineStr"/>
      <c r="I551" s="68" t="inlineStr"/>
    </row>
    <row r="552">
      <c r="A552" s="65" t="n">
        <v>539</v>
      </c>
      <c r="B552" s="82" t="n">
        <v>538</v>
      </c>
      <c r="C552" s="82">
        <f>B552^2</f>
        <v/>
      </c>
      <c r="D552" s="66" t="n">
        <v>4688.15</v>
      </c>
      <c r="E552" s="66" t="n">
        <v>4657.48016</v>
      </c>
      <c r="F552" s="67">
        <f>D552-E552</f>
        <v/>
      </c>
      <c r="G552" s="66">
        <f>F552^2</f>
        <v/>
      </c>
      <c r="H552" s="65" t="inlineStr"/>
      <c r="I552" s="65" t="inlineStr"/>
    </row>
    <row r="553">
      <c r="A553" s="68" t="n">
        <v>540</v>
      </c>
      <c r="B553" s="83" t="n">
        <v>539</v>
      </c>
      <c r="C553" s="83">
        <f>B553^2</f>
        <v/>
      </c>
      <c r="D553" s="69" t="n">
        <v>4688.73</v>
      </c>
      <c r="E553" s="69" t="n">
        <v>4657.6826</v>
      </c>
      <c r="F553" s="70">
        <f>D553-E553</f>
        <v/>
      </c>
      <c r="G553" s="69">
        <f>F553^2</f>
        <v/>
      </c>
      <c r="H553" s="68" t="inlineStr"/>
      <c r="I553" s="68" t="inlineStr"/>
    </row>
    <row r="554">
      <c r="A554" s="65" t="n">
        <v>541</v>
      </c>
      <c r="B554" s="82" t="n">
        <v>540</v>
      </c>
      <c r="C554" s="82">
        <f>B554^2</f>
        <v/>
      </c>
      <c r="D554" s="66" t="n">
        <v>4683.1</v>
      </c>
      <c r="E554" s="66" t="n">
        <v>4657.88505</v>
      </c>
      <c r="F554" s="67">
        <f>D554-E554</f>
        <v/>
      </c>
      <c r="G554" s="66">
        <f>F554^2</f>
        <v/>
      </c>
      <c r="H554" s="65" t="inlineStr"/>
      <c r="I554" s="65" t="inlineStr"/>
    </row>
    <row r="555">
      <c r="A555" s="68" t="n">
        <v>542</v>
      </c>
      <c r="B555" s="83" t="n">
        <v>541</v>
      </c>
      <c r="C555" s="83">
        <f>B555^2</f>
        <v/>
      </c>
      <c r="D555" s="69" t="n">
        <v>4685.62</v>
      </c>
      <c r="E555" s="69" t="n">
        <v>4658.08749</v>
      </c>
      <c r="F555" s="70">
        <f>D555-E555</f>
        <v/>
      </c>
      <c r="G555" s="69">
        <f>F555^2</f>
        <v/>
      </c>
      <c r="H555" s="68" t="inlineStr"/>
      <c r="I555" s="68" t="inlineStr"/>
    </row>
    <row r="556">
      <c r="A556" s="65" t="n">
        <v>543</v>
      </c>
      <c r="B556" s="82" t="n">
        <v>542</v>
      </c>
      <c r="C556" s="82">
        <f>B556^2</f>
        <v/>
      </c>
      <c r="D556" s="66" t="n">
        <v>4683.1</v>
      </c>
      <c r="E556" s="66" t="n">
        <v>4658.28994</v>
      </c>
      <c r="F556" s="67">
        <f>D556-E556</f>
        <v/>
      </c>
      <c r="G556" s="66">
        <f>F556^2</f>
        <v/>
      </c>
      <c r="H556" s="65" t="inlineStr"/>
      <c r="I556" s="65" t="inlineStr"/>
    </row>
    <row r="557">
      <c r="A557" s="68" t="n">
        <v>544</v>
      </c>
      <c r="B557" s="83" t="n">
        <v>543</v>
      </c>
      <c r="C557" s="83">
        <f>B557^2</f>
        <v/>
      </c>
      <c r="D557" s="69" t="n">
        <v>4680.64</v>
      </c>
      <c r="E557" s="69" t="n">
        <v>4658.49238</v>
      </c>
      <c r="F557" s="70">
        <f>D557-E557</f>
        <v/>
      </c>
      <c r="G557" s="69">
        <f>F557^2</f>
        <v/>
      </c>
      <c r="H557" s="68" t="inlineStr"/>
      <c r="I557" s="68" t="inlineStr"/>
    </row>
    <row r="558">
      <c r="A558" s="65" t="n">
        <v>545</v>
      </c>
      <c r="B558" s="82" t="n">
        <v>544</v>
      </c>
      <c r="C558" s="82">
        <f>B558^2</f>
        <v/>
      </c>
      <c r="D558" s="66" t="n">
        <v>4684.13</v>
      </c>
      <c r="E558" s="66" t="n">
        <v>4658.69483</v>
      </c>
      <c r="F558" s="67">
        <f>D558-E558</f>
        <v/>
      </c>
      <c r="G558" s="66">
        <f>F558^2</f>
        <v/>
      </c>
      <c r="H558" s="65" t="inlineStr"/>
      <c r="I558" s="65" t="inlineStr"/>
    </row>
    <row r="559">
      <c r="A559" s="68" t="n">
        <v>546</v>
      </c>
      <c r="B559" s="83" t="n">
        <v>545</v>
      </c>
      <c r="C559" s="83">
        <f>B559^2</f>
        <v/>
      </c>
      <c r="D559" s="69" t="n">
        <v>4686.79</v>
      </c>
      <c r="E559" s="69" t="n">
        <v>4658.89728</v>
      </c>
      <c r="F559" s="70">
        <f>D559-E559</f>
        <v/>
      </c>
      <c r="G559" s="69">
        <f>F559^2</f>
        <v/>
      </c>
      <c r="H559" s="68" t="inlineStr"/>
      <c r="I559" s="68" t="inlineStr"/>
    </row>
    <row r="560">
      <c r="A560" s="65" t="n">
        <v>547</v>
      </c>
      <c r="B560" s="82" t="n">
        <v>546</v>
      </c>
      <c r="C560" s="82">
        <f>B560^2</f>
        <v/>
      </c>
      <c r="D560" s="66" t="n">
        <v>4687.85</v>
      </c>
      <c r="E560" s="66" t="n">
        <v>4659.09972</v>
      </c>
      <c r="F560" s="67">
        <f>D560-E560</f>
        <v/>
      </c>
      <c r="G560" s="66">
        <f>F560^2</f>
        <v/>
      </c>
      <c r="H560" s="65" t="inlineStr"/>
      <c r="I560" s="65" t="inlineStr"/>
    </row>
    <row r="561">
      <c r="A561" s="68" t="n">
        <v>548</v>
      </c>
      <c r="B561" s="83" t="n">
        <v>547</v>
      </c>
      <c r="C561" s="83">
        <f>B561^2</f>
        <v/>
      </c>
      <c r="D561" s="69" t="n">
        <v>4686.27</v>
      </c>
      <c r="E561" s="69" t="n">
        <v>4659.30217</v>
      </c>
      <c r="F561" s="70">
        <f>D561-E561</f>
        <v/>
      </c>
      <c r="G561" s="69">
        <f>F561^2</f>
        <v/>
      </c>
      <c r="H561" s="68" t="inlineStr"/>
      <c r="I561" s="68" t="inlineStr"/>
    </row>
    <row r="562">
      <c r="A562" s="65" t="n">
        <v>549</v>
      </c>
      <c r="B562" s="82" t="n">
        <v>548</v>
      </c>
      <c r="C562" s="82">
        <f>B562^2</f>
        <v/>
      </c>
      <c r="D562" s="66" t="n">
        <v>4686.1</v>
      </c>
      <c r="E562" s="66" t="n">
        <v>4659.50461</v>
      </c>
      <c r="F562" s="67">
        <f>D562-E562</f>
        <v/>
      </c>
      <c r="G562" s="66">
        <f>F562^2</f>
        <v/>
      </c>
      <c r="H562" s="65" t="inlineStr"/>
      <c r="I562" s="65" t="inlineStr"/>
    </row>
    <row r="563">
      <c r="A563" s="68" t="n">
        <v>550</v>
      </c>
      <c r="B563" s="83" t="n">
        <v>549</v>
      </c>
      <c r="C563" s="83">
        <f>B563^2</f>
        <v/>
      </c>
      <c r="D563" s="69" t="n">
        <v>4695.28</v>
      </c>
      <c r="E563" s="69" t="n">
        <v>4659.70706</v>
      </c>
      <c r="F563" s="70">
        <f>D563-E563</f>
        <v/>
      </c>
      <c r="G563" s="69">
        <f>F563^2</f>
        <v/>
      </c>
      <c r="H563" s="68" t="inlineStr"/>
      <c r="I563" s="68" t="inlineStr"/>
    </row>
    <row r="564">
      <c r="A564" s="65" t="n">
        <v>551</v>
      </c>
      <c r="B564" s="82" t="n">
        <v>550</v>
      </c>
      <c r="C564" s="82">
        <f>B564^2</f>
        <v/>
      </c>
      <c r="D564" s="66" t="n">
        <v>4698.51</v>
      </c>
      <c r="E564" s="66" t="n">
        <v>4659.9095</v>
      </c>
      <c r="F564" s="67">
        <f>D564-E564</f>
        <v/>
      </c>
      <c r="G564" s="66">
        <f>F564^2</f>
        <v/>
      </c>
      <c r="H564" s="65" t="inlineStr"/>
      <c r="I564" s="65" t="inlineStr"/>
    </row>
    <row r="565">
      <c r="A565" s="68" t="n">
        <v>552</v>
      </c>
      <c r="B565" s="83" t="n">
        <v>551</v>
      </c>
      <c r="C565" s="83">
        <f>B565^2</f>
        <v/>
      </c>
      <c r="D565" s="69" t="n">
        <v>4695.4</v>
      </c>
      <c r="E565" s="69" t="n">
        <v>4660.11195</v>
      </c>
      <c r="F565" s="70">
        <f>D565-E565</f>
        <v/>
      </c>
      <c r="G565" s="69">
        <f>F565^2</f>
        <v/>
      </c>
      <c r="H565" s="68" t="inlineStr"/>
      <c r="I565" s="68" t="inlineStr"/>
    </row>
    <row r="566">
      <c r="A566" s="65" t="n">
        <v>553</v>
      </c>
      <c r="B566" s="82" t="n">
        <v>552</v>
      </c>
      <c r="C566" s="82">
        <f>B566^2</f>
        <v/>
      </c>
      <c r="D566" s="66" t="n">
        <v>4692.6</v>
      </c>
      <c r="E566" s="66" t="n">
        <v>4660.3144</v>
      </c>
      <c r="F566" s="67">
        <f>D566-E566</f>
        <v/>
      </c>
      <c r="G566" s="66">
        <f>F566^2</f>
        <v/>
      </c>
      <c r="H566" s="65" t="inlineStr"/>
      <c r="I566" s="65" t="inlineStr"/>
    </row>
    <row r="567">
      <c r="A567" s="68" t="n">
        <v>554</v>
      </c>
      <c r="B567" s="83" t="n">
        <v>553</v>
      </c>
      <c r="C567" s="83">
        <f>B567^2</f>
        <v/>
      </c>
      <c r="D567" s="69" t="n">
        <v>4698.99</v>
      </c>
      <c r="E567" s="69" t="n">
        <v>4660.51684</v>
      </c>
      <c r="F567" s="70">
        <f>D567-E567</f>
        <v/>
      </c>
      <c r="G567" s="69">
        <f>F567^2</f>
        <v/>
      </c>
      <c r="H567" s="68" t="inlineStr"/>
      <c r="I567" s="68" t="inlineStr"/>
    </row>
    <row r="568">
      <c r="A568" s="65" t="n">
        <v>555</v>
      </c>
      <c r="B568" s="82" t="n">
        <v>554</v>
      </c>
      <c r="C568" s="82">
        <f>B568^2</f>
        <v/>
      </c>
      <c r="D568" s="66" t="n">
        <v>4692.65</v>
      </c>
      <c r="E568" s="66" t="n">
        <v>4660.71929</v>
      </c>
      <c r="F568" s="67">
        <f>D568-E568</f>
        <v/>
      </c>
      <c r="G568" s="66">
        <f>F568^2</f>
        <v/>
      </c>
      <c r="H568" s="65" t="inlineStr"/>
      <c r="I568" s="65" t="inlineStr"/>
    </row>
    <row r="569">
      <c r="A569" s="68" t="n">
        <v>556</v>
      </c>
      <c r="B569" s="83" t="n">
        <v>555</v>
      </c>
      <c r="C569" s="83">
        <f>B569^2</f>
        <v/>
      </c>
      <c r="D569" s="69" t="n">
        <v>4689.09</v>
      </c>
      <c r="E569" s="69" t="n">
        <v>4660.92173</v>
      </c>
      <c r="F569" s="70">
        <f>D569-E569</f>
        <v/>
      </c>
      <c r="G569" s="69">
        <f>F569^2</f>
        <v/>
      </c>
      <c r="H569" s="68" t="inlineStr"/>
      <c r="I569" s="68" t="inlineStr"/>
    </row>
    <row r="570">
      <c r="A570" s="65" t="n">
        <v>557</v>
      </c>
      <c r="B570" s="82" t="n">
        <v>556</v>
      </c>
      <c r="C570" s="82">
        <f>B570^2</f>
        <v/>
      </c>
      <c r="D570" s="66" t="n">
        <v>4690.95</v>
      </c>
      <c r="E570" s="66" t="n">
        <v>4661.12418</v>
      </c>
      <c r="F570" s="67">
        <f>D570-E570</f>
        <v/>
      </c>
      <c r="G570" s="66">
        <f>F570^2</f>
        <v/>
      </c>
      <c r="H570" s="65" t="inlineStr"/>
      <c r="I570" s="65" t="inlineStr"/>
    </row>
    <row r="571">
      <c r="A571" s="68" t="n">
        <v>558</v>
      </c>
      <c r="B571" s="83" t="n">
        <v>557</v>
      </c>
      <c r="C571" s="83">
        <f>B571^2</f>
        <v/>
      </c>
      <c r="D571" s="69" t="n">
        <v>4697.18</v>
      </c>
      <c r="E571" s="69" t="n">
        <v>4661.32662</v>
      </c>
      <c r="F571" s="70">
        <f>D571-E571</f>
        <v/>
      </c>
      <c r="G571" s="69">
        <f>F571^2</f>
        <v/>
      </c>
      <c r="H571" s="68" t="inlineStr"/>
      <c r="I571" s="68" t="inlineStr"/>
    </row>
    <row r="572">
      <c r="A572" s="65" t="n">
        <v>559</v>
      </c>
      <c r="B572" s="82" t="n">
        <v>558</v>
      </c>
      <c r="C572" s="82">
        <f>B572^2</f>
        <v/>
      </c>
      <c r="D572" s="66" t="n">
        <v>4695.42</v>
      </c>
      <c r="E572" s="66" t="n">
        <v>4661.52907</v>
      </c>
      <c r="F572" s="67">
        <f>D572-E572</f>
        <v/>
      </c>
      <c r="G572" s="66">
        <f>F572^2</f>
        <v/>
      </c>
      <c r="H572" s="65" t="inlineStr"/>
      <c r="I572" s="65" t="inlineStr"/>
    </row>
    <row r="573">
      <c r="A573" s="68" t="n">
        <v>560</v>
      </c>
      <c r="B573" s="83" t="n">
        <v>559</v>
      </c>
      <c r="C573" s="83">
        <f>B573^2</f>
        <v/>
      </c>
      <c r="D573" s="69" t="n">
        <v>4698.63</v>
      </c>
      <c r="E573" s="69" t="n">
        <v>4661.73152</v>
      </c>
      <c r="F573" s="70">
        <f>D573-E573</f>
        <v/>
      </c>
      <c r="G573" s="69">
        <f>F573^2</f>
        <v/>
      </c>
      <c r="H573" s="68" t="inlineStr"/>
      <c r="I573" s="68" t="inlineStr"/>
    </row>
    <row r="574">
      <c r="A574" s="65" t="n">
        <v>561</v>
      </c>
      <c r="B574" s="82" t="n">
        <v>560</v>
      </c>
      <c r="C574" s="82">
        <f>B574^2</f>
        <v/>
      </c>
      <c r="D574" s="66" t="n">
        <v>4694.94</v>
      </c>
      <c r="E574" s="66" t="n">
        <v>4661.93396</v>
      </c>
      <c r="F574" s="67">
        <f>D574-E574</f>
        <v/>
      </c>
      <c r="G574" s="66">
        <f>F574^2</f>
        <v/>
      </c>
      <c r="H574" s="65" t="inlineStr"/>
      <c r="I574" s="65" t="inlineStr"/>
    </row>
    <row r="575">
      <c r="A575" s="68" t="n">
        <v>562</v>
      </c>
      <c r="B575" s="83" t="n">
        <v>561</v>
      </c>
      <c r="C575" s="83">
        <f>B575^2</f>
        <v/>
      </c>
      <c r="D575" s="69" t="n">
        <v>4694.41</v>
      </c>
      <c r="E575" s="69" t="n">
        <v>4662.13641</v>
      </c>
      <c r="F575" s="70">
        <f>D575-E575</f>
        <v/>
      </c>
      <c r="G575" s="69">
        <f>F575^2</f>
        <v/>
      </c>
      <c r="H575" s="68" t="inlineStr"/>
      <c r="I575" s="68" t="inlineStr"/>
    </row>
    <row r="576">
      <c r="A576" s="65" t="n">
        <v>563</v>
      </c>
      <c r="B576" s="82" t="n">
        <v>562</v>
      </c>
      <c r="C576" s="82">
        <f>B576^2</f>
        <v/>
      </c>
      <c r="D576" s="66" t="n">
        <v>4693.6</v>
      </c>
      <c r="E576" s="66" t="n">
        <v>4662.33885</v>
      </c>
      <c r="F576" s="67">
        <f>D576-E576</f>
        <v/>
      </c>
      <c r="G576" s="66">
        <f>F576^2</f>
        <v/>
      </c>
      <c r="H576" s="65" t="inlineStr"/>
      <c r="I576" s="65" t="inlineStr"/>
    </row>
    <row r="577">
      <c r="A577" s="68" t="n">
        <v>564</v>
      </c>
      <c r="B577" s="83" t="n">
        <v>563</v>
      </c>
      <c r="C577" s="83">
        <f>B577^2</f>
        <v/>
      </c>
      <c r="D577" s="69" t="n">
        <v>4693.6</v>
      </c>
      <c r="E577" s="69" t="n">
        <v>4662.5413</v>
      </c>
      <c r="F577" s="70">
        <f>D577-E577</f>
        <v/>
      </c>
      <c r="G577" s="69">
        <f>F577^2</f>
        <v/>
      </c>
      <c r="H577" s="68" t="inlineStr"/>
      <c r="I577" s="68" t="inlineStr"/>
    </row>
    <row r="578">
      <c r="A578" s="65" t="n">
        <v>565</v>
      </c>
      <c r="B578" s="82" t="n">
        <v>564</v>
      </c>
      <c r="C578" s="82">
        <f>B578^2</f>
        <v/>
      </c>
      <c r="D578" s="66" t="n">
        <v>4699</v>
      </c>
      <c r="E578" s="66" t="n">
        <v>4662.74374</v>
      </c>
      <c r="F578" s="67">
        <f>D578-E578</f>
        <v/>
      </c>
      <c r="G578" s="66">
        <f>F578^2</f>
        <v/>
      </c>
      <c r="H578" s="65" t="inlineStr"/>
      <c r="I578" s="65" t="inlineStr"/>
    </row>
    <row r="579">
      <c r="A579" s="68" t="n">
        <v>566</v>
      </c>
      <c r="B579" s="83" t="n">
        <v>565</v>
      </c>
      <c r="C579" s="83">
        <f>B579^2</f>
        <v/>
      </c>
      <c r="D579" s="69" t="n">
        <v>4699.88</v>
      </c>
      <c r="E579" s="69" t="n">
        <v>4662.94619</v>
      </c>
      <c r="F579" s="70">
        <f>D579-E579</f>
        <v/>
      </c>
      <c r="G579" s="69">
        <f>F579^2</f>
        <v/>
      </c>
      <c r="H579" s="68" t="inlineStr"/>
      <c r="I579" s="68" t="inlineStr"/>
    </row>
    <row r="580">
      <c r="A580" s="65" t="n">
        <v>567</v>
      </c>
      <c r="B580" s="82" t="n">
        <v>566</v>
      </c>
      <c r="C580" s="82">
        <f>B580^2</f>
        <v/>
      </c>
      <c r="D580" s="66" t="n">
        <v>4692.51</v>
      </c>
      <c r="E580" s="66" t="n">
        <v>4663.14863</v>
      </c>
      <c r="F580" s="67">
        <f>D580-E580</f>
        <v/>
      </c>
      <c r="G580" s="66">
        <f>F580^2</f>
        <v/>
      </c>
      <c r="H580" s="65" t="inlineStr"/>
      <c r="I580" s="65" t="inlineStr"/>
    </row>
    <row r="581">
      <c r="A581" s="68" t="n">
        <v>568</v>
      </c>
      <c r="B581" s="83" t="n">
        <v>567</v>
      </c>
      <c r="C581" s="83">
        <f>B581^2</f>
        <v/>
      </c>
      <c r="D581" s="69" t="n">
        <v>4688.45</v>
      </c>
      <c r="E581" s="69" t="n">
        <v>4663.35108</v>
      </c>
      <c r="F581" s="70">
        <f>D581-E581</f>
        <v/>
      </c>
      <c r="G581" s="69">
        <f>F581^2</f>
        <v/>
      </c>
      <c r="H581" s="68" t="inlineStr"/>
      <c r="I581" s="68" t="inlineStr"/>
    </row>
    <row r="582">
      <c r="A582" s="65" t="n">
        <v>569</v>
      </c>
      <c r="B582" s="82" t="n">
        <v>568</v>
      </c>
      <c r="C582" s="82">
        <f>B582^2</f>
        <v/>
      </c>
      <c r="D582" s="66" t="n">
        <v>4688.57</v>
      </c>
      <c r="E582" s="66" t="n">
        <v>4663.55353</v>
      </c>
      <c r="F582" s="67">
        <f>D582-E582</f>
        <v/>
      </c>
      <c r="G582" s="66">
        <f>F582^2</f>
        <v/>
      </c>
      <c r="H582" s="65" t="inlineStr"/>
      <c r="I582" s="65" t="inlineStr"/>
    </row>
    <row r="583">
      <c r="A583" s="68" t="n">
        <v>570</v>
      </c>
      <c r="B583" s="83" t="n">
        <v>569</v>
      </c>
      <c r="C583" s="83">
        <f>B583^2</f>
        <v/>
      </c>
      <c r="D583" s="69" t="n">
        <v>4709.88</v>
      </c>
      <c r="E583" s="69" t="n">
        <v>4663.75597</v>
      </c>
      <c r="F583" s="70">
        <f>D583-E583</f>
        <v/>
      </c>
      <c r="G583" s="69">
        <f>F583^2</f>
        <v/>
      </c>
      <c r="H583" s="68" t="inlineStr"/>
      <c r="I583" s="68" t="inlineStr"/>
    </row>
    <row r="584">
      <c r="A584" s="65" t="n">
        <v>571</v>
      </c>
      <c r="B584" s="82" t="n">
        <v>570</v>
      </c>
      <c r="C584" s="82">
        <f>B584^2</f>
        <v/>
      </c>
      <c r="D584" s="66" t="n">
        <v>4704.22</v>
      </c>
      <c r="E584" s="66" t="n">
        <v>4663.95842</v>
      </c>
      <c r="F584" s="67">
        <f>D584-E584</f>
        <v/>
      </c>
      <c r="G584" s="66">
        <f>F584^2</f>
        <v/>
      </c>
      <c r="H584" s="65" t="inlineStr"/>
      <c r="I584" s="65" t="inlineStr"/>
    </row>
    <row r="585">
      <c r="A585" s="68" t="n">
        <v>572</v>
      </c>
      <c r="B585" s="83" t="n">
        <v>571</v>
      </c>
      <c r="C585" s="83">
        <f>B585^2</f>
        <v/>
      </c>
      <c r="D585" s="69" t="n">
        <v>4712.93</v>
      </c>
      <c r="E585" s="69" t="n">
        <v>4664.16086</v>
      </c>
      <c r="F585" s="70">
        <f>D585-E585</f>
        <v/>
      </c>
      <c r="G585" s="69">
        <f>F585^2</f>
        <v/>
      </c>
      <c r="H585" s="68" t="inlineStr"/>
      <c r="I585" s="68" t="inlineStr"/>
    </row>
    <row r="586">
      <c r="A586" s="65" t="n">
        <v>573</v>
      </c>
      <c r="B586" s="82" t="n">
        <v>572</v>
      </c>
      <c r="C586" s="82">
        <f>B586^2</f>
        <v/>
      </c>
      <c r="D586" s="66" t="n">
        <v>4714.86</v>
      </c>
      <c r="E586" s="66" t="n">
        <v>4664.36331</v>
      </c>
      <c r="F586" s="67">
        <f>D586-E586</f>
        <v/>
      </c>
      <c r="G586" s="66">
        <f>F586^2</f>
        <v/>
      </c>
      <c r="H586" s="65" t="inlineStr"/>
      <c r="I586" s="65" t="inlineStr"/>
    </row>
    <row r="587">
      <c r="A587" s="68" t="n">
        <v>574</v>
      </c>
      <c r="B587" s="83" t="n">
        <v>573</v>
      </c>
      <c r="C587" s="83">
        <f>B587^2</f>
        <v/>
      </c>
      <c r="D587" s="69" t="n">
        <v>4704.21</v>
      </c>
      <c r="E587" s="69" t="n">
        <v>4664.56575</v>
      </c>
      <c r="F587" s="70">
        <f>D587-E587</f>
        <v/>
      </c>
      <c r="G587" s="69">
        <f>F587^2</f>
        <v/>
      </c>
      <c r="H587" s="68" t="inlineStr"/>
      <c r="I587" s="68" t="inlineStr"/>
    </row>
    <row r="588">
      <c r="A588" s="65" t="n">
        <v>575</v>
      </c>
      <c r="B588" s="82" t="n">
        <v>574</v>
      </c>
      <c r="C588" s="82">
        <f>B588^2</f>
        <v/>
      </c>
      <c r="D588" s="66" t="n">
        <v>4702.84</v>
      </c>
      <c r="E588" s="66" t="n">
        <v>4664.7682</v>
      </c>
      <c r="F588" s="67">
        <f>D588-E588</f>
        <v/>
      </c>
      <c r="G588" s="66">
        <f>F588^2</f>
        <v/>
      </c>
      <c r="H588" s="65" t="inlineStr"/>
      <c r="I588" s="65" t="inlineStr"/>
    </row>
    <row r="589">
      <c r="A589" s="68" t="n">
        <v>576</v>
      </c>
      <c r="B589" s="83" t="n">
        <v>575</v>
      </c>
      <c r="C589" s="83">
        <f>B589^2</f>
        <v/>
      </c>
      <c r="D589" s="69" t="n">
        <v>4704.24</v>
      </c>
      <c r="E589" s="69" t="n">
        <v>4664.97065</v>
      </c>
      <c r="F589" s="70">
        <f>D589-E589</f>
        <v/>
      </c>
      <c r="G589" s="69">
        <f>F589^2</f>
        <v/>
      </c>
      <c r="H589" s="68" t="inlineStr"/>
      <c r="I589" s="68" t="inlineStr"/>
    </row>
    <row r="590">
      <c r="A590" s="65" t="n">
        <v>577</v>
      </c>
      <c r="B590" s="82" t="n">
        <v>576</v>
      </c>
      <c r="C590" s="82">
        <f>B590^2</f>
        <v/>
      </c>
      <c r="D590" s="66" t="n">
        <v>4707.22</v>
      </c>
      <c r="E590" s="66" t="n">
        <v>4665.17309</v>
      </c>
      <c r="F590" s="67">
        <f>D590-E590</f>
        <v/>
      </c>
      <c r="G590" s="66">
        <f>F590^2</f>
        <v/>
      </c>
      <c r="H590" s="65" t="inlineStr"/>
      <c r="I590" s="65" t="inlineStr"/>
    </row>
    <row r="591">
      <c r="A591" s="68" t="n">
        <v>578</v>
      </c>
      <c r="B591" s="83" t="n">
        <v>577</v>
      </c>
      <c r="C591" s="83">
        <f>B591^2</f>
        <v/>
      </c>
      <c r="D591" s="69" t="n">
        <v>4705.93</v>
      </c>
      <c r="E591" s="69" t="n">
        <v>4665.37554</v>
      </c>
      <c r="F591" s="70">
        <f>D591-E591</f>
        <v/>
      </c>
      <c r="G591" s="69">
        <f>F591^2</f>
        <v/>
      </c>
      <c r="H591" s="68" t="inlineStr"/>
      <c r="I591" s="68" t="inlineStr"/>
    </row>
    <row r="592">
      <c r="A592" s="65" t="n">
        <v>579</v>
      </c>
      <c r="B592" s="82" t="n">
        <v>578</v>
      </c>
      <c r="C592" s="82">
        <f>B592^2</f>
        <v/>
      </c>
      <c r="D592" s="66" t="n">
        <v>4704.6</v>
      </c>
      <c r="E592" s="66" t="n">
        <v>4665.57798</v>
      </c>
      <c r="F592" s="67">
        <f>D592-E592</f>
        <v/>
      </c>
      <c r="G592" s="66">
        <f>F592^2</f>
        <v/>
      </c>
      <c r="H592" s="65" t="inlineStr"/>
      <c r="I592" s="65" t="inlineStr"/>
    </row>
    <row r="593">
      <c r="A593" s="68" t="n">
        <v>580</v>
      </c>
      <c r="B593" s="83" t="n">
        <v>579</v>
      </c>
      <c r="C593" s="83">
        <f>B593^2</f>
        <v/>
      </c>
      <c r="D593" s="69" t="n">
        <v>4703.96</v>
      </c>
      <c r="E593" s="69" t="n">
        <v>4665.78043</v>
      </c>
      <c r="F593" s="70">
        <f>D593-E593</f>
        <v/>
      </c>
      <c r="G593" s="69">
        <f>F593^2</f>
        <v/>
      </c>
      <c r="H593" s="68" t="inlineStr"/>
      <c r="I593" s="68" t="inlineStr"/>
    </row>
    <row r="594">
      <c r="A594" s="65" t="n">
        <v>581</v>
      </c>
      <c r="B594" s="82" t="n">
        <v>580</v>
      </c>
      <c r="C594" s="82">
        <f>B594^2</f>
        <v/>
      </c>
      <c r="D594" s="66" t="n">
        <v>4699.11</v>
      </c>
      <c r="E594" s="66" t="n">
        <v>4665.98287</v>
      </c>
      <c r="F594" s="67">
        <f>D594-E594</f>
        <v/>
      </c>
      <c r="G594" s="66">
        <f>F594^2</f>
        <v/>
      </c>
      <c r="H594" s="65" t="inlineStr"/>
      <c r="I594" s="65" t="inlineStr"/>
    </row>
    <row r="595">
      <c r="A595" s="68" t="n">
        <v>582</v>
      </c>
      <c r="B595" s="83" t="n">
        <v>581</v>
      </c>
      <c r="C595" s="83">
        <f>B595^2</f>
        <v/>
      </c>
      <c r="D595" s="69" t="n">
        <v>4696.87</v>
      </c>
      <c r="E595" s="69" t="n">
        <v>4666.18532</v>
      </c>
      <c r="F595" s="70">
        <f>D595-E595</f>
        <v/>
      </c>
      <c r="G595" s="69">
        <f>F595^2</f>
        <v/>
      </c>
      <c r="H595" s="68" t="inlineStr"/>
      <c r="I595" s="68" t="inlineStr"/>
    </row>
    <row r="596">
      <c r="A596" s="65" t="n">
        <v>583</v>
      </c>
      <c r="B596" s="82" t="n">
        <v>582</v>
      </c>
      <c r="C596" s="82">
        <f>B596^2</f>
        <v/>
      </c>
      <c r="D596" s="66" t="n">
        <v>4696.79</v>
      </c>
      <c r="E596" s="66" t="n">
        <v>4666.38777</v>
      </c>
      <c r="F596" s="67">
        <f>D596-E596</f>
        <v/>
      </c>
      <c r="G596" s="66">
        <f>F596^2</f>
        <v/>
      </c>
      <c r="H596" s="65" t="inlineStr"/>
      <c r="I596" s="65" t="inlineStr"/>
    </row>
    <row r="597">
      <c r="A597" s="68" t="n">
        <v>584</v>
      </c>
      <c r="B597" s="83" t="n">
        <v>583</v>
      </c>
      <c r="C597" s="83">
        <f>B597^2</f>
        <v/>
      </c>
      <c r="D597" s="69" t="n">
        <v>4698.15</v>
      </c>
      <c r="E597" s="69" t="n">
        <v>4666.59021</v>
      </c>
      <c r="F597" s="70">
        <f>D597-E597</f>
        <v/>
      </c>
      <c r="G597" s="69">
        <f>F597^2</f>
        <v/>
      </c>
      <c r="H597" s="68" t="inlineStr"/>
      <c r="I597" s="68" t="inlineStr"/>
    </row>
    <row r="598">
      <c r="A598" s="65" t="n">
        <v>585</v>
      </c>
      <c r="B598" s="82" t="n">
        <v>584</v>
      </c>
      <c r="C598" s="82">
        <f>B598^2</f>
        <v/>
      </c>
      <c r="D598" s="66" t="n">
        <v>4696.48</v>
      </c>
      <c r="E598" s="66" t="n">
        <v>4666.79266</v>
      </c>
      <c r="F598" s="67">
        <f>D598-E598</f>
        <v/>
      </c>
      <c r="G598" s="66">
        <f>F598^2</f>
        <v/>
      </c>
      <c r="H598" s="65" t="inlineStr"/>
      <c r="I598" s="65" t="inlineStr"/>
    </row>
    <row r="599">
      <c r="A599" s="68" t="n">
        <v>586</v>
      </c>
      <c r="B599" s="83" t="n">
        <v>585</v>
      </c>
      <c r="C599" s="83">
        <f>B599^2</f>
        <v/>
      </c>
      <c r="D599" s="69" t="n">
        <v>4700.45</v>
      </c>
      <c r="E599" s="69" t="n">
        <v>4666.9951</v>
      </c>
      <c r="F599" s="70">
        <f>D599-E599</f>
        <v/>
      </c>
      <c r="G599" s="69">
        <f>F599^2</f>
        <v/>
      </c>
      <c r="H599" s="68" t="inlineStr"/>
      <c r="I599" s="68" t="inlineStr"/>
    </row>
    <row r="600">
      <c r="A600" s="65" t="n">
        <v>587</v>
      </c>
      <c r="B600" s="82" t="n">
        <v>586</v>
      </c>
      <c r="C600" s="82">
        <f>B600^2</f>
        <v/>
      </c>
      <c r="D600" s="66" t="n">
        <v>4696.05</v>
      </c>
      <c r="E600" s="66" t="n">
        <v>4667.19755</v>
      </c>
      <c r="F600" s="67">
        <f>D600-E600</f>
        <v/>
      </c>
      <c r="G600" s="66">
        <f>F600^2</f>
        <v/>
      </c>
      <c r="H600" s="65" t="inlineStr"/>
      <c r="I600" s="65" t="inlineStr"/>
    </row>
    <row r="601">
      <c r="A601" s="68" t="n">
        <v>588</v>
      </c>
      <c r="B601" s="83" t="n">
        <v>587</v>
      </c>
      <c r="C601" s="83">
        <f>B601^2</f>
        <v/>
      </c>
      <c r="D601" s="69" t="n">
        <v>4703.63</v>
      </c>
      <c r="E601" s="69" t="n">
        <v>4667.39999</v>
      </c>
      <c r="F601" s="70">
        <f>D601-E601</f>
        <v/>
      </c>
      <c r="G601" s="69">
        <f>F601^2</f>
        <v/>
      </c>
      <c r="H601" s="68" t="inlineStr"/>
      <c r="I601" s="68" t="inlineStr"/>
    </row>
    <row r="602">
      <c r="A602" s="65" t="n">
        <v>589</v>
      </c>
      <c r="B602" s="82" t="n">
        <v>588</v>
      </c>
      <c r="C602" s="82">
        <f>B602^2</f>
        <v/>
      </c>
      <c r="D602" s="66" t="n">
        <v>4701.22</v>
      </c>
      <c r="E602" s="66" t="n">
        <v>4667.60244</v>
      </c>
      <c r="F602" s="67">
        <f>D602-E602</f>
        <v/>
      </c>
      <c r="G602" s="66">
        <f>F602^2</f>
        <v/>
      </c>
      <c r="H602" s="65" t="inlineStr"/>
      <c r="I602" s="65" t="inlineStr"/>
    </row>
    <row r="603">
      <c r="A603" s="68" t="n">
        <v>590</v>
      </c>
      <c r="B603" s="83" t="n">
        <v>589</v>
      </c>
      <c r="C603" s="83">
        <f>B603^2</f>
        <v/>
      </c>
      <c r="D603" s="69" t="n">
        <v>4708.23</v>
      </c>
      <c r="E603" s="69" t="n">
        <v>4667.80489</v>
      </c>
      <c r="F603" s="70">
        <f>D603-E603</f>
        <v/>
      </c>
      <c r="G603" s="69">
        <f>F603^2</f>
        <v/>
      </c>
      <c r="H603" s="68" t="inlineStr"/>
      <c r="I603" s="68" t="inlineStr"/>
    </row>
    <row r="604">
      <c r="A604" s="65" t="n">
        <v>591</v>
      </c>
      <c r="B604" s="82" t="n">
        <v>590</v>
      </c>
      <c r="C604" s="82">
        <f>B604^2</f>
        <v/>
      </c>
      <c r="D604" s="66" t="n">
        <v>4717.42</v>
      </c>
      <c r="E604" s="66" t="n">
        <v>4668.00733</v>
      </c>
      <c r="F604" s="67">
        <f>D604-E604</f>
        <v/>
      </c>
      <c r="G604" s="66">
        <f>F604^2</f>
        <v/>
      </c>
      <c r="H604" s="65" t="inlineStr"/>
      <c r="I604" s="65" t="inlineStr"/>
    </row>
    <row r="605">
      <c r="A605" s="68" t="n">
        <v>592</v>
      </c>
      <c r="B605" s="83" t="n">
        <v>591</v>
      </c>
      <c r="C605" s="83">
        <f>B605^2</f>
        <v/>
      </c>
      <c r="D605" s="69" t="n">
        <v>4746.02</v>
      </c>
      <c r="E605" s="69" t="n">
        <v>4668.20978</v>
      </c>
      <c r="F605" s="70">
        <f>D605-E605</f>
        <v/>
      </c>
      <c r="G605" s="69">
        <f>F605^2</f>
        <v/>
      </c>
      <c r="H605" s="68" t="inlineStr"/>
      <c r="I605" s="68" t="inlineStr"/>
    </row>
    <row r="606">
      <c r="A606" s="65" t="n">
        <v>593</v>
      </c>
      <c r="B606" s="82" t="n">
        <v>592</v>
      </c>
      <c r="C606" s="82">
        <f>B606^2</f>
        <v/>
      </c>
      <c r="D606" s="66" t="n">
        <v>4739.12</v>
      </c>
      <c r="E606" s="66" t="n">
        <v>4668.41222</v>
      </c>
      <c r="F606" s="67">
        <f>D606-E606</f>
        <v/>
      </c>
      <c r="G606" s="66">
        <f>F606^2</f>
        <v/>
      </c>
      <c r="H606" s="65" t="inlineStr"/>
      <c r="I606" s="65" t="inlineStr"/>
    </row>
    <row r="607">
      <c r="A607" s="68" t="n">
        <v>594</v>
      </c>
      <c r="B607" s="83" t="n">
        <v>593</v>
      </c>
      <c r="C607" s="83">
        <f>B607^2</f>
        <v/>
      </c>
      <c r="D607" s="69" t="n">
        <v>4749.05</v>
      </c>
      <c r="E607" s="69" t="n">
        <v>4668.61467</v>
      </c>
      <c r="F607" s="70">
        <f>D607-E607</f>
        <v/>
      </c>
      <c r="G607" s="69">
        <f>F607^2</f>
        <v/>
      </c>
      <c r="H607" s="68" t="inlineStr"/>
      <c r="I607" s="68" t="inlineStr"/>
    </row>
    <row r="608">
      <c r="A608" s="65" t="n">
        <v>595</v>
      </c>
      <c r="B608" s="82" t="n">
        <v>594</v>
      </c>
      <c r="C608" s="82">
        <f>B608^2</f>
        <v/>
      </c>
      <c r="D608" s="66" t="n">
        <v>4739.5</v>
      </c>
      <c r="E608" s="66" t="n">
        <v>4668.81711</v>
      </c>
      <c r="F608" s="67">
        <f>D608-E608</f>
        <v/>
      </c>
      <c r="G608" s="66">
        <f>F608^2</f>
        <v/>
      </c>
      <c r="H608" s="65" t="inlineStr"/>
      <c r="I608" s="65" t="inlineStr"/>
    </row>
    <row r="609">
      <c r="A609" s="68" t="n">
        <v>596</v>
      </c>
      <c r="B609" s="83" t="n">
        <v>595</v>
      </c>
      <c r="C609" s="83">
        <f>B609^2</f>
        <v/>
      </c>
      <c r="D609" s="69" t="n">
        <v>4742.88</v>
      </c>
      <c r="E609" s="69" t="n">
        <v>4669.01956</v>
      </c>
      <c r="F609" s="70">
        <f>D609-E609</f>
        <v/>
      </c>
      <c r="G609" s="69">
        <f>F609^2</f>
        <v/>
      </c>
      <c r="H609" s="68" t="inlineStr"/>
      <c r="I609" s="68" t="inlineStr"/>
    </row>
    <row r="610">
      <c r="A610" s="65" t="n">
        <v>597</v>
      </c>
      <c r="B610" s="82" t="n">
        <v>596</v>
      </c>
      <c r="C610" s="82">
        <f>B610^2</f>
        <v/>
      </c>
      <c r="D610" s="66" t="n">
        <v>4743.06</v>
      </c>
      <c r="E610" s="66" t="n">
        <v>4669.22201</v>
      </c>
      <c r="F610" s="67">
        <f>D610-E610</f>
        <v/>
      </c>
      <c r="G610" s="66">
        <f>F610^2</f>
        <v/>
      </c>
      <c r="H610" s="65" t="inlineStr"/>
      <c r="I610" s="65" t="inlineStr"/>
    </row>
    <row r="611">
      <c r="A611" s="68" t="n">
        <v>598</v>
      </c>
      <c r="B611" s="83" t="n">
        <v>597</v>
      </c>
      <c r="C611" s="83">
        <f>B611^2</f>
        <v/>
      </c>
      <c r="D611" s="69" t="n">
        <v>4742.66</v>
      </c>
      <c r="E611" s="69" t="n">
        <v>4669.42445</v>
      </c>
      <c r="F611" s="70">
        <f>D611-E611</f>
        <v/>
      </c>
      <c r="G611" s="69">
        <f>F611^2</f>
        <v/>
      </c>
      <c r="H611" s="68" t="inlineStr"/>
      <c r="I611" s="68" t="inlineStr"/>
    </row>
    <row r="612">
      <c r="A612" s="65" t="n">
        <v>599</v>
      </c>
      <c r="B612" s="82" t="n">
        <v>598</v>
      </c>
      <c r="C612" s="82">
        <f>B612^2</f>
        <v/>
      </c>
      <c r="D612" s="66" t="n">
        <v>4739.74</v>
      </c>
      <c r="E612" s="66" t="n">
        <v>4669.6269</v>
      </c>
      <c r="F612" s="67">
        <f>D612-E612</f>
        <v/>
      </c>
      <c r="G612" s="66">
        <f>F612^2</f>
        <v/>
      </c>
      <c r="H612" s="65" t="inlineStr"/>
      <c r="I612" s="65" t="inlineStr"/>
    </row>
    <row r="613">
      <c r="A613" s="68" t="n">
        <v>600</v>
      </c>
      <c r="B613" s="83" t="n">
        <v>599</v>
      </c>
      <c r="C613" s="83">
        <f>B613^2</f>
        <v/>
      </c>
      <c r="D613" s="69" t="n">
        <v>4735.34</v>
      </c>
      <c r="E613" s="69" t="n">
        <v>4669.82934</v>
      </c>
      <c r="F613" s="70">
        <f>D613-E613</f>
        <v/>
      </c>
      <c r="G613" s="69">
        <f>F613^2</f>
        <v/>
      </c>
      <c r="H613" s="68" t="inlineStr"/>
      <c r="I613" s="68" t="inlineStr"/>
    </row>
    <row r="614">
      <c r="A614" s="65" t="n">
        <v>601</v>
      </c>
      <c r="B614" s="82" t="n">
        <v>600</v>
      </c>
      <c r="C614" s="82">
        <f>B614^2</f>
        <v/>
      </c>
      <c r="D614" s="66" t="n">
        <v>4731.02</v>
      </c>
      <c r="E614" s="66" t="n">
        <v>4670.03179</v>
      </c>
      <c r="F614" s="67">
        <f>D614-E614</f>
        <v/>
      </c>
      <c r="G614" s="66">
        <f>F614^2</f>
        <v/>
      </c>
      <c r="H614" s="65" t="inlineStr"/>
      <c r="I614" s="65" t="inlineStr"/>
    </row>
    <row r="615">
      <c r="A615" s="68" t="n">
        <v>602</v>
      </c>
      <c r="B615" s="83" t="n">
        <v>601</v>
      </c>
      <c r="C615" s="83">
        <f>B615^2</f>
        <v/>
      </c>
      <c r="D615" s="69" t="n">
        <v>4734.22</v>
      </c>
      <c r="E615" s="69" t="n">
        <v>4670.23423</v>
      </c>
      <c r="F615" s="70">
        <f>D615-E615</f>
        <v/>
      </c>
      <c r="G615" s="69">
        <f>F615^2</f>
        <v/>
      </c>
      <c r="H615" s="68" t="inlineStr"/>
      <c r="I615" s="68" t="inlineStr"/>
    </row>
    <row r="616">
      <c r="A616" s="65" t="n">
        <v>603</v>
      </c>
      <c r="B616" s="82" t="n">
        <v>602</v>
      </c>
      <c r="C616" s="82">
        <f>B616^2</f>
        <v/>
      </c>
      <c r="D616" s="66" t="n">
        <v>4735.64</v>
      </c>
      <c r="E616" s="66" t="n">
        <v>4670.43668</v>
      </c>
      <c r="F616" s="67">
        <f>D616-E616</f>
        <v/>
      </c>
      <c r="G616" s="66">
        <f>F616^2</f>
        <v/>
      </c>
      <c r="H616" s="65" t="inlineStr"/>
      <c r="I616" s="65" t="inlineStr"/>
    </row>
    <row r="617">
      <c r="A617" s="68" t="n">
        <v>604</v>
      </c>
      <c r="B617" s="83" t="n">
        <v>603</v>
      </c>
      <c r="C617" s="83">
        <f>B617^2</f>
        <v/>
      </c>
      <c r="D617" s="69" t="n">
        <v>4737.77</v>
      </c>
      <c r="E617" s="69" t="n">
        <v>4670.63913</v>
      </c>
      <c r="F617" s="70">
        <f>D617-E617</f>
        <v/>
      </c>
      <c r="G617" s="69">
        <f>F617^2</f>
        <v/>
      </c>
      <c r="H617" s="68" t="inlineStr"/>
      <c r="I617" s="68" t="inlineStr"/>
    </row>
    <row r="618">
      <c r="A618" s="65" t="n">
        <v>605</v>
      </c>
      <c r="B618" s="82" t="n">
        <v>604</v>
      </c>
      <c r="C618" s="82">
        <f>B618^2</f>
        <v/>
      </c>
      <c r="D618" s="66" t="n">
        <v>4729.06</v>
      </c>
      <c r="E618" s="66" t="n">
        <v>4670.84157</v>
      </c>
      <c r="F618" s="67">
        <f>D618-E618</f>
        <v/>
      </c>
      <c r="G618" s="66">
        <f>F618^2</f>
        <v/>
      </c>
      <c r="H618" s="65" t="inlineStr"/>
      <c r="I618" s="65" t="inlineStr"/>
    </row>
    <row r="619">
      <c r="A619" s="68" t="n">
        <v>606</v>
      </c>
      <c r="B619" s="83" t="n">
        <v>605</v>
      </c>
      <c r="C619" s="83">
        <f>B619^2</f>
        <v/>
      </c>
      <c r="D619" s="69" t="n">
        <v>4734.98</v>
      </c>
      <c r="E619" s="69" t="n">
        <v>4671.04402</v>
      </c>
      <c r="F619" s="70">
        <f>D619-E619</f>
        <v/>
      </c>
      <c r="G619" s="69">
        <f>F619^2</f>
        <v/>
      </c>
      <c r="H619" s="68" t="inlineStr"/>
      <c r="I619" s="68" t="inlineStr"/>
    </row>
    <row r="620">
      <c r="A620" s="65" t="n">
        <v>607</v>
      </c>
      <c r="B620" s="82" t="n">
        <v>606</v>
      </c>
      <c r="C620" s="82">
        <f>B620^2</f>
        <v/>
      </c>
      <c r="D620" s="66" t="n">
        <v>4732.57</v>
      </c>
      <c r="E620" s="66" t="n">
        <v>4671.24646</v>
      </c>
      <c r="F620" s="67">
        <f>D620-E620</f>
        <v/>
      </c>
      <c r="G620" s="66">
        <f>F620^2</f>
        <v/>
      </c>
      <c r="H620" s="65" t="inlineStr"/>
      <c r="I620" s="65" t="inlineStr"/>
    </row>
    <row r="621">
      <c r="A621" s="68" t="n">
        <v>608</v>
      </c>
      <c r="B621" s="83" t="n">
        <v>607</v>
      </c>
      <c r="C621" s="83">
        <f>B621^2</f>
        <v/>
      </c>
      <c r="D621" s="69" t="n">
        <v>4739.17</v>
      </c>
      <c r="E621" s="69" t="n">
        <v>4671.44891</v>
      </c>
      <c r="F621" s="70">
        <f>D621-E621</f>
        <v/>
      </c>
      <c r="G621" s="69">
        <f>F621^2</f>
        <v/>
      </c>
      <c r="H621" s="68" t="inlineStr"/>
      <c r="I621" s="68" t="inlineStr"/>
    </row>
    <row r="622">
      <c r="A622" s="65" t="n">
        <v>609</v>
      </c>
      <c r="B622" s="82" t="n">
        <v>608</v>
      </c>
      <c r="C622" s="82">
        <f>B622^2</f>
        <v/>
      </c>
      <c r="D622" s="66" t="n">
        <v>4735.69</v>
      </c>
      <c r="E622" s="66" t="n">
        <v>4671.65135</v>
      </c>
      <c r="F622" s="67">
        <f>D622-E622</f>
        <v/>
      </c>
      <c r="G622" s="66">
        <f>F622^2</f>
        <v/>
      </c>
      <c r="H622" s="65" t="inlineStr"/>
      <c r="I622" s="65" t="inlineStr"/>
    </row>
    <row r="623">
      <c r="A623" s="68" t="n">
        <v>610</v>
      </c>
      <c r="B623" s="83" t="n">
        <v>609</v>
      </c>
      <c r="C623" s="83">
        <f>B623^2</f>
        <v/>
      </c>
      <c r="D623" s="69" t="n">
        <v>4730.38</v>
      </c>
      <c r="E623" s="69" t="n">
        <v>4671.8538</v>
      </c>
      <c r="F623" s="70">
        <f>D623-E623</f>
        <v/>
      </c>
      <c r="G623" s="69">
        <f>F623^2</f>
        <v/>
      </c>
      <c r="H623" s="68" t="inlineStr"/>
      <c r="I623" s="68" t="inlineStr"/>
    </row>
    <row r="624">
      <c r="A624" s="65" t="n">
        <v>611</v>
      </c>
      <c r="B624" s="82" t="n">
        <v>610</v>
      </c>
      <c r="C624" s="82">
        <f>B624^2</f>
        <v/>
      </c>
      <c r="D624" s="66" t="n">
        <v>4732.68</v>
      </c>
      <c r="E624" s="66" t="n">
        <v>4672.05625</v>
      </c>
      <c r="F624" s="67">
        <f>D624-E624</f>
        <v/>
      </c>
      <c r="G624" s="66">
        <f>F624^2</f>
        <v/>
      </c>
      <c r="H624" s="65" t="inlineStr"/>
      <c r="I624" s="65" t="inlineStr"/>
    </row>
    <row r="625">
      <c r="A625" s="68" t="n">
        <v>612</v>
      </c>
      <c r="B625" s="83" t="n">
        <v>611</v>
      </c>
      <c r="C625" s="83">
        <f>B625^2</f>
        <v/>
      </c>
      <c r="D625" s="69" t="n">
        <v>4736.98</v>
      </c>
      <c r="E625" s="69" t="n">
        <v>4672.25869</v>
      </c>
      <c r="F625" s="70">
        <f>D625-E625</f>
        <v/>
      </c>
      <c r="G625" s="69">
        <f>F625^2</f>
        <v/>
      </c>
      <c r="H625" s="68" t="inlineStr"/>
      <c r="I625" s="68" t="inlineStr"/>
    </row>
    <row r="626">
      <c r="A626" s="65" t="n">
        <v>613</v>
      </c>
      <c r="B626" s="82" t="n">
        <v>612</v>
      </c>
      <c r="C626" s="82">
        <f>B626^2</f>
        <v/>
      </c>
      <c r="D626" s="66" t="n">
        <v>4742.8</v>
      </c>
      <c r="E626" s="66" t="n">
        <v>4672.46114</v>
      </c>
      <c r="F626" s="67">
        <f>D626-E626</f>
        <v/>
      </c>
      <c r="G626" s="66">
        <f>F626^2</f>
        <v/>
      </c>
      <c r="H626" s="65" t="inlineStr"/>
      <c r="I626" s="65" t="inlineStr"/>
    </row>
    <row r="627">
      <c r="A627" s="68" t="n">
        <v>614</v>
      </c>
      <c r="B627" s="83" t="n">
        <v>613</v>
      </c>
      <c r="C627" s="83">
        <f>B627^2</f>
        <v/>
      </c>
      <c r="D627" s="69" t="n">
        <v>4744.19</v>
      </c>
      <c r="E627" s="69" t="n">
        <v>4672.66358</v>
      </c>
      <c r="F627" s="70">
        <f>D627-E627</f>
        <v/>
      </c>
      <c r="G627" s="69">
        <f>F627^2</f>
        <v/>
      </c>
      <c r="H627" s="68" t="inlineStr"/>
      <c r="I627" s="68" t="inlineStr"/>
    </row>
    <row r="628">
      <c r="A628" s="65" t="n">
        <v>615</v>
      </c>
      <c r="B628" s="82" t="n">
        <v>614</v>
      </c>
      <c r="C628" s="82">
        <f>B628^2</f>
        <v/>
      </c>
      <c r="D628" s="66" t="n">
        <v>4738.16</v>
      </c>
      <c r="E628" s="66" t="n">
        <v>4672.86603</v>
      </c>
      <c r="F628" s="67">
        <f>D628-E628</f>
        <v/>
      </c>
      <c r="G628" s="66">
        <f>F628^2</f>
        <v/>
      </c>
      <c r="H628" s="65" t="inlineStr"/>
      <c r="I628" s="65" t="inlineStr"/>
    </row>
    <row r="629">
      <c r="A629" s="68" t="n">
        <v>616</v>
      </c>
      <c r="B629" s="83" t="n">
        <v>615</v>
      </c>
      <c r="C629" s="83">
        <f>B629^2</f>
        <v/>
      </c>
      <c r="D629" s="69" t="n">
        <v>4751.15</v>
      </c>
      <c r="E629" s="69" t="n">
        <v>4673.06847</v>
      </c>
      <c r="F629" s="70">
        <f>D629-E629</f>
        <v/>
      </c>
      <c r="G629" s="69">
        <f>F629^2</f>
        <v/>
      </c>
      <c r="H629" s="68" t="inlineStr"/>
      <c r="I629" s="68" t="inlineStr"/>
    </row>
    <row r="630">
      <c r="A630" s="65" t="n">
        <v>617</v>
      </c>
      <c r="B630" s="82" t="n">
        <v>616</v>
      </c>
      <c r="C630" s="82">
        <f>B630^2</f>
        <v/>
      </c>
      <c r="D630" s="66" t="n">
        <v>4749.99</v>
      </c>
      <c r="E630" s="66" t="n">
        <v>4673.27092</v>
      </c>
      <c r="F630" s="67">
        <f>D630-E630</f>
        <v/>
      </c>
      <c r="G630" s="66">
        <f>F630^2</f>
        <v/>
      </c>
      <c r="H630" s="65" t="inlineStr"/>
      <c r="I630" s="65" t="inlineStr"/>
    </row>
    <row r="631">
      <c r="A631" s="68" t="n">
        <v>618</v>
      </c>
      <c r="B631" s="83" t="n">
        <v>617</v>
      </c>
      <c r="C631" s="83">
        <f>B631^2</f>
        <v/>
      </c>
      <c r="D631" s="69" t="n">
        <v>4733.46</v>
      </c>
      <c r="E631" s="69" t="n">
        <v>4673.47337</v>
      </c>
      <c r="F631" s="70">
        <f>D631-E631</f>
        <v/>
      </c>
      <c r="G631" s="69">
        <f>F631^2</f>
        <v/>
      </c>
      <c r="H631" s="68" t="inlineStr"/>
      <c r="I631" s="68" t="inlineStr"/>
    </row>
    <row r="632">
      <c r="A632" s="65" t="n">
        <v>619</v>
      </c>
      <c r="B632" s="82" t="n">
        <v>618</v>
      </c>
      <c r="C632" s="82">
        <f>B632^2</f>
        <v/>
      </c>
      <c r="D632" s="66" t="n">
        <v>4745.53</v>
      </c>
      <c r="E632" s="66" t="n">
        <v>4673.67581</v>
      </c>
      <c r="F632" s="67">
        <f>D632-E632</f>
        <v/>
      </c>
      <c r="G632" s="66">
        <f>F632^2</f>
        <v/>
      </c>
      <c r="H632" s="65" t="inlineStr"/>
      <c r="I632" s="65" t="inlineStr"/>
    </row>
    <row r="633">
      <c r="A633" s="68" t="n">
        <v>620</v>
      </c>
      <c r="B633" s="83" t="n">
        <v>619</v>
      </c>
      <c r="C633" s="83">
        <f>B633^2</f>
        <v/>
      </c>
      <c r="D633" s="69" t="n">
        <v>4748.49</v>
      </c>
      <c r="E633" s="69" t="n">
        <v>4673.87826</v>
      </c>
      <c r="F633" s="70">
        <f>D633-E633</f>
        <v/>
      </c>
      <c r="G633" s="69">
        <f>F633^2</f>
        <v/>
      </c>
      <c r="H633" s="68" t="inlineStr"/>
      <c r="I633" s="68" t="inlineStr"/>
    </row>
    <row r="634">
      <c r="A634" s="65" t="n">
        <v>621</v>
      </c>
      <c r="B634" s="82" t="n">
        <v>620</v>
      </c>
      <c r="C634" s="82">
        <f>B634^2</f>
        <v/>
      </c>
      <c r="D634" s="66" t="n">
        <v>4746.18</v>
      </c>
      <c r="E634" s="66" t="n">
        <v>4674.0807</v>
      </c>
      <c r="F634" s="67">
        <f>D634-E634</f>
        <v/>
      </c>
      <c r="G634" s="66">
        <f>F634^2</f>
        <v/>
      </c>
      <c r="H634" s="65" t="inlineStr"/>
      <c r="I634" s="65" t="inlineStr"/>
    </row>
    <row r="635">
      <c r="A635" s="68" t="n">
        <v>622</v>
      </c>
      <c r="B635" s="83" t="n">
        <v>621</v>
      </c>
      <c r="C635" s="83">
        <f>B635^2</f>
        <v/>
      </c>
      <c r="D635" s="69" t="n">
        <v>4752.05</v>
      </c>
      <c r="E635" s="69" t="n">
        <v>4674.28315</v>
      </c>
      <c r="F635" s="70">
        <f>D635-E635</f>
        <v/>
      </c>
      <c r="G635" s="69">
        <f>F635^2</f>
        <v/>
      </c>
      <c r="H635" s="68" t="inlineStr"/>
      <c r="I635" s="68" t="inlineStr"/>
    </row>
    <row r="636">
      <c r="A636" s="65" t="n">
        <v>623</v>
      </c>
      <c r="B636" s="82" t="n">
        <v>622</v>
      </c>
      <c r="C636" s="82">
        <f>B636^2</f>
        <v/>
      </c>
      <c r="D636" s="66" t="n">
        <v>4756.66</v>
      </c>
      <c r="E636" s="66" t="n">
        <v>4674.48559</v>
      </c>
      <c r="F636" s="67">
        <f>D636-E636</f>
        <v/>
      </c>
      <c r="G636" s="66">
        <f>F636^2</f>
        <v/>
      </c>
      <c r="H636" s="65" t="inlineStr"/>
      <c r="I636" s="65" t="inlineStr"/>
    </row>
    <row r="637">
      <c r="A637" s="68" t="n">
        <v>624</v>
      </c>
      <c r="B637" s="83" t="n">
        <v>623</v>
      </c>
      <c r="C637" s="83">
        <f>B637^2</f>
        <v/>
      </c>
      <c r="D637" s="69" t="n">
        <v>4751.91</v>
      </c>
      <c r="E637" s="69" t="n">
        <v>4674.68804</v>
      </c>
      <c r="F637" s="70">
        <f>D637-E637</f>
        <v/>
      </c>
      <c r="G637" s="69">
        <f>F637^2</f>
        <v/>
      </c>
      <c r="H637" s="68" t="inlineStr"/>
      <c r="I637" s="68" t="inlineStr"/>
    </row>
    <row r="638">
      <c r="A638" s="65" t="n">
        <v>625</v>
      </c>
      <c r="B638" s="82" t="n">
        <v>624</v>
      </c>
      <c r="C638" s="82">
        <f>B638^2</f>
        <v/>
      </c>
      <c r="D638" s="66" t="n">
        <v>4762.74</v>
      </c>
      <c r="E638" s="66" t="n">
        <v>4674.89049</v>
      </c>
      <c r="F638" s="67">
        <f>D638-E638</f>
        <v/>
      </c>
      <c r="G638" s="66">
        <f>F638^2</f>
        <v/>
      </c>
      <c r="H638" s="65" t="inlineStr"/>
      <c r="I638" s="65" t="inlineStr"/>
    </row>
    <row r="639">
      <c r="A639" s="68" t="n">
        <v>626</v>
      </c>
      <c r="B639" s="83" t="n">
        <v>625</v>
      </c>
      <c r="C639" s="83">
        <f>B639^2</f>
        <v/>
      </c>
      <c r="D639" s="69" t="n">
        <v>4754.77</v>
      </c>
      <c r="E639" s="69" t="n">
        <v>4675.09293</v>
      </c>
      <c r="F639" s="70">
        <f>D639-E639</f>
        <v/>
      </c>
      <c r="G639" s="69">
        <f>F639^2</f>
        <v/>
      </c>
      <c r="H639" s="68" t="inlineStr"/>
      <c r="I639" s="68" t="inlineStr"/>
    </row>
    <row r="640">
      <c r="A640" s="65" t="n">
        <v>627</v>
      </c>
      <c r="B640" s="82" t="n">
        <v>626</v>
      </c>
      <c r="C640" s="82">
        <f>B640^2</f>
        <v/>
      </c>
      <c r="D640" s="66" t="n">
        <v>4740.18</v>
      </c>
      <c r="E640" s="66" t="n">
        <v>4675.29538</v>
      </c>
      <c r="F640" s="67">
        <f>D640-E640</f>
        <v/>
      </c>
      <c r="G640" s="66">
        <f>F640^2</f>
        <v/>
      </c>
      <c r="H640" s="65" t="inlineStr"/>
      <c r="I640" s="65" t="inlineStr"/>
    </row>
    <row r="641">
      <c r="A641" s="68" t="n">
        <v>628</v>
      </c>
      <c r="B641" s="83" t="n">
        <v>627</v>
      </c>
      <c r="C641" s="83">
        <f>B641^2</f>
        <v/>
      </c>
      <c r="D641" s="69" t="n">
        <v>4738.92</v>
      </c>
      <c r="E641" s="69" t="n">
        <v>4675.49782</v>
      </c>
      <c r="F641" s="70">
        <f>D641-E641</f>
        <v/>
      </c>
      <c r="G641" s="69">
        <f>F641^2</f>
        <v/>
      </c>
      <c r="H641" s="68" t="inlineStr"/>
      <c r="I641" s="68" t="inlineStr"/>
    </row>
    <row r="642">
      <c r="A642" s="65" t="n">
        <v>629</v>
      </c>
      <c r="B642" s="82" t="n">
        <v>628</v>
      </c>
      <c r="C642" s="82">
        <f>B642^2</f>
        <v/>
      </c>
      <c r="D642" s="66" t="n">
        <v>4729.17</v>
      </c>
      <c r="E642" s="66" t="n">
        <v>4675.70027</v>
      </c>
      <c r="F642" s="67">
        <f>D642-E642</f>
        <v/>
      </c>
      <c r="G642" s="66">
        <f>F642^2</f>
        <v/>
      </c>
      <c r="H642" s="65" t="inlineStr"/>
      <c r="I642" s="65" t="inlineStr"/>
    </row>
    <row r="643">
      <c r="A643" s="68" t="n">
        <v>630</v>
      </c>
      <c r="B643" s="83" t="n">
        <v>629</v>
      </c>
      <c r="C643" s="83">
        <f>B643^2</f>
        <v/>
      </c>
      <c r="D643" s="69" t="n">
        <v>4714.99</v>
      </c>
      <c r="E643" s="69" t="n">
        <v>4675.90271</v>
      </c>
      <c r="F643" s="70">
        <f>D643-E643</f>
        <v/>
      </c>
      <c r="G643" s="69">
        <f>F643^2</f>
        <v/>
      </c>
      <c r="H643" s="68" t="inlineStr"/>
      <c r="I643" s="68" t="inlineStr"/>
    </row>
    <row r="644">
      <c r="A644" s="65" t="n">
        <v>631</v>
      </c>
      <c r="B644" s="82" t="n">
        <v>630</v>
      </c>
      <c r="C644" s="82">
        <f>B644^2</f>
        <v/>
      </c>
      <c r="D644" s="66" t="n">
        <v>4719.84</v>
      </c>
      <c r="E644" s="66" t="n">
        <v>4676.10516</v>
      </c>
      <c r="F644" s="67">
        <f>D644-E644</f>
        <v/>
      </c>
      <c r="G644" s="66">
        <f>F644^2</f>
        <v/>
      </c>
      <c r="H644" s="65" t="inlineStr"/>
      <c r="I644" s="65" t="inlineStr"/>
    </row>
    <row r="645">
      <c r="A645" s="68" t="n">
        <v>632</v>
      </c>
      <c r="B645" s="83" t="n">
        <v>631</v>
      </c>
      <c r="C645" s="83">
        <f>B645^2</f>
        <v/>
      </c>
      <c r="D645" s="69" t="n">
        <v>4711.23</v>
      </c>
      <c r="E645" s="69" t="n">
        <v>4676.30761</v>
      </c>
      <c r="F645" s="70">
        <f>D645-E645</f>
        <v/>
      </c>
      <c r="G645" s="69">
        <f>F645^2</f>
        <v/>
      </c>
      <c r="H645" s="68" t="inlineStr"/>
      <c r="I645" s="68" t="inlineStr"/>
    </row>
    <row r="646">
      <c r="A646" s="65" t="n">
        <v>633</v>
      </c>
      <c r="B646" s="82" t="n">
        <v>632</v>
      </c>
      <c r="C646" s="82">
        <f>B646^2</f>
        <v/>
      </c>
      <c r="D646" s="66" t="n">
        <v>4715</v>
      </c>
      <c r="E646" s="66" t="n">
        <v>4676.51005</v>
      </c>
      <c r="F646" s="67">
        <f>D646-E646</f>
        <v/>
      </c>
      <c r="G646" s="66">
        <f>F646^2</f>
        <v/>
      </c>
      <c r="H646" s="65" t="inlineStr"/>
      <c r="I646" s="65" t="inlineStr"/>
    </row>
    <row r="647">
      <c r="A647" s="68" t="n">
        <v>634</v>
      </c>
      <c r="B647" s="83" t="n">
        <v>633</v>
      </c>
      <c r="C647" s="83">
        <f>B647^2</f>
        <v/>
      </c>
      <c r="D647" s="69" t="n">
        <v>4714.61</v>
      </c>
      <c r="E647" s="69" t="n">
        <v>4676.7125</v>
      </c>
      <c r="F647" s="70">
        <f>D647-E647</f>
        <v/>
      </c>
      <c r="G647" s="69">
        <f>F647^2</f>
        <v/>
      </c>
      <c r="H647" s="68" t="inlineStr"/>
      <c r="I647" s="68" t="inlineStr"/>
    </row>
    <row r="648">
      <c r="A648" s="65" t="n">
        <v>635</v>
      </c>
      <c r="B648" s="82" t="n">
        <v>634</v>
      </c>
      <c r="C648" s="82">
        <f>B648^2</f>
        <v/>
      </c>
      <c r="D648" s="66" t="n">
        <v>4699.29</v>
      </c>
      <c r="E648" s="66" t="n">
        <v>4676.91494</v>
      </c>
      <c r="F648" s="67">
        <f>D648-E648</f>
        <v/>
      </c>
      <c r="G648" s="66">
        <f>F648^2</f>
        <v/>
      </c>
      <c r="H648" s="65" t="inlineStr"/>
      <c r="I648" s="65" t="inlineStr"/>
    </row>
    <row r="649">
      <c r="A649" s="68" t="n">
        <v>636</v>
      </c>
      <c r="B649" s="83" t="n">
        <v>635</v>
      </c>
      <c r="C649" s="83">
        <f>B649^2</f>
        <v/>
      </c>
      <c r="D649" s="69" t="n">
        <v>4699.72</v>
      </c>
      <c r="E649" s="69" t="n">
        <v>4677.11739</v>
      </c>
      <c r="F649" s="70">
        <f>D649-E649</f>
        <v/>
      </c>
      <c r="G649" s="69">
        <f>F649^2</f>
        <v/>
      </c>
      <c r="H649" s="68" t="inlineStr"/>
      <c r="I649" s="68" t="inlineStr"/>
    </row>
    <row r="650">
      <c r="A650" s="65" t="n">
        <v>637</v>
      </c>
      <c r="B650" s="82" t="n">
        <v>636</v>
      </c>
      <c r="C650" s="82">
        <f>B650^2</f>
        <v/>
      </c>
      <c r="D650" s="66" t="n">
        <v>4711.45</v>
      </c>
      <c r="E650" s="66" t="n">
        <v>4677.31983</v>
      </c>
      <c r="F650" s="67">
        <f>D650-E650</f>
        <v/>
      </c>
      <c r="G650" s="66">
        <f>F650^2</f>
        <v/>
      </c>
      <c r="H650" s="65" t="inlineStr"/>
      <c r="I650" s="65" t="inlineStr"/>
    </row>
    <row r="651">
      <c r="A651" s="68" t="n">
        <v>638</v>
      </c>
      <c r="B651" s="83" t="n">
        <v>637</v>
      </c>
      <c r="C651" s="83">
        <f>B651^2</f>
        <v/>
      </c>
      <c r="D651" s="69" t="n">
        <v>4708.08</v>
      </c>
      <c r="E651" s="69" t="n">
        <v>4677.52228</v>
      </c>
      <c r="F651" s="70">
        <f>D651-E651</f>
        <v/>
      </c>
      <c r="G651" s="69">
        <f>F651^2</f>
        <v/>
      </c>
      <c r="H651" s="68" t="inlineStr"/>
      <c r="I651" s="68" t="inlineStr"/>
    </row>
    <row r="652">
      <c r="A652" s="65" t="n">
        <v>639</v>
      </c>
      <c r="B652" s="82" t="n">
        <v>638</v>
      </c>
      <c r="C652" s="82">
        <f>B652^2</f>
        <v/>
      </c>
      <c r="D652" s="66" t="n">
        <v>4712.9</v>
      </c>
      <c r="E652" s="66" t="n">
        <v>4677.72473</v>
      </c>
      <c r="F652" s="67">
        <f>D652-E652</f>
        <v/>
      </c>
      <c r="G652" s="66">
        <f>F652^2</f>
        <v/>
      </c>
      <c r="H652" s="65" t="inlineStr"/>
      <c r="I652" s="65" t="inlineStr"/>
    </row>
    <row r="653">
      <c r="A653" s="68" t="n">
        <v>640</v>
      </c>
      <c r="B653" s="83" t="n">
        <v>639</v>
      </c>
      <c r="C653" s="83">
        <f>B653^2</f>
        <v/>
      </c>
      <c r="D653" s="69" t="n">
        <v>4705.96</v>
      </c>
      <c r="E653" s="69" t="n">
        <v>4677.92717</v>
      </c>
      <c r="F653" s="70">
        <f>D653-E653</f>
        <v/>
      </c>
      <c r="G653" s="69">
        <f>F653^2</f>
        <v/>
      </c>
      <c r="H653" s="68" t="inlineStr"/>
      <c r="I653" s="68" t="inlineStr"/>
    </row>
    <row r="654">
      <c r="A654" s="65" t="n">
        <v>641</v>
      </c>
      <c r="B654" s="82" t="n">
        <v>640</v>
      </c>
      <c r="C654" s="82">
        <f>B654^2</f>
        <v/>
      </c>
      <c r="D654" s="66" t="n">
        <v>4709.55</v>
      </c>
      <c r="E654" s="66" t="n">
        <v>4678.12962</v>
      </c>
      <c r="F654" s="67">
        <f>D654-E654</f>
        <v/>
      </c>
      <c r="G654" s="66">
        <f>F654^2</f>
        <v/>
      </c>
      <c r="H654" s="65" t="inlineStr"/>
      <c r="I654" s="65" t="inlineStr"/>
    </row>
    <row r="655">
      <c r="A655" s="68" t="n">
        <v>642</v>
      </c>
      <c r="B655" s="83" t="n">
        <v>641</v>
      </c>
      <c r="C655" s="83">
        <f>B655^2</f>
        <v/>
      </c>
      <c r="D655" s="69" t="n">
        <v>4710.04</v>
      </c>
      <c r="E655" s="69" t="n">
        <v>4678.33206</v>
      </c>
      <c r="F655" s="70">
        <f>D655-E655</f>
        <v/>
      </c>
      <c r="G655" s="69">
        <f>F655^2</f>
        <v/>
      </c>
      <c r="H655" s="68" t="inlineStr"/>
      <c r="I655" s="68" t="inlineStr"/>
    </row>
    <row r="656">
      <c r="A656" s="65" t="n">
        <v>643</v>
      </c>
      <c r="B656" s="82" t="n">
        <v>642</v>
      </c>
      <c r="C656" s="82">
        <f>B656^2</f>
        <v/>
      </c>
      <c r="D656" s="66" t="n">
        <v>4705.05</v>
      </c>
      <c r="E656" s="66" t="n">
        <v>4678.53451</v>
      </c>
      <c r="F656" s="67">
        <f>D656-E656</f>
        <v/>
      </c>
      <c r="G656" s="66">
        <f>F656^2</f>
        <v/>
      </c>
      <c r="H656" s="65" t="inlineStr"/>
      <c r="I656" s="65" t="inlineStr"/>
    </row>
    <row r="657">
      <c r="A657" s="68" t="n">
        <v>644</v>
      </c>
      <c r="B657" s="83" t="n">
        <v>643</v>
      </c>
      <c r="C657" s="83">
        <f>B657^2</f>
        <v/>
      </c>
      <c r="D657" s="69" t="n">
        <v>4709.69</v>
      </c>
      <c r="E657" s="69" t="n">
        <v>4678.73695</v>
      </c>
      <c r="F657" s="70">
        <f>D657-E657</f>
        <v/>
      </c>
      <c r="G657" s="69">
        <f>F657^2</f>
        <v/>
      </c>
      <c r="H657" s="68" t="inlineStr"/>
      <c r="I657" s="68" t="inlineStr"/>
    </row>
    <row r="658">
      <c r="A658" s="65" t="n">
        <v>645</v>
      </c>
      <c r="B658" s="82" t="n">
        <v>644</v>
      </c>
      <c r="C658" s="82">
        <f>B658^2</f>
        <v/>
      </c>
      <c r="D658" s="66" t="n">
        <v>4702.9</v>
      </c>
      <c r="E658" s="66" t="n">
        <v>4678.9394</v>
      </c>
      <c r="F658" s="67">
        <f>D658-E658</f>
        <v/>
      </c>
      <c r="G658" s="66">
        <f>F658^2</f>
        <v/>
      </c>
      <c r="H658" s="65" t="inlineStr"/>
      <c r="I658" s="65" t="inlineStr"/>
    </row>
    <row r="659">
      <c r="A659" s="68" t="n">
        <v>646</v>
      </c>
      <c r="B659" s="83" t="n">
        <v>645</v>
      </c>
      <c r="C659" s="83">
        <f>B659^2</f>
        <v/>
      </c>
      <c r="D659" s="69" t="n">
        <v>4711.55</v>
      </c>
      <c r="E659" s="69" t="n">
        <v>4679.14184</v>
      </c>
      <c r="F659" s="70">
        <f>D659-E659</f>
        <v/>
      </c>
      <c r="G659" s="69">
        <f>F659^2</f>
        <v/>
      </c>
      <c r="H659" s="68" t="inlineStr"/>
      <c r="I659" s="68" t="inlineStr"/>
    </row>
    <row r="660">
      <c r="A660" s="65" t="n">
        <v>647</v>
      </c>
      <c r="B660" s="82" t="n">
        <v>646</v>
      </c>
      <c r="C660" s="82">
        <f>B660^2</f>
        <v/>
      </c>
      <c r="D660" s="66" t="n">
        <v>4712.98</v>
      </c>
      <c r="E660" s="66" t="n">
        <v>4679.34429</v>
      </c>
      <c r="F660" s="67">
        <f>D660-E660</f>
        <v/>
      </c>
      <c r="G660" s="66">
        <f>F660^2</f>
        <v/>
      </c>
      <c r="H660" s="65" t="inlineStr"/>
      <c r="I660" s="65" t="inlineStr"/>
    </row>
    <row r="661">
      <c r="A661" s="68" t="n">
        <v>648</v>
      </c>
      <c r="B661" s="83" t="n">
        <v>647</v>
      </c>
      <c r="C661" s="83">
        <f>B661^2</f>
        <v/>
      </c>
      <c r="D661" s="69" t="n">
        <v>4703.9</v>
      </c>
      <c r="E661" s="69" t="n">
        <v>4679.54674</v>
      </c>
      <c r="F661" s="70">
        <f>D661-E661</f>
        <v/>
      </c>
      <c r="G661" s="69">
        <f>F661^2</f>
        <v/>
      </c>
      <c r="H661" s="68" t="inlineStr"/>
      <c r="I661" s="68" t="inlineStr"/>
    </row>
    <row r="662">
      <c r="A662" s="65" t="n">
        <v>649</v>
      </c>
      <c r="B662" s="82" t="n">
        <v>648</v>
      </c>
      <c r="C662" s="82">
        <f>B662^2</f>
        <v/>
      </c>
      <c r="D662" s="66" t="n">
        <v>4687.24</v>
      </c>
      <c r="E662" s="66" t="n">
        <v>4679.74918</v>
      </c>
      <c r="F662" s="67">
        <f>D662-E662</f>
        <v/>
      </c>
      <c r="G662" s="66">
        <f>F662^2</f>
        <v/>
      </c>
      <c r="H662" s="65" t="inlineStr"/>
      <c r="I662" s="65" t="inlineStr"/>
    </row>
    <row r="663">
      <c r="A663" s="68" t="n">
        <v>650</v>
      </c>
      <c r="B663" s="83" t="n">
        <v>649</v>
      </c>
      <c r="C663" s="83">
        <f>B663^2</f>
        <v/>
      </c>
      <c r="D663" s="69" t="n">
        <v>4691.37</v>
      </c>
      <c r="E663" s="69" t="n">
        <v>4679.95163</v>
      </c>
      <c r="F663" s="70">
        <f>D663-E663</f>
        <v/>
      </c>
      <c r="G663" s="69">
        <f>F663^2</f>
        <v/>
      </c>
      <c r="H663" s="68" t="inlineStr"/>
      <c r="I663" s="68" t="inlineStr"/>
    </row>
    <row r="664">
      <c r="A664" s="65" t="n">
        <v>651</v>
      </c>
      <c r="B664" s="82" t="n">
        <v>650</v>
      </c>
      <c r="C664" s="82">
        <f>B664^2</f>
        <v/>
      </c>
      <c r="D664" s="66" t="n">
        <v>4693.91</v>
      </c>
      <c r="E664" s="66" t="n">
        <v>4680.15407</v>
      </c>
      <c r="F664" s="67">
        <f>D664-E664</f>
        <v/>
      </c>
      <c r="G664" s="66">
        <f>F664^2</f>
        <v/>
      </c>
      <c r="H664" s="65" t="inlineStr"/>
      <c r="I664" s="65" t="inlineStr"/>
    </row>
    <row r="665">
      <c r="A665" s="68" t="n">
        <v>652</v>
      </c>
      <c r="B665" s="83" t="n">
        <v>651</v>
      </c>
      <c r="C665" s="83">
        <f>B665^2</f>
        <v/>
      </c>
      <c r="D665" s="69" t="n">
        <v>4687.16</v>
      </c>
      <c r="E665" s="69" t="n">
        <v>4680.35652</v>
      </c>
      <c r="F665" s="70">
        <f>D665-E665</f>
        <v/>
      </c>
      <c r="G665" s="69">
        <f>F665^2</f>
        <v/>
      </c>
      <c r="H665" s="68" t="inlineStr"/>
      <c r="I665" s="68" t="inlineStr"/>
    </row>
    <row r="666">
      <c r="A666" s="65" t="n">
        <v>653</v>
      </c>
      <c r="B666" s="82" t="n">
        <v>652</v>
      </c>
      <c r="C666" s="82">
        <f>B666^2</f>
        <v/>
      </c>
      <c r="D666" s="66" t="n">
        <v>4686.04</v>
      </c>
      <c r="E666" s="66" t="n">
        <v>4680.55896</v>
      </c>
      <c r="F666" s="67">
        <f>D666-E666</f>
        <v/>
      </c>
      <c r="G666" s="66">
        <f>F666^2</f>
        <v/>
      </c>
      <c r="H666" s="65" t="inlineStr"/>
      <c r="I666" s="65" t="inlineStr"/>
    </row>
    <row r="667">
      <c r="A667" s="68" t="n">
        <v>654</v>
      </c>
      <c r="B667" s="83" t="n">
        <v>653</v>
      </c>
      <c r="C667" s="83">
        <f>B667^2</f>
        <v/>
      </c>
      <c r="D667" s="69" t="n">
        <v>4691.8</v>
      </c>
      <c r="E667" s="69" t="n">
        <v>4680.76141</v>
      </c>
      <c r="F667" s="70">
        <f>D667-E667</f>
        <v/>
      </c>
      <c r="G667" s="69">
        <f>F667^2</f>
        <v/>
      </c>
      <c r="H667" s="68" t="inlineStr"/>
      <c r="I667" s="68" t="inlineStr"/>
    </row>
    <row r="668">
      <c r="A668" s="65" t="n">
        <v>655</v>
      </c>
      <c r="B668" s="82" t="n">
        <v>654</v>
      </c>
      <c r="C668" s="82">
        <f>B668^2</f>
        <v/>
      </c>
      <c r="D668" s="66" t="n">
        <v>4696.57</v>
      </c>
      <c r="E668" s="66" t="n">
        <v>4680.96386</v>
      </c>
      <c r="F668" s="67">
        <f>D668-E668</f>
        <v/>
      </c>
      <c r="G668" s="66">
        <f>F668^2</f>
        <v/>
      </c>
      <c r="H668" s="65" t="inlineStr"/>
      <c r="I668" s="65" t="inlineStr"/>
    </row>
    <row r="669">
      <c r="A669" s="68" t="n">
        <v>656</v>
      </c>
      <c r="B669" s="83" t="n">
        <v>655</v>
      </c>
      <c r="C669" s="83">
        <f>B669^2</f>
        <v/>
      </c>
      <c r="D669" s="69" t="n">
        <v>4697.81</v>
      </c>
      <c r="E669" s="69" t="n">
        <v>4681.1663</v>
      </c>
      <c r="F669" s="70">
        <f>D669-E669</f>
        <v/>
      </c>
      <c r="G669" s="69">
        <f>F669^2</f>
        <v/>
      </c>
      <c r="H669" s="68" t="inlineStr"/>
      <c r="I669" s="68" t="inlineStr"/>
    </row>
    <row r="670">
      <c r="A670" s="65" t="n">
        <v>657</v>
      </c>
      <c r="B670" s="82" t="n">
        <v>656</v>
      </c>
      <c r="C670" s="82">
        <f>B670^2</f>
        <v/>
      </c>
      <c r="D670" s="66" t="n">
        <v>4704.54</v>
      </c>
      <c r="E670" s="66" t="n">
        <v>4681.36875</v>
      </c>
      <c r="F670" s="67">
        <f>D670-E670</f>
        <v/>
      </c>
      <c r="G670" s="66">
        <f>F670^2</f>
        <v/>
      </c>
      <c r="H670" s="65" t="inlineStr"/>
      <c r="I670" s="65" t="inlineStr"/>
    </row>
    <row r="671">
      <c r="A671" s="68" t="n">
        <v>658</v>
      </c>
      <c r="B671" s="83" t="n">
        <v>657</v>
      </c>
      <c r="C671" s="83">
        <f>B671^2</f>
        <v/>
      </c>
      <c r="D671" s="69" t="n">
        <v>4702.79</v>
      </c>
      <c r="E671" s="69" t="n">
        <v>4681.57119</v>
      </c>
      <c r="F671" s="70">
        <f>D671-E671</f>
        <v/>
      </c>
      <c r="G671" s="69">
        <f>F671^2</f>
        <v/>
      </c>
      <c r="H671" s="68" t="inlineStr"/>
      <c r="I671" s="68" t="inlineStr"/>
    </row>
    <row r="672">
      <c r="A672" s="65" t="n">
        <v>659</v>
      </c>
      <c r="B672" s="82" t="n">
        <v>658</v>
      </c>
      <c r="C672" s="82">
        <f>B672^2</f>
        <v/>
      </c>
      <c r="D672" s="66" t="n">
        <v>4697.35</v>
      </c>
      <c r="E672" s="66" t="n">
        <v>4681.77364</v>
      </c>
      <c r="F672" s="67">
        <f>D672-E672</f>
        <v/>
      </c>
      <c r="G672" s="66">
        <f>F672^2</f>
        <v/>
      </c>
      <c r="H672" s="65" t="inlineStr"/>
      <c r="I672" s="65" t="inlineStr"/>
    </row>
    <row r="673">
      <c r="A673" s="68" t="n">
        <v>660</v>
      </c>
      <c r="B673" s="83" t="n">
        <v>659</v>
      </c>
      <c r="C673" s="83">
        <f>B673^2</f>
        <v/>
      </c>
      <c r="D673" s="69" t="n">
        <v>4705.16</v>
      </c>
      <c r="E673" s="69" t="n">
        <v>4681.97608</v>
      </c>
      <c r="F673" s="70">
        <f>D673-E673</f>
        <v/>
      </c>
      <c r="G673" s="69">
        <f>F673^2</f>
        <v/>
      </c>
      <c r="H673" s="68" t="inlineStr"/>
      <c r="I673" s="68" t="inlineStr"/>
    </row>
    <row r="674">
      <c r="A674" s="65" t="n">
        <v>661</v>
      </c>
      <c r="B674" s="82" t="n">
        <v>660</v>
      </c>
      <c r="C674" s="82">
        <f>B674^2</f>
        <v/>
      </c>
      <c r="D674" s="66" t="n">
        <v>4701.44</v>
      </c>
      <c r="E674" s="66" t="n">
        <v>4682.17853</v>
      </c>
      <c r="F674" s="67">
        <f>D674-E674</f>
        <v/>
      </c>
      <c r="G674" s="66">
        <f>F674^2</f>
        <v/>
      </c>
      <c r="H674" s="65" t="inlineStr"/>
      <c r="I674" s="65" t="inlineStr"/>
    </row>
    <row r="675">
      <c r="A675" s="68" t="n">
        <v>662</v>
      </c>
      <c r="B675" s="83" t="n">
        <v>661</v>
      </c>
      <c r="C675" s="83">
        <f>B675^2</f>
        <v/>
      </c>
      <c r="D675" s="69" t="n">
        <v>4714.05</v>
      </c>
      <c r="E675" s="69" t="n">
        <v>4682.38098</v>
      </c>
      <c r="F675" s="70">
        <f>D675-E675</f>
        <v/>
      </c>
      <c r="G675" s="69">
        <f>F675^2</f>
        <v/>
      </c>
      <c r="H675" s="68" t="inlineStr"/>
      <c r="I675" s="68" t="inlineStr"/>
    </row>
    <row r="676">
      <c r="A676" s="65" t="n">
        <v>663</v>
      </c>
      <c r="B676" s="82" t="n">
        <v>662</v>
      </c>
      <c r="C676" s="82">
        <f>B676^2</f>
        <v/>
      </c>
      <c r="D676" s="66" t="n">
        <v>4712.82</v>
      </c>
      <c r="E676" s="66" t="n">
        <v>4682.58342</v>
      </c>
      <c r="F676" s="67">
        <f>D676-E676</f>
        <v/>
      </c>
      <c r="G676" s="66">
        <f>F676^2</f>
        <v/>
      </c>
      <c r="H676" s="65" t="inlineStr"/>
      <c r="I676" s="65" t="inlineStr"/>
    </row>
    <row r="677">
      <c r="A677" s="68" t="n">
        <v>664</v>
      </c>
      <c r="B677" s="83" t="n">
        <v>663</v>
      </c>
      <c r="C677" s="83">
        <f>B677^2</f>
        <v/>
      </c>
      <c r="D677" s="69" t="n">
        <v>4711.08</v>
      </c>
      <c r="E677" s="69" t="n">
        <v>4682.78587</v>
      </c>
      <c r="F677" s="70">
        <f>D677-E677</f>
        <v/>
      </c>
      <c r="G677" s="69">
        <f>F677^2</f>
        <v/>
      </c>
      <c r="H677" s="68" t="inlineStr"/>
      <c r="I677" s="68" t="inlineStr"/>
    </row>
    <row r="678">
      <c r="A678" s="65" t="n">
        <v>665</v>
      </c>
      <c r="B678" s="82" t="n">
        <v>664</v>
      </c>
      <c r="C678" s="82">
        <f>B678^2</f>
        <v/>
      </c>
      <c r="D678" s="66" t="n">
        <v>4722.98</v>
      </c>
      <c r="E678" s="66" t="n">
        <v>4682.98831</v>
      </c>
      <c r="F678" s="67">
        <f>D678-E678</f>
        <v/>
      </c>
      <c r="G678" s="66">
        <f>F678^2</f>
        <v/>
      </c>
      <c r="H678" s="65" t="inlineStr"/>
      <c r="I678" s="65" t="inlineStr"/>
    </row>
    <row r="679">
      <c r="A679" s="68" t="n">
        <v>666</v>
      </c>
      <c r="B679" s="83" t="n">
        <v>665</v>
      </c>
      <c r="C679" s="83">
        <f>B679^2</f>
        <v/>
      </c>
      <c r="D679" s="69" t="n">
        <v>4723.99</v>
      </c>
      <c r="E679" s="69" t="n">
        <v>4683.19076</v>
      </c>
      <c r="F679" s="70">
        <f>D679-E679</f>
        <v/>
      </c>
      <c r="G679" s="69">
        <f>F679^2</f>
        <v/>
      </c>
      <c r="H679" s="68" t="inlineStr"/>
      <c r="I679" s="68" t="inlineStr"/>
    </row>
    <row r="680">
      <c r="A680" s="65" t="n">
        <v>667</v>
      </c>
      <c r="B680" s="82" t="n">
        <v>666</v>
      </c>
      <c r="C680" s="82">
        <f>B680^2</f>
        <v/>
      </c>
      <c r="D680" s="66" t="n">
        <v>4721.39</v>
      </c>
      <c r="E680" s="66" t="n">
        <v>4683.3932</v>
      </c>
      <c r="F680" s="67">
        <f>D680-E680</f>
        <v/>
      </c>
      <c r="G680" s="66">
        <f>F680^2</f>
        <v/>
      </c>
      <c r="H680" s="65" t="inlineStr"/>
      <c r="I680" s="65" t="inlineStr"/>
    </row>
    <row r="681">
      <c r="A681" s="68" t="n">
        <v>668</v>
      </c>
      <c r="B681" s="83" t="n">
        <v>667</v>
      </c>
      <c r="C681" s="83">
        <f>B681^2</f>
        <v/>
      </c>
      <c r="D681" s="69" t="n">
        <v>4710.27</v>
      </c>
      <c r="E681" s="69" t="n">
        <v>4683.59565</v>
      </c>
      <c r="F681" s="70">
        <f>D681-E681</f>
        <v/>
      </c>
      <c r="G681" s="69">
        <f>F681^2</f>
        <v/>
      </c>
      <c r="H681" s="68" t="inlineStr"/>
      <c r="I681" s="68" t="inlineStr"/>
    </row>
    <row r="682">
      <c r="A682" s="65" t="n">
        <v>669</v>
      </c>
      <c r="B682" s="82" t="n">
        <v>668</v>
      </c>
      <c r="C682" s="82">
        <f>B682^2</f>
        <v/>
      </c>
      <c r="D682" s="66" t="n">
        <v>4713.68</v>
      </c>
      <c r="E682" s="66" t="n">
        <v>4683.7981</v>
      </c>
      <c r="F682" s="67">
        <f>D682-E682</f>
        <v/>
      </c>
      <c r="G682" s="66">
        <f>F682^2</f>
        <v/>
      </c>
      <c r="H682" s="65" t="inlineStr"/>
      <c r="I682" s="65" t="inlineStr"/>
    </row>
    <row r="683">
      <c r="A683" s="68" t="n">
        <v>670</v>
      </c>
      <c r="B683" s="83" t="n">
        <v>669</v>
      </c>
      <c r="C683" s="83">
        <f>B683^2</f>
        <v/>
      </c>
      <c r="D683" s="69" t="n">
        <v>4720.15</v>
      </c>
      <c r="E683" s="69" t="n">
        <v>4684.00054</v>
      </c>
      <c r="F683" s="70">
        <f>D683-E683</f>
        <v/>
      </c>
      <c r="G683" s="69">
        <f>F683^2</f>
        <v/>
      </c>
      <c r="H683" s="68" t="inlineStr"/>
      <c r="I683" s="68" t="inlineStr"/>
    </row>
    <row r="684">
      <c r="A684" s="65" t="n">
        <v>671</v>
      </c>
      <c r="B684" s="82" t="n">
        <v>670</v>
      </c>
      <c r="C684" s="82">
        <f>B684^2</f>
        <v/>
      </c>
      <c r="D684" s="66" t="n">
        <v>4720.44</v>
      </c>
      <c r="E684" s="66" t="n">
        <v>4684.20299</v>
      </c>
      <c r="F684" s="67">
        <f>D684-E684</f>
        <v/>
      </c>
      <c r="G684" s="66">
        <f>F684^2</f>
        <v/>
      </c>
      <c r="H684" s="65" t="inlineStr"/>
      <c r="I684" s="65" t="inlineStr"/>
    </row>
    <row r="685">
      <c r="A685" s="68" t="n">
        <v>672</v>
      </c>
      <c r="B685" s="83" t="n">
        <v>671</v>
      </c>
      <c r="C685" s="83">
        <f>B685^2</f>
        <v/>
      </c>
      <c r="D685" s="69" t="n">
        <v>4724.99</v>
      </c>
      <c r="E685" s="69" t="n">
        <v>4684.40543</v>
      </c>
      <c r="F685" s="70">
        <f>D685-E685</f>
        <v/>
      </c>
      <c r="G685" s="69">
        <f>F685^2</f>
        <v/>
      </c>
      <c r="H685" s="68" t="inlineStr"/>
      <c r="I685" s="68" t="inlineStr"/>
    </row>
    <row r="686">
      <c r="A686" s="65" t="n">
        <v>673</v>
      </c>
      <c r="B686" s="82" t="n">
        <v>672</v>
      </c>
      <c r="C686" s="82">
        <f>B686^2</f>
        <v/>
      </c>
      <c r="D686" s="66" t="n">
        <v>4719.62</v>
      </c>
      <c r="E686" s="66" t="n">
        <v>4684.60788</v>
      </c>
      <c r="F686" s="67">
        <f>D686-E686</f>
        <v/>
      </c>
      <c r="G686" s="66">
        <f>F686^2</f>
        <v/>
      </c>
      <c r="H686" s="65" t="inlineStr"/>
      <c r="I686" s="65" t="inlineStr"/>
    </row>
    <row r="687">
      <c r="A687" s="68" t="n">
        <v>674</v>
      </c>
      <c r="B687" s="83" t="n">
        <v>673</v>
      </c>
      <c r="C687" s="83">
        <f>B687^2</f>
        <v/>
      </c>
      <c r="D687" s="69" t="n">
        <v>4715.08</v>
      </c>
      <c r="E687" s="69" t="n">
        <v>4684.81032</v>
      </c>
      <c r="F687" s="70">
        <f>D687-E687</f>
        <v/>
      </c>
      <c r="G687" s="69">
        <f>F687^2</f>
        <v/>
      </c>
      <c r="H687" s="68" t="inlineStr"/>
      <c r="I687" s="68" t="inlineStr"/>
    </row>
    <row r="688">
      <c r="A688" s="65" t="n">
        <v>675</v>
      </c>
      <c r="B688" s="82" t="n">
        <v>674</v>
      </c>
      <c r="C688" s="82">
        <f>B688^2</f>
        <v/>
      </c>
      <c r="D688" s="66" t="n">
        <v>4717.4</v>
      </c>
      <c r="E688" s="66" t="n">
        <v>4685.01277</v>
      </c>
      <c r="F688" s="67">
        <f>D688-E688</f>
        <v/>
      </c>
      <c r="G688" s="66">
        <f>F688^2</f>
        <v/>
      </c>
      <c r="H688" s="65" t="inlineStr"/>
      <c r="I688" s="65" t="inlineStr"/>
    </row>
    <row r="689">
      <c r="A689" s="68" t="n">
        <v>676</v>
      </c>
      <c r="B689" s="83" t="n">
        <v>675</v>
      </c>
      <c r="C689" s="83">
        <f>B689^2</f>
        <v/>
      </c>
      <c r="D689" s="69" t="n">
        <v>4712.14</v>
      </c>
      <c r="E689" s="69" t="n">
        <v>4685.21522</v>
      </c>
      <c r="F689" s="70">
        <f>D689-E689</f>
        <v/>
      </c>
      <c r="G689" s="69">
        <f>F689^2</f>
        <v/>
      </c>
      <c r="H689" s="68" t="inlineStr"/>
      <c r="I689" s="68" t="inlineStr"/>
    </row>
    <row r="690">
      <c r="A690" s="65" t="n">
        <v>677</v>
      </c>
      <c r="B690" s="82" t="n">
        <v>676</v>
      </c>
      <c r="C690" s="82">
        <f>B690^2</f>
        <v/>
      </c>
      <c r="D690" s="66" t="n">
        <v>4711.09</v>
      </c>
      <c r="E690" s="66" t="n">
        <v>4685.41766</v>
      </c>
      <c r="F690" s="67">
        <f>D690-E690</f>
        <v/>
      </c>
      <c r="G690" s="66">
        <f>F690^2</f>
        <v/>
      </c>
      <c r="H690" s="65" t="inlineStr"/>
      <c r="I690" s="65" t="inlineStr"/>
    </row>
    <row r="691">
      <c r="A691" s="68" t="n">
        <v>678</v>
      </c>
      <c r="B691" s="83" t="n">
        <v>677</v>
      </c>
      <c r="C691" s="83">
        <f>B691^2</f>
        <v/>
      </c>
      <c r="D691" s="69" t="n">
        <v>4712.09</v>
      </c>
      <c r="E691" s="69" t="n">
        <v>4685.62011</v>
      </c>
      <c r="F691" s="70">
        <f>D691-E691</f>
        <v/>
      </c>
      <c r="G691" s="69">
        <f>F691^2</f>
        <v/>
      </c>
      <c r="H691" s="68" t="inlineStr"/>
      <c r="I691" s="68" t="inlineStr"/>
    </row>
    <row r="692">
      <c r="A692" s="65" t="n">
        <v>679</v>
      </c>
      <c r="B692" s="82" t="n">
        <v>678</v>
      </c>
      <c r="C692" s="82">
        <f>B692^2</f>
        <v/>
      </c>
      <c r="D692" s="66" t="n">
        <v>4719.37</v>
      </c>
      <c r="E692" s="66" t="n">
        <v>4685.82255</v>
      </c>
      <c r="F692" s="67">
        <f>D692-E692</f>
        <v/>
      </c>
      <c r="G692" s="66">
        <f>F692^2</f>
        <v/>
      </c>
      <c r="H692" s="65" t="inlineStr"/>
      <c r="I692" s="65" t="inlineStr"/>
    </row>
    <row r="693">
      <c r="A693" s="68" t="n">
        <v>680</v>
      </c>
      <c r="B693" s="83" t="n">
        <v>679</v>
      </c>
      <c r="C693" s="83">
        <f>B693^2</f>
        <v/>
      </c>
      <c r="D693" s="69" t="n">
        <v>4724.62</v>
      </c>
      <c r="E693" s="69" t="n">
        <v>4686.025</v>
      </c>
      <c r="F693" s="70">
        <f>D693-E693</f>
        <v/>
      </c>
      <c r="G693" s="69">
        <f>F693^2</f>
        <v/>
      </c>
      <c r="H693" s="68" t="inlineStr"/>
      <c r="I693" s="68" t="inlineStr"/>
    </row>
    <row r="694">
      <c r="A694" s="65" t="n">
        <v>681</v>
      </c>
      <c r="B694" s="82" t="n">
        <v>680</v>
      </c>
      <c r="C694" s="82">
        <f>B694^2</f>
        <v/>
      </c>
      <c r="D694" s="66" t="n">
        <v>4727.43</v>
      </c>
      <c r="E694" s="66" t="n">
        <v>4686.22744</v>
      </c>
      <c r="F694" s="67">
        <f>D694-E694</f>
        <v/>
      </c>
      <c r="G694" s="66">
        <f>F694^2</f>
        <v/>
      </c>
      <c r="H694" s="65" t="inlineStr"/>
      <c r="I694" s="65" t="inlineStr"/>
    </row>
    <row r="695">
      <c r="A695" s="68" t="n">
        <v>682</v>
      </c>
      <c r="B695" s="83" t="n">
        <v>681</v>
      </c>
      <c r="C695" s="83">
        <f>B695^2</f>
        <v/>
      </c>
      <c r="D695" s="69" t="n">
        <v>4723.03</v>
      </c>
      <c r="E695" s="69" t="n">
        <v>4686.42989</v>
      </c>
      <c r="F695" s="70">
        <f>D695-E695</f>
        <v/>
      </c>
      <c r="G695" s="69">
        <f>F695^2</f>
        <v/>
      </c>
      <c r="H695" s="68" t="inlineStr"/>
      <c r="I695" s="68" t="inlineStr"/>
    </row>
    <row r="696">
      <c r="A696" s="65" t="n">
        <v>683</v>
      </c>
      <c r="B696" s="82" t="n">
        <v>682</v>
      </c>
      <c r="C696" s="82">
        <f>B696^2</f>
        <v/>
      </c>
      <c r="D696" s="66" t="n">
        <v>4733.47</v>
      </c>
      <c r="E696" s="66" t="n">
        <v>4686.63234</v>
      </c>
      <c r="F696" s="67">
        <f>D696-E696</f>
        <v/>
      </c>
      <c r="G696" s="66">
        <f>F696^2</f>
        <v/>
      </c>
      <c r="H696" s="65" t="inlineStr"/>
      <c r="I696" s="65" t="inlineStr"/>
    </row>
    <row r="697">
      <c r="A697" s="68" t="n">
        <v>684</v>
      </c>
      <c r="B697" s="83" t="n">
        <v>683</v>
      </c>
      <c r="C697" s="83">
        <f>B697^2</f>
        <v/>
      </c>
      <c r="D697" s="69" t="n">
        <v>4728.52</v>
      </c>
      <c r="E697" s="69" t="n">
        <v>4686.83478</v>
      </c>
      <c r="F697" s="70">
        <f>D697-E697</f>
        <v/>
      </c>
      <c r="G697" s="69">
        <f>F697^2</f>
        <v/>
      </c>
      <c r="H697" s="68" t="inlineStr"/>
      <c r="I697" s="68" t="inlineStr"/>
    </row>
    <row r="698">
      <c r="A698" s="65" t="n">
        <v>685</v>
      </c>
      <c r="B698" s="82" t="n">
        <v>684</v>
      </c>
      <c r="C698" s="82">
        <f>B698^2</f>
        <v/>
      </c>
      <c r="D698" s="66" t="n">
        <v>4725.67</v>
      </c>
      <c r="E698" s="66" t="n">
        <v>4687.03723</v>
      </c>
      <c r="F698" s="67">
        <f>D698-E698</f>
        <v/>
      </c>
      <c r="G698" s="66">
        <f>F698^2</f>
        <v/>
      </c>
      <c r="H698" s="65" t="inlineStr"/>
      <c r="I698" s="65" t="inlineStr"/>
    </row>
    <row r="699">
      <c r="A699" s="68" t="n">
        <v>686</v>
      </c>
      <c r="B699" s="83" t="n">
        <v>685</v>
      </c>
      <c r="C699" s="83">
        <f>B699^2</f>
        <v/>
      </c>
      <c r="D699" s="69" t="n">
        <v>4715.31</v>
      </c>
      <c r="E699" s="69" t="n">
        <v>4687.23967</v>
      </c>
      <c r="F699" s="70">
        <f>D699-E699</f>
        <v/>
      </c>
      <c r="G699" s="69">
        <f>F699^2</f>
        <v/>
      </c>
      <c r="H699" s="68" t="inlineStr"/>
      <c r="I699" s="68" t="inlineStr"/>
    </row>
    <row r="700">
      <c r="A700" s="65" t="n">
        <v>687</v>
      </c>
      <c r="B700" s="82" t="n">
        <v>686</v>
      </c>
      <c r="C700" s="82">
        <f>B700^2</f>
        <v/>
      </c>
      <c r="D700" s="66" t="n">
        <v>4706.67</v>
      </c>
      <c r="E700" s="66" t="n">
        <v>4687.44212</v>
      </c>
      <c r="F700" s="67">
        <f>D700-E700</f>
        <v/>
      </c>
      <c r="G700" s="66">
        <f>F700^2</f>
        <v/>
      </c>
      <c r="H700" s="65" t="inlineStr"/>
      <c r="I700" s="65" t="inlineStr"/>
    </row>
    <row r="701">
      <c r="A701" s="68" t="n">
        <v>688</v>
      </c>
      <c r="B701" s="83" t="n">
        <v>687</v>
      </c>
      <c r="C701" s="83">
        <f>B701^2</f>
        <v/>
      </c>
      <c r="D701" s="69" t="n">
        <v>4708.14</v>
      </c>
      <c r="E701" s="69" t="n">
        <v>4687.64456</v>
      </c>
      <c r="F701" s="70">
        <f>D701-E701</f>
        <v/>
      </c>
      <c r="G701" s="69">
        <f>F701^2</f>
        <v/>
      </c>
      <c r="H701" s="68" t="inlineStr"/>
      <c r="I701" s="68" t="inlineStr"/>
    </row>
    <row r="702">
      <c r="A702" s="65" t="n">
        <v>689</v>
      </c>
      <c r="B702" s="82" t="n">
        <v>688</v>
      </c>
      <c r="C702" s="82">
        <f>B702^2</f>
        <v/>
      </c>
      <c r="D702" s="66" t="n">
        <v>4707.87</v>
      </c>
      <c r="E702" s="66" t="n">
        <v>4687.84701</v>
      </c>
      <c r="F702" s="67">
        <f>D702-E702</f>
        <v/>
      </c>
      <c r="G702" s="66">
        <f>F702^2</f>
        <v/>
      </c>
      <c r="H702" s="65" t="inlineStr"/>
      <c r="I702" s="65" t="inlineStr"/>
    </row>
    <row r="703">
      <c r="A703" s="68" t="n">
        <v>690</v>
      </c>
      <c r="B703" s="83" t="n">
        <v>689</v>
      </c>
      <c r="C703" s="83">
        <f>B703^2</f>
        <v/>
      </c>
      <c r="D703" s="69" t="n">
        <v>4711.45</v>
      </c>
      <c r="E703" s="69" t="n">
        <v>4688.04946</v>
      </c>
      <c r="F703" s="70">
        <f>D703-E703</f>
        <v/>
      </c>
      <c r="G703" s="69">
        <f>F703^2</f>
        <v/>
      </c>
      <c r="H703" s="68" t="inlineStr"/>
      <c r="I703" s="68" t="inlineStr"/>
    </row>
    <row r="704">
      <c r="A704" s="65" t="n">
        <v>691</v>
      </c>
      <c r="B704" s="82" t="n">
        <v>690</v>
      </c>
      <c r="C704" s="82">
        <f>B704^2</f>
        <v/>
      </c>
      <c r="D704" s="66" t="n">
        <v>4716.82</v>
      </c>
      <c r="E704" s="66" t="n">
        <v>4688.2519</v>
      </c>
      <c r="F704" s="67">
        <f>D704-E704</f>
        <v/>
      </c>
      <c r="G704" s="66">
        <f>F704^2</f>
        <v/>
      </c>
      <c r="H704" s="65" t="inlineStr"/>
      <c r="I704" s="65" t="inlineStr"/>
    </row>
    <row r="705">
      <c r="A705" s="68" t="n">
        <v>692</v>
      </c>
      <c r="B705" s="83" t="n">
        <v>691</v>
      </c>
      <c r="C705" s="83">
        <f>B705^2</f>
        <v/>
      </c>
      <c r="D705" s="69" t="n">
        <v>4716.85</v>
      </c>
      <c r="E705" s="69" t="n">
        <v>4688.45435</v>
      </c>
      <c r="F705" s="70">
        <f>D705-E705</f>
        <v/>
      </c>
      <c r="G705" s="69">
        <f>F705^2</f>
        <v/>
      </c>
      <c r="H705" s="68" t="inlineStr"/>
      <c r="I705" s="68" t="inlineStr"/>
    </row>
    <row r="706">
      <c r="A706" s="65" t="n">
        <v>693</v>
      </c>
      <c r="B706" s="82" t="n">
        <v>692</v>
      </c>
      <c r="C706" s="82">
        <f>B706^2</f>
        <v/>
      </c>
      <c r="D706" s="66" t="n">
        <v>4715.7</v>
      </c>
      <c r="E706" s="66" t="n">
        <v>4688.65679</v>
      </c>
      <c r="F706" s="67">
        <f>D706-E706</f>
        <v/>
      </c>
      <c r="G706" s="66">
        <f>F706^2</f>
        <v/>
      </c>
      <c r="H706" s="65" t="inlineStr"/>
      <c r="I706" s="65" t="inlineStr"/>
    </row>
    <row r="707">
      <c r="A707" s="68" t="n">
        <v>694</v>
      </c>
      <c r="B707" s="83" t="n">
        <v>693</v>
      </c>
      <c r="C707" s="83">
        <f>B707^2</f>
        <v/>
      </c>
      <c r="D707" s="69" t="n">
        <v>4718.38</v>
      </c>
      <c r="E707" s="69" t="n">
        <v>4688.85924</v>
      </c>
      <c r="F707" s="70">
        <f>D707-E707</f>
        <v/>
      </c>
      <c r="G707" s="69">
        <f>F707^2</f>
        <v/>
      </c>
      <c r="H707" s="68" t="inlineStr"/>
      <c r="I707" s="68" t="inlineStr"/>
    </row>
    <row r="708">
      <c r="A708" s="65" t="n">
        <v>695</v>
      </c>
      <c r="B708" s="82" t="n">
        <v>694</v>
      </c>
      <c r="C708" s="82">
        <f>B708^2</f>
        <v/>
      </c>
      <c r="D708" s="66" t="n">
        <v>4717.81</v>
      </c>
      <c r="E708" s="66" t="n">
        <v>4689.06168</v>
      </c>
      <c r="F708" s="67">
        <f>D708-E708</f>
        <v/>
      </c>
      <c r="G708" s="66">
        <f>F708^2</f>
        <v/>
      </c>
      <c r="H708" s="65" t="inlineStr"/>
      <c r="I708" s="65" t="inlineStr"/>
    </row>
    <row r="709">
      <c r="A709" s="68" t="n">
        <v>696</v>
      </c>
      <c r="B709" s="83" t="n">
        <v>695</v>
      </c>
      <c r="C709" s="83">
        <f>B709^2</f>
        <v/>
      </c>
      <c r="D709" s="69" t="n">
        <v>4713.35</v>
      </c>
      <c r="E709" s="69" t="n">
        <v>4689.26413</v>
      </c>
      <c r="F709" s="70">
        <f>D709-E709</f>
        <v/>
      </c>
      <c r="G709" s="69">
        <f>F709^2</f>
        <v/>
      </c>
      <c r="H709" s="68" t="inlineStr"/>
      <c r="I709" s="68" t="inlineStr"/>
    </row>
    <row r="710">
      <c r="A710" s="65" t="n">
        <v>697</v>
      </c>
      <c r="B710" s="82" t="n">
        <v>696</v>
      </c>
      <c r="C710" s="82">
        <f>B710^2</f>
        <v/>
      </c>
      <c r="D710" s="66" t="n">
        <v>4711.79</v>
      </c>
      <c r="E710" s="66" t="n">
        <v>4689.46658</v>
      </c>
      <c r="F710" s="67">
        <f>D710-E710</f>
        <v/>
      </c>
      <c r="G710" s="66">
        <f>F710^2</f>
        <v/>
      </c>
      <c r="H710" s="65" t="inlineStr"/>
      <c r="I710" s="65" t="inlineStr"/>
    </row>
    <row r="711">
      <c r="A711" s="68" t="n">
        <v>698</v>
      </c>
      <c r="B711" s="83" t="n">
        <v>697</v>
      </c>
      <c r="C711" s="83">
        <f>B711^2</f>
        <v/>
      </c>
      <c r="D711" s="69" t="n">
        <v>4718.94</v>
      </c>
      <c r="E711" s="69" t="n">
        <v>4689.66902</v>
      </c>
      <c r="F711" s="70">
        <f>D711-E711</f>
        <v/>
      </c>
      <c r="G711" s="69">
        <f>F711^2</f>
        <v/>
      </c>
      <c r="H711" s="68" t="inlineStr"/>
      <c r="I711" s="68" t="inlineStr"/>
    </row>
    <row r="712">
      <c r="A712" s="65" t="n">
        <v>699</v>
      </c>
      <c r="B712" s="82" t="n">
        <v>698</v>
      </c>
      <c r="C712" s="82">
        <f>B712^2</f>
        <v/>
      </c>
      <c r="D712" s="66" t="n">
        <v>4720.38</v>
      </c>
      <c r="E712" s="66" t="n">
        <v>4689.87147</v>
      </c>
      <c r="F712" s="67">
        <f>D712-E712</f>
        <v/>
      </c>
      <c r="G712" s="66">
        <f>F712^2</f>
        <v/>
      </c>
      <c r="H712" s="65" t="inlineStr"/>
      <c r="I712" s="65" t="inlineStr"/>
    </row>
    <row r="713">
      <c r="A713" s="68" t="n">
        <v>700</v>
      </c>
      <c r="B713" s="83" t="n">
        <v>699</v>
      </c>
      <c r="C713" s="83">
        <f>B713^2</f>
        <v/>
      </c>
      <c r="D713" s="69" t="n">
        <v>4724.48</v>
      </c>
      <c r="E713" s="69" t="n">
        <v>4690.07391</v>
      </c>
      <c r="F713" s="70">
        <f>D713-E713</f>
        <v/>
      </c>
      <c r="G713" s="69">
        <f>F713^2</f>
        <v/>
      </c>
      <c r="H713" s="68" t="inlineStr"/>
      <c r="I713" s="68" t="inlineStr"/>
    </row>
    <row r="714">
      <c r="A714" s="65" t="n">
        <v>701</v>
      </c>
      <c r="B714" s="82" t="n">
        <v>700</v>
      </c>
      <c r="C714" s="82">
        <f>B714^2</f>
        <v/>
      </c>
      <c r="D714" s="66" t="n">
        <v>4719.94</v>
      </c>
      <c r="E714" s="66" t="n">
        <v>4690.27636</v>
      </c>
      <c r="F714" s="67">
        <f>D714-E714</f>
        <v/>
      </c>
      <c r="G714" s="66">
        <f>F714^2</f>
        <v/>
      </c>
      <c r="H714" s="65" t="inlineStr"/>
      <c r="I714" s="65" t="inlineStr"/>
    </row>
    <row r="715">
      <c r="A715" s="68" t="n">
        <v>702</v>
      </c>
      <c r="B715" s="83" t="n">
        <v>701</v>
      </c>
      <c r="C715" s="83">
        <f>B715^2</f>
        <v/>
      </c>
      <c r="D715" s="69" t="n">
        <v>4722.05</v>
      </c>
      <c r="E715" s="69" t="n">
        <v>4690.4788</v>
      </c>
      <c r="F715" s="70">
        <f>D715-E715</f>
        <v/>
      </c>
      <c r="G715" s="69">
        <f>F715^2</f>
        <v/>
      </c>
      <c r="H715" s="68" t="inlineStr"/>
      <c r="I715" s="68" t="inlineStr"/>
    </row>
    <row r="716">
      <c r="A716" s="65" t="n">
        <v>703</v>
      </c>
      <c r="B716" s="82" t="n">
        <v>702</v>
      </c>
      <c r="C716" s="82">
        <f>B716^2</f>
        <v/>
      </c>
      <c r="D716" s="66" t="n">
        <v>4724.08</v>
      </c>
      <c r="E716" s="66" t="n">
        <v>4690.68125</v>
      </c>
      <c r="F716" s="67">
        <f>D716-E716</f>
        <v/>
      </c>
      <c r="G716" s="66">
        <f>F716^2</f>
        <v/>
      </c>
      <c r="H716" s="65" t="inlineStr"/>
      <c r="I716" s="65" t="inlineStr"/>
    </row>
    <row r="717">
      <c r="A717" s="68" t="n">
        <v>704</v>
      </c>
      <c r="B717" s="83" t="n">
        <v>703</v>
      </c>
      <c r="C717" s="83">
        <f>B717^2</f>
        <v/>
      </c>
      <c r="D717" s="69" t="n">
        <v>4721.18</v>
      </c>
      <c r="E717" s="69" t="n">
        <v>4690.8837</v>
      </c>
      <c r="F717" s="70">
        <f>D717-E717</f>
        <v/>
      </c>
      <c r="G717" s="69">
        <f>F717^2</f>
        <v/>
      </c>
      <c r="H717" s="68" t="inlineStr"/>
      <c r="I717" s="68" t="inlineStr"/>
    </row>
    <row r="718">
      <c r="A718" s="65" t="n">
        <v>705</v>
      </c>
      <c r="B718" s="82" t="n">
        <v>704</v>
      </c>
      <c r="C718" s="82">
        <f>B718^2</f>
        <v/>
      </c>
      <c r="D718" s="66" t="n">
        <v>4717.8</v>
      </c>
      <c r="E718" s="66" t="n">
        <v>4691.08614</v>
      </c>
      <c r="F718" s="67">
        <f>D718-E718</f>
        <v/>
      </c>
      <c r="G718" s="66">
        <f>F718^2</f>
        <v/>
      </c>
      <c r="H718" s="65" t="inlineStr"/>
      <c r="I718" s="65" t="inlineStr"/>
    </row>
    <row r="719">
      <c r="A719" s="68" t="n">
        <v>706</v>
      </c>
      <c r="B719" s="83" t="n">
        <v>705</v>
      </c>
      <c r="C719" s="83">
        <f>B719^2</f>
        <v/>
      </c>
      <c r="D719" s="69" t="n">
        <v>4704.7</v>
      </c>
      <c r="E719" s="69" t="n">
        <v>4691.28859</v>
      </c>
      <c r="F719" s="70">
        <f>D719-E719</f>
        <v/>
      </c>
      <c r="G719" s="69">
        <f>F719^2</f>
        <v/>
      </c>
      <c r="H719" s="68" t="inlineStr"/>
      <c r="I719" s="68" t="inlineStr"/>
    </row>
    <row r="720">
      <c r="A720" s="65" t="n">
        <v>707</v>
      </c>
      <c r="B720" s="82" t="n">
        <v>706</v>
      </c>
      <c r="C720" s="82">
        <f>B720^2</f>
        <v/>
      </c>
      <c r="D720" s="66" t="n">
        <v>4710.4</v>
      </c>
      <c r="E720" s="66" t="n">
        <v>4691.49103</v>
      </c>
      <c r="F720" s="67">
        <f>D720-E720</f>
        <v/>
      </c>
      <c r="G720" s="66">
        <f>F720^2</f>
        <v/>
      </c>
      <c r="H720" s="65" t="inlineStr"/>
      <c r="I720" s="65" t="inlineStr"/>
    </row>
    <row r="721">
      <c r="A721" s="68" t="n">
        <v>708</v>
      </c>
      <c r="B721" s="83" t="n">
        <v>707</v>
      </c>
      <c r="C721" s="83">
        <f>B721^2</f>
        <v/>
      </c>
      <c r="D721" s="69" t="n">
        <v>4723.84</v>
      </c>
      <c r="E721" s="69" t="n">
        <v>4691.69348</v>
      </c>
      <c r="F721" s="70">
        <f>D721-E721</f>
        <v/>
      </c>
      <c r="G721" s="69">
        <f>F721^2</f>
        <v/>
      </c>
      <c r="H721" s="68" t="inlineStr"/>
      <c r="I721" s="68" t="inlineStr"/>
    </row>
    <row r="722">
      <c r="A722" s="65" t="n">
        <v>709</v>
      </c>
      <c r="B722" s="82" t="n">
        <v>708</v>
      </c>
      <c r="C722" s="82">
        <f>B722^2</f>
        <v/>
      </c>
      <c r="D722" s="66" t="n">
        <v>4724.41</v>
      </c>
      <c r="E722" s="66" t="n">
        <v>4691.89592</v>
      </c>
      <c r="F722" s="67">
        <f>D722-E722</f>
        <v/>
      </c>
      <c r="G722" s="66">
        <f>F722^2</f>
        <v/>
      </c>
      <c r="H722" s="65" t="inlineStr"/>
      <c r="I722" s="65" t="inlineStr"/>
    </row>
    <row r="723">
      <c r="A723" s="68" t="n">
        <v>710</v>
      </c>
      <c r="B723" s="83" t="n">
        <v>709</v>
      </c>
      <c r="C723" s="83">
        <f>B723^2</f>
        <v/>
      </c>
      <c r="D723" s="69" t="n">
        <v>4720.41</v>
      </c>
      <c r="E723" s="69" t="n">
        <v>4692.09837</v>
      </c>
      <c r="F723" s="70">
        <f>D723-E723</f>
        <v/>
      </c>
      <c r="G723" s="69">
        <f>F723^2</f>
        <v/>
      </c>
      <c r="H723" s="68" t="inlineStr"/>
      <c r="I723" s="68" t="inlineStr"/>
    </row>
    <row r="724">
      <c r="A724" s="65" t="n">
        <v>711</v>
      </c>
      <c r="B724" s="82" t="n">
        <v>710</v>
      </c>
      <c r="C724" s="82">
        <f>B724^2</f>
        <v/>
      </c>
      <c r="D724" s="66" t="n">
        <v>4727.11</v>
      </c>
      <c r="E724" s="66" t="n">
        <v>4692.30082</v>
      </c>
      <c r="F724" s="67">
        <f>D724-E724</f>
        <v/>
      </c>
      <c r="G724" s="66">
        <f>F724^2</f>
        <v/>
      </c>
      <c r="H724" s="65" t="inlineStr"/>
      <c r="I724" s="65" t="inlineStr"/>
    </row>
    <row r="725">
      <c r="A725" s="68" t="n">
        <v>712</v>
      </c>
      <c r="B725" s="83" t="n">
        <v>711</v>
      </c>
      <c r="C725" s="83">
        <f>B725^2</f>
        <v/>
      </c>
      <c r="D725" s="69" t="n">
        <v>4738.02</v>
      </c>
      <c r="E725" s="69" t="n">
        <v>4692.50326</v>
      </c>
      <c r="F725" s="70">
        <f>D725-E725</f>
        <v/>
      </c>
      <c r="G725" s="69">
        <f>F725^2</f>
        <v/>
      </c>
      <c r="H725" s="68" t="inlineStr"/>
      <c r="I725" s="68" t="inlineStr"/>
    </row>
    <row r="726">
      <c r="A726" s="65" t="n">
        <v>713</v>
      </c>
      <c r="B726" s="82" t="n">
        <v>712</v>
      </c>
      <c r="C726" s="82">
        <f>B726^2</f>
        <v/>
      </c>
      <c r="D726" s="66" t="n">
        <v>4747.9</v>
      </c>
      <c r="E726" s="66" t="n">
        <v>4692.70571</v>
      </c>
      <c r="F726" s="67">
        <f>D726-E726</f>
        <v/>
      </c>
      <c r="G726" s="66">
        <f>F726^2</f>
        <v/>
      </c>
      <c r="H726" s="65" t="inlineStr"/>
      <c r="I726" s="65" t="inlineStr"/>
    </row>
    <row r="727">
      <c r="A727" s="68" t="n">
        <v>714</v>
      </c>
      <c r="B727" s="83" t="n">
        <v>713</v>
      </c>
      <c r="C727" s="83">
        <f>B727^2</f>
        <v/>
      </c>
      <c r="D727" s="69" t="n">
        <v>4731.78</v>
      </c>
      <c r="E727" s="69" t="n">
        <v>4692.90815</v>
      </c>
      <c r="F727" s="70">
        <f>D727-E727</f>
        <v/>
      </c>
      <c r="G727" s="69">
        <f>F727^2</f>
        <v/>
      </c>
      <c r="H727" s="68" t="inlineStr"/>
      <c r="I727" s="68" t="inlineStr"/>
    </row>
    <row r="728">
      <c r="A728" s="65" t="n">
        <v>715</v>
      </c>
      <c r="B728" s="82" t="n">
        <v>714</v>
      </c>
      <c r="C728" s="82">
        <f>B728^2</f>
        <v/>
      </c>
      <c r="D728" s="66" t="n">
        <v>4719.14</v>
      </c>
      <c r="E728" s="66" t="n">
        <v>4693.1106</v>
      </c>
      <c r="F728" s="67">
        <f>D728-E728</f>
        <v/>
      </c>
      <c r="G728" s="66">
        <f>F728^2</f>
        <v/>
      </c>
      <c r="H728" s="65" t="inlineStr"/>
      <c r="I728" s="65" t="inlineStr"/>
    </row>
    <row r="729">
      <c r="A729" s="68" t="n">
        <v>716</v>
      </c>
      <c r="B729" s="83" t="n">
        <v>715</v>
      </c>
      <c r="C729" s="83">
        <f>B729^2</f>
        <v/>
      </c>
      <c r="D729" s="69" t="n">
        <v>4722.71</v>
      </c>
      <c r="E729" s="69" t="n">
        <v>4693.31304</v>
      </c>
      <c r="F729" s="70">
        <f>D729-E729</f>
        <v/>
      </c>
      <c r="G729" s="69">
        <f>F729^2</f>
        <v/>
      </c>
      <c r="H729" s="68" t="inlineStr"/>
      <c r="I729" s="68" t="inlineStr"/>
    </row>
    <row r="730">
      <c r="A730" s="65" t="n">
        <v>717</v>
      </c>
      <c r="B730" s="82" t="n">
        <v>716</v>
      </c>
      <c r="C730" s="82">
        <f>B730^2</f>
        <v/>
      </c>
      <c r="D730" s="66" t="n">
        <v>4716.02</v>
      </c>
      <c r="E730" s="66" t="n">
        <v>4693.51549</v>
      </c>
      <c r="F730" s="67">
        <f>D730-E730</f>
        <v/>
      </c>
      <c r="G730" s="66">
        <f>F730^2</f>
        <v/>
      </c>
      <c r="H730" s="65" t="inlineStr"/>
      <c r="I730" s="65" t="inlineStr"/>
    </row>
    <row r="731">
      <c r="A731" s="68" t="n">
        <v>718</v>
      </c>
      <c r="B731" s="83" t="n">
        <v>717</v>
      </c>
      <c r="C731" s="83">
        <f>B731^2</f>
        <v/>
      </c>
      <c r="D731" s="69" t="n">
        <v>4707.62</v>
      </c>
      <c r="E731" s="69" t="n">
        <v>4693.71794</v>
      </c>
      <c r="F731" s="70">
        <f>D731-E731</f>
        <v/>
      </c>
      <c r="G731" s="69">
        <f>F731^2</f>
        <v/>
      </c>
      <c r="H731" s="68" t="inlineStr"/>
      <c r="I731" s="68" t="inlineStr"/>
    </row>
    <row r="732">
      <c r="A732" s="65" t="n">
        <v>719</v>
      </c>
      <c r="B732" s="82" t="n">
        <v>718</v>
      </c>
      <c r="C732" s="82">
        <f>B732^2</f>
        <v/>
      </c>
      <c r="D732" s="66" t="n">
        <v>4713.43</v>
      </c>
      <c r="E732" s="66" t="n">
        <v>4693.92038</v>
      </c>
      <c r="F732" s="67">
        <f>D732-E732</f>
        <v/>
      </c>
      <c r="G732" s="66">
        <f>F732^2</f>
        <v/>
      </c>
      <c r="H732" s="65" t="inlineStr"/>
      <c r="I732" s="65" t="inlineStr"/>
    </row>
    <row r="733">
      <c r="A733" s="68" t="n">
        <v>720</v>
      </c>
      <c r="B733" s="83" t="n">
        <v>719</v>
      </c>
      <c r="C733" s="83">
        <f>B733^2</f>
        <v/>
      </c>
      <c r="D733" s="69" t="n">
        <v>4705.96</v>
      </c>
      <c r="E733" s="69" t="n">
        <v>4694.12283</v>
      </c>
      <c r="F733" s="70">
        <f>D733-E733</f>
        <v/>
      </c>
      <c r="G733" s="69">
        <f>F733^2</f>
        <v/>
      </c>
      <c r="H733" s="68" t="inlineStr"/>
      <c r="I733" s="68" t="inlineStr"/>
    </row>
    <row r="734">
      <c r="A734" s="65" t="n">
        <v>721</v>
      </c>
      <c r="B734" s="82" t="n">
        <v>720</v>
      </c>
      <c r="C734" s="82">
        <f>B734^2</f>
        <v/>
      </c>
      <c r="D734" s="66" t="n">
        <v>4707.13</v>
      </c>
      <c r="E734" s="66" t="n">
        <v>4694.32527</v>
      </c>
      <c r="F734" s="67">
        <f>D734-E734</f>
        <v/>
      </c>
      <c r="G734" s="66">
        <f>F734^2</f>
        <v/>
      </c>
      <c r="H734" s="65" t="inlineStr"/>
      <c r="I734" s="65" t="inlineStr"/>
    </row>
    <row r="735">
      <c r="A735" s="68" t="n">
        <v>722</v>
      </c>
      <c r="B735" s="83" t="n">
        <v>721</v>
      </c>
      <c r="C735" s="83">
        <f>B735^2</f>
        <v/>
      </c>
      <c r="D735" s="69" t="n">
        <v>4711.49</v>
      </c>
      <c r="E735" s="69" t="n">
        <v>4694.52772</v>
      </c>
      <c r="F735" s="70">
        <f>D735-E735</f>
        <v/>
      </c>
      <c r="G735" s="69">
        <f>F735^2</f>
        <v/>
      </c>
      <c r="H735" s="68" t="inlineStr"/>
      <c r="I735" s="68" t="inlineStr"/>
    </row>
    <row r="736">
      <c r="A736" s="65" t="n">
        <v>723</v>
      </c>
      <c r="B736" s="82" t="n">
        <v>722</v>
      </c>
      <c r="C736" s="82">
        <f>B736^2</f>
        <v/>
      </c>
      <c r="D736" s="66" t="n">
        <v>4717.67</v>
      </c>
      <c r="E736" s="66" t="n">
        <v>4694.73016</v>
      </c>
      <c r="F736" s="67">
        <f>D736-E736</f>
        <v/>
      </c>
      <c r="G736" s="66">
        <f>F736^2</f>
        <v/>
      </c>
      <c r="H736" s="65" t="inlineStr"/>
      <c r="I736" s="65" t="inlineStr"/>
    </row>
    <row r="737">
      <c r="A737" s="68" t="n">
        <v>724</v>
      </c>
      <c r="B737" s="83" t="n">
        <v>723</v>
      </c>
      <c r="C737" s="83">
        <f>B737^2</f>
        <v/>
      </c>
      <c r="D737" s="69" t="n">
        <v>4713.4</v>
      </c>
      <c r="E737" s="69" t="n">
        <v>4694.93261</v>
      </c>
      <c r="F737" s="70">
        <f>D737-E737</f>
        <v/>
      </c>
      <c r="G737" s="69">
        <f>F737^2</f>
        <v/>
      </c>
      <c r="H737" s="68" t="inlineStr"/>
      <c r="I737" s="68" t="inlineStr"/>
    </row>
    <row r="738">
      <c r="A738" s="65" t="n">
        <v>725</v>
      </c>
      <c r="B738" s="82" t="n">
        <v>724</v>
      </c>
      <c r="C738" s="82">
        <f>B738^2</f>
        <v/>
      </c>
      <c r="D738" s="66" t="n">
        <v>4712.52</v>
      </c>
      <c r="E738" s="66" t="n">
        <v>4695.13505</v>
      </c>
      <c r="F738" s="67">
        <f>D738-E738</f>
        <v/>
      </c>
      <c r="G738" s="66">
        <f>F738^2</f>
        <v/>
      </c>
      <c r="H738" s="65" t="inlineStr"/>
      <c r="I738" s="65" t="inlineStr"/>
    </row>
    <row r="739">
      <c r="A739" s="68" t="n">
        <v>726</v>
      </c>
      <c r="B739" s="83" t="n">
        <v>725</v>
      </c>
      <c r="C739" s="83">
        <f>B739^2</f>
        <v/>
      </c>
      <c r="D739" s="69" t="n">
        <v>4715.4</v>
      </c>
      <c r="E739" s="69" t="n">
        <v>4695.3375</v>
      </c>
      <c r="F739" s="70">
        <f>D739-E739</f>
        <v/>
      </c>
      <c r="G739" s="69">
        <f>F739^2</f>
        <v/>
      </c>
      <c r="H739" s="68" t="inlineStr"/>
      <c r="I739" s="68" t="inlineStr"/>
    </row>
    <row r="740">
      <c r="A740" s="65" t="n">
        <v>727</v>
      </c>
      <c r="B740" s="82" t="n">
        <v>726</v>
      </c>
      <c r="C740" s="82">
        <f>B740^2</f>
        <v/>
      </c>
      <c r="D740" s="66" t="n">
        <v>4720.64</v>
      </c>
      <c r="E740" s="66" t="n">
        <v>4695.53995</v>
      </c>
      <c r="F740" s="67">
        <f>D740-E740</f>
        <v/>
      </c>
      <c r="G740" s="66">
        <f>F740^2</f>
        <v/>
      </c>
      <c r="H740" s="65" t="inlineStr"/>
      <c r="I740" s="65" t="inlineStr"/>
    </row>
    <row r="741">
      <c r="A741" s="68" t="n">
        <v>728</v>
      </c>
      <c r="B741" s="83" t="n">
        <v>727</v>
      </c>
      <c r="C741" s="83">
        <f>B741^2</f>
        <v/>
      </c>
      <c r="D741" s="69" t="n">
        <v>4720.74</v>
      </c>
      <c r="E741" s="69" t="n">
        <v>4695.74239</v>
      </c>
      <c r="F741" s="70">
        <f>D741-E741</f>
        <v/>
      </c>
      <c r="G741" s="69">
        <f>F741^2</f>
        <v/>
      </c>
      <c r="H741" s="68" t="inlineStr"/>
      <c r="I741" s="68" t="inlineStr"/>
    </row>
    <row r="742">
      <c r="A742" s="65" t="n">
        <v>729</v>
      </c>
      <c r="B742" s="82" t="n">
        <v>728</v>
      </c>
      <c r="C742" s="82">
        <f>B742^2</f>
        <v/>
      </c>
      <c r="D742" s="66" t="n">
        <v>4720.99</v>
      </c>
      <c r="E742" s="66" t="n">
        <v>4695.94484</v>
      </c>
      <c r="F742" s="67">
        <f>D742-E742</f>
        <v/>
      </c>
      <c r="G742" s="66">
        <f>F742^2</f>
        <v/>
      </c>
      <c r="H742" s="65" t="inlineStr"/>
      <c r="I742" s="65" t="inlineStr"/>
    </row>
    <row r="743">
      <c r="A743" s="68" t="n">
        <v>730</v>
      </c>
      <c r="B743" s="83" t="n">
        <v>729</v>
      </c>
      <c r="C743" s="83">
        <f>B743^2</f>
        <v/>
      </c>
      <c r="D743" s="69" t="n">
        <v>4727.48</v>
      </c>
      <c r="E743" s="69" t="n">
        <v>4696.14728</v>
      </c>
      <c r="F743" s="70">
        <f>D743-E743</f>
        <v/>
      </c>
      <c r="G743" s="69">
        <f>F743^2</f>
        <v/>
      </c>
      <c r="H743" s="68" t="inlineStr"/>
      <c r="I743" s="68" t="inlineStr"/>
    </row>
    <row r="744">
      <c r="A744" s="65" t="n">
        <v>731</v>
      </c>
      <c r="B744" s="82" t="n">
        <v>730</v>
      </c>
      <c r="C744" s="82">
        <f>B744^2</f>
        <v/>
      </c>
      <c r="D744" s="66" t="n">
        <v>4725.66</v>
      </c>
      <c r="E744" s="66" t="n">
        <v>4696.34973</v>
      </c>
      <c r="F744" s="67">
        <f>D744-E744</f>
        <v/>
      </c>
      <c r="G744" s="66">
        <f>F744^2</f>
        <v/>
      </c>
      <c r="H744" s="65" t="inlineStr"/>
      <c r="I744" s="65" t="inlineStr"/>
    </row>
    <row r="745">
      <c r="A745" s="68" t="n">
        <v>732</v>
      </c>
      <c r="B745" s="83" t="n">
        <v>731</v>
      </c>
      <c r="C745" s="83">
        <f>B745^2</f>
        <v/>
      </c>
      <c r="D745" s="69" t="n">
        <v>4724.59</v>
      </c>
      <c r="E745" s="69" t="n">
        <v>4696.55217</v>
      </c>
      <c r="F745" s="70">
        <f>D745-E745</f>
        <v/>
      </c>
      <c r="G745" s="69">
        <f>F745^2</f>
        <v/>
      </c>
      <c r="H745" s="68" t="inlineStr"/>
      <c r="I745" s="68" t="inlineStr"/>
    </row>
    <row r="746">
      <c r="A746" s="65" t="n">
        <v>733</v>
      </c>
      <c r="B746" s="82" t="n">
        <v>732</v>
      </c>
      <c r="C746" s="82">
        <f>B746^2</f>
        <v/>
      </c>
      <c r="D746" s="66" t="n">
        <v>4721.83</v>
      </c>
      <c r="E746" s="66" t="n">
        <v>4696.75462</v>
      </c>
      <c r="F746" s="67">
        <f>D746-E746</f>
        <v/>
      </c>
      <c r="G746" s="66">
        <f>F746^2</f>
        <v/>
      </c>
      <c r="H746" s="65" t="inlineStr"/>
      <c r="I746" s="65" t="inlineStr"/>
    </row>
    <row r="747">
      <c r="A747" s="68" t="n">
        <v>734</v>
      </c>
      <c r="B747" s="83" t="n">
        <v>733</v>
      </c>
      <c r="C747" s="83">
        <f>B747^2</f>
        <v/>
      </c>
      <c r="D747" s="69" t="n">
        <v>4723.57</v>
      </c>
      <c r="E747" s="69" t="n">
        <v>4696.95707</v>
      </c>
      <c r="F747" s="70">
        <f>D747-E747</f>
        <v/>
      </c>
      <c r="G747" s="69">
        <f>F747^2</f>
        <v/>
      </c>
      <c r="H747" s="68" t="inlineStr"/>
      <c r="I747" s="68" t="inlineStr"/>
    </row>
    <row r="748">
      <c r="A748" s="65" t="n">
        <v>735</v>
      </c>
      <c r="B748" s="82" t="n">
        <v>734</v>
      </c>
      <c r="C748" s="82">
        <f>B748^2</f>
        <v/>
      </c>
      <c r="D748" s="66" t="n">
        <v>4723.71</v>
      </c>
      <c r="E748" s="66" t="n">
        <v>4697.15951</v>
      </c>
      <c r="F748" s="67">
        <f>D748-E748</f>
        <v/>
      </c>
      <c r="G748" s="66">
        <f>F748^2</f>
        <v/>
      </c>
      <c r="H748" s="65" t="inlineStr"/>
      <c r="I748" s="65" t="inlineStr"/>
    </row>
    <row r="749">
      <c r="A749" s="68" t="n">
        <v>736</v>
      </c>
      <c r="B749" s="83" t="n">
        <v>735</v>
      </c>
      <c r="C749" s="83">
        <f>B749^2</f>
        <v/>
      </c>
      <c r="D749" s="69" t="n">
        <v>4725.3</v>
      </c>
      <c r="E749" s="69" t="n">
        <v>4697.36196</v>
      </c>
      <c r="F749" s="70">
        <f>D749-E749</f>
        <v/>
      </c>
      <c r="G749" s="69">
        <f>F749^2</f>
        <v/>
      </c>
      <c r="H749" s="68" t="inlineStr"/>
      <c r="I749" s="68" t="inlineStr"/>
    </row>
    <row r="750">
      <c r="A750" s="65" t="n">
        <v>737</v>
      </c>
      <c r="B750" s="82" t="n">
        <v>736</v>
      </c>
      <c r="C750" s="82">
        <f>B750^2</f>
        <v/>
      </c>
      <c r="D750" s="66" t="n">
        <v>4724.02</v>
      </c>
      <c r="E750" s="66" t="n">
        <v>4697.5644</v>
      </c>
      <c r="F750" s="67">
        <f>D750-E750</f>
        <v/>
      </c>
      <c r="G750" s="66">
        <f>F750^2</f>
        <v/>
      </c>
      <c r="H750" s="65" t="inlineStr"/>
      <c r="I750" s="65" t="inlineStr"/>
    </row>
    <row r="751">
      <c r="A751" s="68" t="n">
        <v>738</v>
      </c>
      <c r="B751" s="83" t="n">
        <v>737</v>
      </c>
      <c r="C751" s="83">
        <f>B751^2</f>
        <v/>
      </c>
      <c r="D751" s="69" t="n">
        <v>4718.85</v>
      </c>
      <c r="E751" s="69" t="n">
        <v>4697.76685</v>
      </c>
      <c r="F751" s="70">
        <f>D751-E751</f>
        <v/>
      </c>
      <c r="G751" s="69">
        <f>F751^2</f>
        <v/>
      </c>
      <c r="H751" s="68" t="inlineStr"/>
      <c r="I751" s="68" t="inlineStr"/>
    </row>
    <row r="752">
      <c r="A752" s="65" t="n">
        <v>739</v>
      </c>
      <c r="B752" s="82" t="n">
        <v>738</v>
      </c>
      <c r="C752" s="82">
        <f>B752^2</f>
        <v/>
      </c>
      <c r="D752" s="66" t="n">
        <v>4717.38</v>
      </c>
      <c r="E752" s="66" t="n">
        <v>4697.96929</v>
      </c>
      <c r="F752" s="67">
        <f>D752-E752</f>
        <v/>
      </c>
      <c r="G752" s="66">
        <f>F752^2</f>
        <v/>
      </c>
      <c r="H752" s="65" t="inlineStr"/>
      <c r="I752" s="65" t="inlineStr"/>
    </row>
    <row r="753">
      <c r="A753" s="68" t="n">
        <v>740</v>
      </c>
      <c r="B753" s="83" t="n">
        <v>739</v>
      </c>
      <c r="C753" s="83">
        <f>B753^2</f>
        <v/>
      </c>
      <c r="D753" s="69" t="n">
        <v>4716.4</v>
      </c>
      <c r="E753" s="69" t="n">
        <v>4698.17174</v>
      </c>
      <c r="F753" s="70">
        <f>D753-E753</f>
        <v/>
      </c>
      <c r="G753" s="69">
        <f>F753^2</f>
        <v/>
      </c>
      <c r="H753" s="68" t="inlineStr"/>
      <c r="I753" s="68" t="inlineStr"/>
    </row>
    <row r="754">
      <c r="A754" s="65" t="n">
        <v>741</v>
      </c>
      <c r="B754" s="82" t="n">
        <v>740</v>
      </c>
      <c r="C754" s="82">
        <f>B754^2</f>
        <v/>
      </c>
      <c r="D754" s="66" t="n">
        <v>4715.36</v>
      </c>
      <c r="E754" s="66" t="n">
        <v>4698.37419</v>
      </c>
      <c r="F754" s="67">
        <f>D754-E754</f>
        <v/>
      </c>
      <c r="G754" s="66">
        <f>F754^2</f>
        <v/>
      </c>
      <c r="H754" s="65" t="inlineStr"/>
      <c r="I754" s="65" t="inlineStr"/>
    </row>
    <row r="756" ht="18" customHeight="1" s="28">
      <c r="A756" s="61" t="inlineStr">
        <is>
          <t>STEP 2 — Auxiliary OLS via LINEST:  eᵢ² = γ₀ + γ₁·X + γ₂·X²   (two-column predictor range B:C passed to LINEST)</t>
        </is>
      </c>
    </row>
    <row r="757">
      <c r="A757" s="79" t="inlineStr">
        <is>
          <t>LINEST with 2 predictors: slopes in Row 1 listed RIGHT→LEFT  →  col1=γ₂(X²), col2=γ₁(X), col3=γ₀(intercept).  R²_aux is always at INDEX(LINEST(…),3,1).</t>
        </is>
      </c>
    </row>
    <row r="758">
      <c r="A758" s="72" t="inlineStr">
        <is>
          <t>γ₂  — slope of X²  [INDEX(LINEST(…),1,1)]</t>
        </is>
      </c>
      <c r="F758" s="75">
        <f>INDEX(LINEST(G14:G754,B14:C754,TRUE,TRUE),1,1)</f>
        <v/>
      </c>
    </row>
    <row r="759">
      <c r="A759" s="72" t="inlineStr">
        <is>
          <t>γ₁  — slope of X   [INDEX(LINEST(…),1,2)]</t>
        </is>
      </c>
      <c r="F759" s="75">
        <f>INDEX(LINEST(G14:G754,B14:C754,TRUE,TRUE),1,2)</f>
        <v/>
      </c>
    </row>
    <row r="760">
      <c r="A760" s="72" t="inlineStr">
        <is>
          <t>γ₀  — intercept    [INDEX(LINEST(…),1,3)]</t>
        </is>
      </c>
      <c r="F760" s="75">
        <f>INDEX(LINEST(G14:G754,B14:C754,TRUE,TRUE),1,3)</f>
        <v/>
      </c>
    </row>
    <row r="761">
      <c r="A761" s="72" t="inlineStr">
        <is>
          <t>R²_aux  =  INDEX(LINEST(eᵢ², {X, X²}, TRUE, TRUE), 3, 1)</t>
        </is>
      </c>
      <c r="F761" s="75">
        <f>INDEX(LINEST(G14:G754,B14:C754,TRUE,TRUE),3,1)</f>
        <v/>
      </c>
    </row>
    <row r="762">
      <c r="A762" s="72" t="inlineStr">
        <is>
          <t>SE of auxiliary regression  [INDEX(LINEST(…),3,2)]</t>
        </is>
      </c>
      <c r="F762" s="77">
        <f>INDEX(LINEST(G14:G754,B14:C754,TRUE,TRUE),3,2)</f>
        <v/>
      </c>
    </row>
    <row r="763">
      <c r="A763" s="72" t="inlineStr">
        <is>
          <t>F-statistic  [INDEX(LINEST(…),4,1)]</t>
        </is>
      </c>
      <c r="F763" s="74">
        <f>INDEX(LINEST(G14:G754,B14:C754,TRUE,TRUE),4,1)</f>
        <v/>
      </c>
    </row>
    <row r="764">
      <c r="A764" s="72" t="inlineStr">
        <is>
          <t>df residual  [INDEX(LINEST(…),4,2)]</t>
        </is>
      </c>
      <c r="F764" s="73">
        <f>INDEX(LINEST(G14:G754,B14:C754,TRUE,TRUE),4,2)</f>
        <v/>
      </c>
    </row>
    <row r="766" ht="18" customHeight="1" s="28">
      <c r="A766" s="61" t="inlineStr">
        <is>
          <t>STEP 3 — LM Test Statistic  =  n · R²_aux   ~  χ²(2)</t>
        </is>
      </c>
    </row>
    <row r="767">
      <c r="A767" s="72" t="inlineStr">
        <is>
          <t>n  (sample size)</t>
        </is>
      </c>
      <c r="F767" s="73" t="n">
        <v>741</v>
      </c>
    </row>
    <row r="768">
      <c r="A768" s="72" t="inlineStr">
        <is>
          <t>k  (predictors in aux. reg.  = X + X²)</t>
        </is>
      </c>
      <c r="F768" s="73" t="n">
        <v>2</v>
      </c>
    </row>
    <row r="769">
      <c r="A769" s="72" t="inlineStr">
        <is>
          <t>R²_aux  (from LINEST Step 2)</t>
        </is>
      </c>
      <c r="F769" s="75">
        <f>F761</f>
        <v/>
      </c>
    </row>
    <row r="770">
      <c r="A770" s="72" t="inlineStr">
        <is>
          <t>LM  =  n · R²_aux</t>
        </is>
      </c>
      <c r="F770" s="75">
        <f>F767*F769</f>
        <v/>
      </c>
    </row>
    <row r="771">
      <c r="A771" s="72" t="inlineStr">
        <is>
          <t>p-value  =  CHIDIST(LM, k)</t>
        </is>
      </c>
      <c r="F771" s="80">
        <f>CHIDIST(F770,F768)</f>
        <v/>
      </c>
    </row>
    <row r="772">
      <c r="A772" s="72" t="inlineStr">
        <is>
          <t>Reference LM  (statsmodels)</t>
        </is>
      </c>
      <c r="F772" s="75" t="n">
        <v>129.839242</v>
      </c>
    </row>
    <row r="773">
      <c r="A773" s="72" t="inlineStr">
        <is>
          <t>Reference p-value  (statsmodels)</t>
        </is>
      </c>
      <c r="F773" s="84" t="n">
        <v>0</v>
      </c>
    </row>
    <row r="774">
      <c r="A774" s="72" t="inlineStr">
        <is>
          <t>α  (significance level)</t>
        </is>
      </c>
      <c r="F774" s="77" t="n">
        <v>0.05</v>
      </c>
    </row>
    <row r="775" ht="22" customHeight="1" s="28">
      <c r="A775" s="78" t="inlineStr">
        <is>
          <t>DECISION:  p-value ≈ 6.39e-29 &lt; α (0.05)  ⟹  REJECT H₀  →  Significant HETEROSCEDASTICITY in Base_FL residuals  [LM ≈ 129.84 | Variance of (close−Base_FL) changes with bar_index — consider Robust Standard Errors or WLS]</t>
        </is>
      </c>
    </row>
  </sheetData>
  <mergeCells count="46">
    <mergeCell ref="A769:E769"/>
    <mergeCell ref="F764:I764"/>
    <mergeCell ref="B7:I7"/>
    <mergeCell ref="A760:E760"/>
    <mergeCell ref="F761:I761"/>
    <mergeCell ref="B3:I3"/>
    <mergeCell ref="F770:I770"/>
    <mergeCell ref="A12:I12"/>
    <mergeCell ref="F769:I769"/>
    <mergeCell ref="F760:I760"/>
    <mergeCell ref="A762:E762"/>
    <mergeCell ref="A775:I775"/>
    <mergeCell ref="B2:I2"/>
    <mergeCell ref="F771:I771"/>
    <mergeCell ref="F762:I762"/>
    <mergeCell ref="B8:I8"/>
    <mergeCell ref="A758:E758"/>
    <mergeCell ref="A773:E773"/>
    <mergeCell ref="A767:E767"/>
    <mergeCell ref="A763:E763"/>
    <mergeCell ref="A772:E772"/>
    <mergeCell ref="F758:I758"/>
    <mergeCell ref="F767:I767"/>
    <mergeCell ref="B10:I10"/>
    <mergeCell ref="B4:I4"/>
    <mergeCell ref="H13:I13"/>
    <mergeCell ref="A768:E768"/>
    <mergeCell ref="F773:I773"/>
    <mergeCell ref="A759:E759"/>
    <mergeCell ref="B9:I9"/>
    <mergeCell ref="A766:I766"/>
    <mergeCell ref="F772:I772"/>
    <mergeCell ref="A771:E771"/>
    <mergeCell ref="A757:I757"/>
    <mergeCell ref="F763:I763"/>
    <mergeCell ref="B6:I6"/>
    <mergeCell ref="A756:I756"/>
    <mergeCell ref="F768:I768"/>
    <mergeCell ref="A1:I1"/>
    <mergeCell ref="A770:E770"/>
    <mergeCell ref="A774:E774"/>
    <mergeCell ref="B5:I5"/>
    <mergeCell ref="A761:E761"/>
    <mergeCell ref="F774:I774"/>
    <mergeCell ref="A764:E764"/>
    <mergeCell ref="F759:I7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</dc:creator>
  <dc:language xmlns:dc="http://purl.org/dc/elements/1.1/">en-US</dc:language>
  <dcterms:created xmlns:dcterms="http://purl.org/dc/terms/" xmlns:xsi="http://www.w3.org/2001/XMLSchema-instance" xsi:type="dcterms:W3CDTF">2026-05-09T09:56:15Z</dcterms:created>
  <dcterms:modified xmlns:dcterms="http://purl.org/dc/terms/" xmlns:xsi="http://www.w3.org/2001/XMLSchema-instance" xsi:type="dcterms:W3CDTF">2026-05-09T16:51:46Z</dcterms:modified>
  <cp:lastModifiedBy>WiN</cp:lastModifiedBy>
  <cp:revision>0</cp:revision>
</cp:coreProperties>
</file>